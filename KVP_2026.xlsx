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2026" sheetId="2" state="visible" r:id="rId2"/>
    <sheet name="2025" sheetId="3" state="visible" r:id="rId3"/>
    <sheet name="2024" sheetId="4" state="visible" r:id="rId4"/>
    <sheet name="2023" sheetId="5" state="visible" r:id="rId5"/>
    <sheet name="2022" sheetId="6" state="visible" r:id="rId6"/>
    <sheet name="Hilfslisten" sheetId="7" state="visible" r:id="rId7"/>
  </sheets>
  <definedNames>
    <definedName name="KVPNamenListe">Hilfslisten!$A$2:$A$17</definedName>
    <definedName name="_xlnm.Print_Titles" localSheetId="1">'2026'!$4:$4</definedName>
    <definedName name="_xlnm.Print_Titles" localSheetId="2">'2025'!$4:$4</definedName>
    <definedName name="_xlnm.Print_Titles" localSheetId="3">'2024'!$4:$4</definedName>
    <definedName name="_xlnm.Print_Titles" localSheetId="4">'2023'!$4:$4</definedName>
    <definedName name="_xlnm.Print_Titles" localSheetId="5">'2022'!$4:$4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b val="1"/>
      <color rgb="00333333"/>
      <sz val="10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b val="1"/>
      <color rgb="00FF6F00"/>
      <sz val="14"/>
    </font>
    <font>
      <name val="Calibri"/>
      <b val="1"/>
      <color rgb="00FFFFFF"/>
      <sz val="11"/>
    </font>
    <font>
      <name val="Calibri"/>
      <color rgb="00333333"/>
      <sz val="10"/>
    </font>
    <font>
      <name val="Calibri"/>
      <i val="1"/>
      <color rgb="00666666"/>
      <sz val="11"/>
    </font>
    <font>
      <name val="Calibri"/>
      <b val="1"/>
      <color rgb="00333333"/>
      <sz val="13"/>
    </font>
    <font>
      <name val="Calibri"/>
      <b val="1"/>
      <color rgb="000F3460"/>
      <sz val="24"/>
    </font>
    <font>
      <name val="Calibri"/>
      <b val="1"/>
      <color rgb="0028A745"/>
      <sz val="24"/>
    </font>
    <font>
      <name val="Calibri"/>
      <b val="1"/>
      <color rgb="0028A745"/>
      <sz val="13"/>
    </font>
    <font>
      <name val="Calibri"/>
      <b val="1"/>
      <color rgb="000F3460"/>
      <sz val="12"/>
      <u val="single"/>
    </font>
    <font>
      <name val="Calibri"/>
      <b val="1"/>
      <color rgb="000F3460"/>
      <sz val="12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28A745"/>
      <sz val="10"/>
    </font>
  </fonts>
  <fills count="9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3" borderId="0" pivotButton="0" quotePrefix="0" xfId="0"/>
    <xf numFmtId="9" fontId="17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0" pivotButton="0" quotePrefix="0" xfId="0"/>
    <xf numFmtId="9" fontId="17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0" fillId="2" borderId="0" pivotButton="0" quotePrefix="0" xfId="0"/>
    <xf numFmtId="9" fontId="1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9" fillId="0" borderId="0" pivotButton="0" quotePrefix="0" xfId="0"/>
    <xf numFmtId="0" fontId="0" fillId="5" borderId="1" pivotButton="0" quotePrefix="0" xfId="0"/>
    <xf numFmtId="0" fontId="4" fillId="0" borderId="1" pivotButton="0" quotePrefix="0" xfId="0"/>
    <xf numFmtId="0" fontId="1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20" fillId="0" borderId="0" pivotButton="0" quotePrefix="0" xfId="0"/>
    <xf numFmtId="0" fontId="1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dxfs count="7">
    <dxf>
      <font>
        <b val="1"/>
        <color rgb="00FF6F00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8E1"/>
          <bgColor rgb="00FFF8E1"/>
        </patternFill>
      </fill>
    </dxf>
    <dxf>
      <font>
        <name val="Calibri"/>
        <b val="1"/>
        <color rgb="001B5E20"/>
        <sz val="10"/>
      </font>
    </dxf>
    <dxf>
      <font>
        <name val="Calibri"/>
        <b val="1"/>
        <color rgb="00B71C1C"/>
        <sz val="10"/>
      </font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026'!A1" TargetMode="External" Id="rId1" /><Relationship Type="http://schemas.openxmlformats.org/officeDocument/2006/relationships/hyperlink" Target="#'2025'!A1" TargetMode="External" Id="rId2" /><Relationship Type="http://schemas.openxmlformats.org/officeDocument/2006/relationships/hyperlink" Target="#'2024'!A1" TargetMode="External" Id="rId3" /><Relationship Type="http://schemas.openxmlformats.org/officeDocument/2006/relationships/hyperlink" Target="#'2023'!A1" TargetMode="External" Id="rId4" /><Relationship Type="http://schemas.openxmlformats.org/officeDocument/2006/relationships/hyperlink" Target="#'2022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B1:I2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5" customWidth="1" min="7" max="7"/>
    <col width="16" customWidth="1" min="8" max="8"/>
    <col width="45" customWidth="1" min="9" max="9"/>
  </cols>
  <sheetData>
    <row r="1" ht="25" customHeight="1">
      <c r="B1" s="1" t="inlineStr">
        <is>
          <t>KVP Dashboard - Kontinuierlicher Verbesserungsprozess</t>
        </is>
      </c>
    </row>
    <row r="2" ht="25" customHeight="1"/>
    <row r="3">
      <c r="B3" s="2" t="inlineStr">
        <is>
          <t>Werksärztlicher Dienst Mercedes-Benz Rastatt/Kuppenheim</t>
        </is>
      </c>
    </row>
    <row r="4" ht="8" customHeight="1"/>
    <row r="5" ht="40" customHeight="1">
      <c r="B5" s="3" t="inlineStr">
        <is>
          <t>Gesamt Vorschläge:</t>
        </is>
      </c>
      <c r="D5" s="4">
        <f>C13</f>
        <v/>
      </c>
      <c r="E5" s="3" t="inlineStr">
        <is>
          <t>Angenommen:</t>
        </is>
      </c>
      <c r="F5" s="5">
        <f>D13</f>
        <v/>
      </c>
      <c r="H5" s="6">
        <f>"Annahmequote: "&amp;TEXT(H13,"0%")</f>
        <v/>
      </c>
    </row>
    <row r="6" ht="8" customHeight="1"/>
    <row r="7" ht="30" customHeight="1">
      <c r="B7" s="7" t="inlineStr">
        <is>
          <t>Jahr</t>
        </is>
      </c>
      <c r="C7" s="7" t="inlineStr">
        <is>
          <t>Vorschläge</t>
        </is>
      </c>
      <c r="D7" s="7" t="inlineStr">
        <is>
          <t>Angenommen</t>
        </is>
      </c>
      <c r="E7" s="7" t="inlineStr">
        <is>
          <t>Abgelehnt</t>
        </is>
      </c>
      <c r="F7" s="7" t="inlineStr">
        <is>
          <t>Offen</t>
        </is>
      </c>
      <c r="G7" s="7" t="inlineStr"/>
      <c r="H7" s="7" t="inlineStr">
        <is>
          <t>Annahmequote</t>
        </is>
      </c>
      <c r="I7" s="7" t="inlineStr">
        <is>
          <t>Letzter Eintrag</t>
        </is>
      </c>
    </row>
    <row r="8" ht="28" customHeight="1">
      <c r="B8" s="8" t="inlineStr">
        <is>
          <t>2026</t>
        </is>
      </c>
      <c r="C8" s="9">
        <f>COUNTA('2026'!B5:B204)</f>
        <v/>
      </c>
      <c r="D8" s="10">
        <f>COUNTIF('2026'!H5:H204,"Angenommen")</f>
        <v/>
      </c>
      <c r="E8" s="11">
        <f>COUNTIF('2026'!H5:H204,"Abgelehnt")</f>
        <v/>
      </c>
      <c r="F8" s="12">
        <f>C8-D8-E8</f>
        <v/>
      </c>
      <c r="G8" s="13" t="n"/>
      <c r="H8" s="14">
        <f>IF(C8&gt;0,D8/C8,"")</f>
        <v/>
      </c>
      <c r="I8" s="15">
        <f>IFERROR(LOOKUP(2,1/('2026'!C5:C204&lt;&gt;""),'2026'!C5:C204),"—")</f>
        <v/>
      </c>
    </row>
    <row r="9" ht="28" customHeight="1">
      <c r="B9" s="16" t="inlineStr">
        <is>
          <t>2025</t>
        </is>
      </c>
      <c r="C9" s="17">
        <f>COUNTA('2025'!B5:B204)</f>
        <v/>
      </c>
      <c r="D9" s="18">
        <f>COUNTIF('2025'!H5:H204,"Angenommen")</f>
        <v/>
      </c>
      <c r="E9" s="19">
        <f>COUNTIF('2025'!H5:H204,"Abgelehnt")</f>
        <v/>
      </c>
      <c r="F9" s="20">
        <f>C9-D9-E9</f>
        <v/>
      </c>
      <c r="G9" s="21" t="n"/>
      <c r="H9" s="22">
        <f>IF(C9&gt;0,D9/C9,"")</f>
        <v/>
      </c>
      <c r="I9" s="23">
        <f>IFERROR(LOOKUP(2,1/('2025'!C5:C204&lt;&gt;""),'2025'!C5:C204),"—")</f>
        <v/>
      </c>
    </row>
    <row r="10" ht="28" customHeight="1">
      <c r="B10" s="8" t="inlineStr">
        <is>
          <t>2024</t>
        </is>
      </c>
      <c r="C10" s="9">
        <f>COUNTA('2024'!B5:B204)</f>
        <v/>
      </c>
      <c r="D10" s="10">
        <f>COUNTIF('2024'!H5:H204,"Angenommen")</f>
        <v/>
      </c>
      <c r="E10" s="11">
        <f>COUNTIF('2024'!H5:H204,"Abgelehnt")</f>
        <v/>
      </c>
      <c r="F10" s="12">
        <f>C10-D10-E10</f>
        <v/>
      </c>
      <c r="G10" s="13" t="n"/>
      <c r="H10" s="14">
        <f>IF(C10&gt;0,D10/C10,"")</f>
        <v/>
      </c>
      <c r="I10" s="15">
        <f>IFERROR(LOOKUP(2,1/('2024'!C5:C204&lt;&gt;""),'2024'!C5:C204),"—")</f>
        <v/>
      </c>
    </row>
    <row r="11" ht="28" customHeight="1">
      <c r="B11" s="16" t="inlineStr">
        <is>
          <t>2023</t>
        </is>
      </c>
      <c r="C11" s="17">
        <f>COUNTA('2023'!B5:B204)</f>
        <v/>
      </c>
      <c r="D11" s="18">
        <f>COUNTIF('2023'!H5:H204,"Angenommen")</f>
        <v/>
      </c>
      <c r="E11" s="19">
        <f>COUNTIF('2023'!H5:H204,"Abgelehnt")</f>
        <v/>
      </c>
      <c r="F11" s="20">
        <f>C11-D11-E11</f>
        <v/>
      </c>
      <c r="G11" s="21" t="n"/>
      <c r="H11" s="22">
        <f>IF(C11&gt;0,D11/C11,"")</f>
        <v/>
      </c>
      <c r="I11" s="23">
        <f>IFERROR(LOOKUP(2,1/('2023'!C5:C204&lt;&gt;""),'2023'!C5:C204),"—")</f>
        <v/>
      </c>
    </row>
    <row r="12" ht="28" customHeight="1">
      <c r="B12" s="8" t="inlineStr">
        <is>
          <t>2022</t>
        </is>
      </c>
      <c r="C12" s="9">
        <f>COUNTA('2022'!B5:B204)</f>
        <v/>
      </c>
      <c r="D12" s="10">
        <f>COUNTIF('2022'!H5:H204,"Angenommen")</f>
        <v/>
      </c>
      <c r="E12" s="11">
        <f>COUNTIF('2022'!H5:H204,"Abgelehnt")</f>
        <v/>
      </c>
      <c r="F12" s="12">
        <f>C12-D12-E12</f>
        <v/>
      </c>
      <c r="G12" s="13" t="n"/>
      <c r="H12" s="14">
        <f>IF(C12&gt;0,D12/C12,"")</f>
        <v/>
      </c>
      <c r="I12" s="15">
        <f>IFERROR(LOOKUP(2,1/('2022'!C5:C204&lt;&gt;""),'2022'!C5:C204),"—")</f>
        <v/>
      </c>
    </row>
    <row r="13">
      <c r="B13" s="24" t="inlineStr">
        <is>
          <t>GESAMT</t>
        </is>
      </c>
      <c r="C13" s="24">
        <f>SUM(C8:C12)</f>
        <v/>
      </c>
      <c r="D13" s="24">
        <f>SUM(D8:D12)</f>
        <v/>
      </c>
      <c r="E13" s="24">
        <f>SUM(E8:E12)</f>
        <v/>
      </c>
      <c r="F13" s="24">
        <f>SUM(F8:F12)</f>
        <v/>
      </c>
      <c r="G13" s="25" t="n"/>
      <c r="H13" s="26">
        <f>IF(C13&gt;0,D13/C13,"")</f>
        <v/>
      </c>
      <c r="I13" s="27" t="n"/>
    </row>
    <row r="15">
      <c r="B15" s="28" t="inlineStr">
        <is>
          <t>Legende Farbmarkierungen in den Jahres-Sheets:</t>
        </is>
      </c>
    </row>
    <row r="16">
      <c r="B16" s="29" t="n"/>
      <c r="C16" s="30" t="inlineStr">
        <is>
          <t>Nr. blau</t>
        </is>
      </c>
      <c r="D16" s="31" t="inlineStr">
        <is>
          <t>Neuer Vorschlag (letzte 14 Tage)</t>
        </is>
      </c>
    </row>
    <row r="17">
      <c r="B17" s="32" t="n"/>
      <c r="C17" s="30" t="inlineStr">
        <is>
          <t>Zeile grün</t>
        </is>
      </c>
      <c r="D17" s="31" t="inlineStr">
        <is>
          <t>Angenommen</t>
        </is>
      </c>
    </row>
    <row r="18">
      <c r="B18" s="33" t="n"/>
      <c r="C18" s="30" t="inlineStr">
        <is>
          <t>Zeile rot</t>
        </is>
      </c>
      <c r="D18" s="31" t="inlineStr">
        <is>
          <t>Abgelehnt</t>
        </is>
      </c>
    </row>
    <row r="19">
      <c r="B19" s="34" t="n"/>
      <c r="C19" s="30" t="inlineStr">
        <is>
          <t>Zeile gelb</t>
        </is>
      </c>
      <c r="D19" s="31" t="inlineStr">
        <is>
          <t>Offen (noch keine Entscheidung)</t>
        </is>
      </c>
    </row>
    <row r="21">
      <c r="B21" s="28" t="inlineStr">
        <is>
          <t>Hinweise zur KVP-Liste 2026:</t>
        </is>
      </c>
    </row>
    <row r="22">
      <c r="B22" s="35" t="inlineStr">
        <is>
          <t>✓</t>
        </is>
      </c>
      <c r="C22" s="36" t="inlineStr">
        <is>
          <t>Neuen KVP-Vorschlag im aktiven Jahres-Tab eintragen (Datum + Thema + Einbringender)</t>
        </is>
      </c>
    </row>
    <row r="23">
      <c r="B23" s="35" t="inlineStr">
        <is>
          <t>✓</t>
        </is>
      </c>
      <c r="C23" s="36" t="inlineStr">
        <is>
          <t>Status wird vom Gremium auf "Angenommen" oder "Abgelehnt" gesetzt</t>
        </is>
      </c>
    </row>
    <row r="24">
      <c r="B24" s="35" t="inlineStr">
        <is>
          <t>✓</t>
        </is>
      </c>
      <c r="C24" s="36" t="inlineStr">
        <is>
          <t>Dashboard zeigt automatisch Statistiken über alle Jahre</t>
        </is>
      </c>
    </row>
    <row r="25">
      <c r="B25" s="35" t="inlineStr">
        <is>
          <t>✓</t>
        </is>
      </c>
      <c r="C25" s="36" t="inlineStr">
        <is>
          <t>Einbringender kann per Dropdown ausgewählt werden</t>
        </is>
      </c>
    </row>
    <row r="26">
      <c r="B26" s="35" t="inlineStr">
        <is>
          <t>✓</t>
        </is>
      </c>
      <c r="C26" s="36" t="inlineStr">
        <is>
          <t>Archiv-Tabs (2022-2025) enthalten alle bisherigen Vorschläge</t>
        </is>
      </c>
    </row>
    <row r="27">
      <c r="B27" s="35" t="inlineStr">
        <is>
          <t>✓</t>
        </is>
      </c>
      <c r="C27" s="36" t="inlineStr">
        <is>
          <t>Kein Blattschutz, keine Makros - alles frei editierbar</t>
        </is>
      </c>
    </row>
  </sheetData>
  <mergeCells count="16">
    <mergeCell ref="C23:I23"/>
    <mergeCell ref="D19:F19"/>
    <mergeCell ref="B21:I21"/>
    <mergeCell ref="C22:I22"/>
    <mergeCell ref="C26:I26"/>
    <mergeCell ref="B5:C5"/>
    <mergeCell ref="B1:I2"/>
    <mergeCell ref="C27:I27"/>
    <mergeCell ref="D18:F18"/>
    <mergeCell ref="B15:E15"/>
    <mergeCell ref="B3:I3"/>
    <mergeCell ref="H5:I5"/>
    <mergeCell ref="D17:F17"/>
    <mergeCell ref="C24:I24"/>
    <mergeCell ref="C25:I25"/>
    <mergeCell ref="D16:F16"/>
  </mergeCells>
  <conditionalFormatting sqref="F8:F12">
    <cfRule type="cellIs" priority="1" operator="greaterThan" dxfId="0" stopIfTrue="0">
      <formula>0</formula>
    </cfRule>
  </conditionalFormatting>
  <conditionalFormatting sqref="H8:H13">
    <cfRule type="cellIs" priority="2" operator="greaterThanOrEqual" dxfId="1" stopIfTrue="0">
      <formula>0.7</formula>
    </cfRule>
    <cfRule type="cellIs" priority="3" operator="lessThan" dxfId="2" stopIfTrue="0">
      <formula>0.5</formula>
    </cfRule>
  </conditionalFormatting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1" r:id="rId4"/>
    <hyperlink xmlns:r="http://schemas.openxmlformats.org/officeDocument/2006/relationships" ref="B12" r:id="rId5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A1:I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- 2026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>
      <c r="A5" s="44">
        <f>IF(B5&lt;&gt;"",ROW()-4,"")</f>
        <v/>
      </c>
      <c r="B5" s="45" t="n"/>
      <c r="C5" s="46" t="n"/>
      <c r="D5" s="46" t="n"/>
      <c r="E5" s="47" t="n"/>
      <c r="F5" s="46" t="n"/>
      <c r="G5" s="46" t="n"/>
      <c r="H5" s="47" t="n"/>
      <c r="I5" s="47" t="n"/>
    </row>
    <row r="6">
      <c r="A6" s="44">
        <f>IF(B6&lt;&gt;"",ROW()-4,"")</f>
        <v/>
      </c>
      <c r="B6" s="45" t="n"/>
      <c r="C6" s="46" t="n"/>
      <c r="D6" s="46" t="n"/>
      <c r="E6" s="47" t="n"/>
      <c r="F6" s="46" t="n"/>
      <c r="G6" s="46" t="n"/>
      <c r="H6" s="47" t="n"/>
      <c r="I6" s="47" t="n"/>
    </row>
    <row r="7">
      <c r="A7" s="44">
        <f>IF(B7&lt;&gt;"",ROW()-4,"")</f>
        <v/>
      </c>
      <c r="B7" s="45" t="n"/>
      <c r="C7" s="46" t="n"/>
      <c r="D7" s="46" t="n"/>
      <c r="E7" s="47" t="n"/>
      <c r="F7" s="46" t="n"/>
      <c r="G7" s="46" t="n"/>
      <c r="H7" s="47" t="n"/>
      <c r="I7" s="47" t="n"/>
    </row>
    <row r="8">
      <c r="A8" s="44">
        <f>IF(B8&lt;&gt;"",ROW()-4,"")</f>
        <v/>
      </c>
      <c r="B8" s="45" t="n"/>
      <c r="C8" s="46" t="n"/>
      <c r="D8" s="46" t="n"/>
      <c r="E8" s="47" t="n"/>
      <c r="F8" s="46" t="n"/>
      <c r="G8" s="46" t="n"/>
      <c r="H8" s="47" t="n"/>
      <c r="I8" s="47" t="n"/>
    </row>
    <row r="9">
      <c r="A9" s="44">
        <f>IF(B9&lt;&gt;"",ROW()-4,"")</f>
        <v/>
      </c>
      <c r="B9" s="45" t="n"/>
      <c r="C9" s="46" t="n"/>
      <c r="D9" s="46" t="n"/>
      <c r="E9" s="47" t="n"/>
      <c r="F9" s="46" t="n"/>
      <c r="G9" s="46" t="n"/>
      <c r="H9" s="47" t="n"/>
      <c r="I9" s="47" t="n"/>
    </row>
    <row r="10">
      <c r="A10" s="44">
        <f>IF(B10&lt;&gt;"",ROW()-4,"")</f>
        <v/>
      </c>
      <c r="B10" s="45" t="n"/>
      <c r="C10" s="46" t="n"/>
      <c r="D10" s="46" t="n"/>
      <c r="E10" s="47" t="n"/>
      <c r="F10" s="46" t="n"/>
      <c r="G10" s="46" t="n"/>
      <c r="H10" s="47" t="n"/>
      <c r="I10" s="47" t="n"/>
    </row>
    <row r="11">
      <c r="A11" s="44">
        <f>IF(B11&lt;&gt;"",ROW()-4,"")</f>
        <v/>
      </c>
      <c r="B11" s="45" t="n"/>
      <c r="C11" s="46" t="n"/>
      <c r="D11" s="46" t="n"/>
      <c r="E11" s="47" t="n"/>
      <c r="F11" s="46" t="n"/>
      <c r="G11" s="46" t="n"/>
      <c r="H11" s="47" t="n"/>
      <c r="I11" s="47" t="n"/>
    </row>
    <row r="12">
      <c r="A12" s="44">
        <f>IF(B12&lt;&gt;"",ROW()-4,"")</f>
        <v/>
      </c>
      <c r="B12" s="45" t="n"/>
      <c r="C12" s="46" t="n"/>
      <c r="D12" s="46" t="n"/>
      <c r="E12" s="47" t="n"/>
      <c r="F12" s="46" t="n"/>
      <c r="G12" s="46" t="n"/>
      <c r="H12" s="47" t="n"/>
      <c r="I12" s="47" t="n"/>
    </row>
    <row r="13">
      <c r="A13" s="44">
        <f>IF(B13&lt;&gt;"",ROW()-4,"")</f>
        <v/>
      </c>
      <c r="B13" s="45" t="n"/>
      <c r="C13" s="46" t="n"/>
      <c r="D13" s="46" t="n"/>
      <c r="E13" s="47" t="n"/>
      <c r="F13" s="46" t="n"/>
      <c r="G13" s="46" t="n"/>
      <c r="H13" s="47" t="n"/>
      <c r="I13" s="47" t="n"/>
    </row>
    <row r="14">
      <c r="A14" s="44">
        <f>IF(B14&lt;&gt;"",ROW()-4,"")</f>
        <v/>
      </c>
      <c r="B14" s="45" t="n"/>
      <c r="C14" s="46" t="n"/>
      <c r="D14" s="46" t="n"/>
      <c r="E14" s="47" t="n"/>
      <c r="F14" s="46" t="n"/>
      <c r="G14" s="46" t="n"/>
      <c r="H14" s="47" t="n"/>
      <c r="I14" s="47" t="n"/>
    </row>
    <row r="15">
      <c r="A15" s="44">
        <f>IF(B15&lt;&gt;"",ROW()-4,"")</f>
        <v/>
      </c>
      <c r="B15" s="45" t="n"/>
      <c r="C15" s="46" t="n"/>
      <c r="D15" s="46" t="n"/>
      <c r="E15" s="47" t="n"/>
      <c r="F15" s="46" t="n"/>
      <c r="G15" s="46" t="n"/>
      <c r="H15" s="47" t="n"/>
      <c r="I15" s="47" t="n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2026</oddHeader>
    <oddFooter>&amp;LWerksärztlicher Dienst Mercedes-Benz&amp;RSeite &amp;P von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- 2025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45692</v>
      </c>
      <c r="C5" s="46" t="inlineStr">
        <is>
          <t>Übersicht über aktuelle Themen HR/PHB im Besprechungszimmer</t>
        </is>
      </c>
      <c r="D5" s="46" t="inlineStr">
        <is>
          <t>schneller Überblick über TOP-Themen und Verantwortlichkeiten</t>
        </is>
      </c>
      <c r="E5" s="47" t="inlineStr">
        <is>
          <t>Zieger-Buchta</t>
        </is>
      </c>
      <c r="F5" s="46" t="inlineStr"/>
      <c r="G5" s="46" t="inlineStr">
        <is>
          <t>soll grober Übersicht dienen, Topthemen</t>
        </is>
      </c>
      <c r="H5" s="47" t="inlineStr">
        <is>
          <t>Angenommen</t>
        </is>
      </c>
      <c r="I5" s="47" t="inlineStr">
        <is>
          <t>alle</t>
        </is>
      </c>
    </row>
    <row r="6" ht="28" customHeight="1">
      <c r="A6" s="44" t="n">
        <v>2</v>
      </c>
      <c r="B6" s="45" t="n">
        <v>45702</v>
      </c>
      <c r="C6" s="46" t="inlineStr">
        <is>
          <t>Neue Desinfektionsspender vorgeschlagen: sauber am Auslass, kompatibel mit bestehenden Handpumpen.</t>
        </is>
      </c>
      <c r="D6" s="46" t="inlineStr">
        <is>
          <t>Weniger Verschmutzung, nur ein Pumpenmodell, integrierte Auffangschale.</t>
        </is>
      </c>
      <c r="E6" s="47" t="inlineStr">
        <is>
          <t>Wunsch</t>
        </is>
      </c>
      <c r="F6" s="46" t="inlineStr">
        <is>
          <t>Kosten bitte noch aufführen auch für evtl. Umbau, gemeinsame Lösung mit "Altsystem mit Auffangschale" möglich?</t>
        </is>
      </c>
      <c r="G6" s="46" t="inlineStr">
        <is>
          <t>wie aufwändig ist der Tausch der Spender? Anzahl? Aufwand?</t>
        </is>
      </c>
      <c r="H6" s="47" t="inlineStr"/>
      <c r="I6" s="47" t="inlineStr"/>
    </row>
    <row r="7" ht="28" customHeight="1">
      <c r="A7" s="44" t="n">
        <v>3</v>
      </c>
      <c r="B7" s="45" t="n">
        <v>45714</v>
      </c>
      <c r="C7" s="46" t="inlineStr">
        <is>
          <t>WD-Hotline (22828) auf SI-Seite vermerken</t>
        </is>
      </c>
      <c r="D7" s="46" t="inlineStr">
        <is>
          <t>Spart hin und Her rennen zwischen div. Telefonen wenn Hotline mehr genutzt wird.</t>
        </is>
      </c>
      <c r="E7" s="47" t="inlineStr">
        <is>
          <t>Zuber</t>
        </is>
      </c>
      <c r="F7" s="46" t="inlineStr"/>
      <c r="G7" s="46" t="inlineStr">
        <is>
          <t>wollt Ihr immer erreichbar sein?</t>
        </is>
      </c>
      <c r="H7" s="47" t="inlineStr">
        <is>
          <t>Abgelehnt</t>
        </is>
      </c>
      <c r="I7" s="47" t="inlineStr"/>
    </row>
    <row r="8" ht="28" customHeight="1">
      <c r="A8" s="44" t="n">
        <v>4</v>
      </c>
      <c r="B8" s="45" t="n">
        <v>45706</v>
      </c>
      <c r="C8" s="46" t="inlineStr">
        <is>
          <t>Kleidungsübersicht erstellt (Jacken, Polos)</t>
        </is>
      </c>
      <c r="D8" s="46" t="inlineStr">
        <is>
          <t>Einfachere Neubestellung etc.</t>
        </is>
      </c>
      <c r="E8" s="47" t="inlineStr">
        <is>
          <t>Wunsch</t>
        </is>
      </c>
      <c r="F8" s="46" t="inlineStr"/>
      <c r="G8" s="46" t="inlineStr"/>
      <c r="H8" s="47" t="inlineStr">
        <is>
          <t>Angenommen</t>
        </is>
      </c>
      <c r="I8" s="47" t="inlineStr">
        <is>
          <t>Umgesetzt</t>
        </is>
      </c>
    </row>
    <row r="9" ht="28" customHeight="1">
      <c r="A9" s="44" t="n">
        <v>5</v>
      </c>
      <c r="B9" s="45" t="n">
        <v>45706</v>
      </c>
      <c r="C9" s="46" t="inlineStr">
        <is>
          <t>Poloshirts mit User-ID</t>
        </is>
      </c>
      <c r="D9" s="46" t="inlineStr">
        <is>
          <t>Einfachere Einsortierung und Zuordnung</t>
        </is>
      </c>
      <c r="E9" s="47" t="inlineStr">
        <is>
          <t>Wunsch</t>
        </is>
      </c>
      <c r="F9" s="46" t="inlineStr"/>
      <c r="G9" s="46" t="inlineStr"/>
      <c r="H9" s="47" t="inlineStr">
        <is>
          <t>Angenommen</t>
        </is>
      </c>
      <c r="I9" s="47" t="inlineStr">
        <is>
          <t>Umgesetzt</t>
        </is>
      </c>
    </row>
    <row r="10" ht="28" customHeight="1">
      <c r="A10" s="44" t="n">
        <v>6</v>
      </c>
      <c r="B10" s="45" t="n">
        <v>45761</v>
      </c>
      <c r="C10" s="46" t="inlineStr">
        <is>
          <t>Poloshirts abgemeldet, Übersichtsliste von Bardusch</t>
        </is>
      </c>
      <c r="D10" s="46" t="inlineStr">
        <is>
          <t>Spart monatlich Geld und bringt Übersicht</t>
        </is>
      </c>
      <c r="E10" s="47" t="inlineStr">
        <is>
          <t>Wunsch</t>
        </is>
      </c>
      <c r="F10" s="46" t="inlineStr"/>
      <c r="G10" s="46" t="inlineStr"/>
      <c r="H10" s="47" t="inlineStr">
        <is>
          <t>Angenommen</t>
        </is>
      </c>
      <c r="I10" s="47" t="inlineStr">
        <is>
          <t>Umgesetzt</t>
        </is>
      </c>
    </row>
    <row r="11" ht="28" customHeight="1">
      <c r="A11" s="44" t="n">
        <v>7</v>
      </c>
      <c r="B11" s="45" t="n">
        <v>45730</v>
      </c>
      <c r="C11" s="46" t="inlineStr">
        <is>
          <t>Abklärung mit der Feuerwehr zur Etikettierung der Jacken, damit diese gewaschen werden können.</t>
        </is>
      </c>
      <c r="D11" s="46" t="inlineStr">
        <is>
          <t>Hygienischer und ins bestehende Abwurfsystem der Hosen integrierbar.</t>
        </is>
      </c>
      <c r="E11" s="47" t="inlineStr">
        <is>
          <t>Wunsch</t>
        </is>
      </c>
      <c r="F11" s="46" t="inlineStr"/>
      <c r="G11" s="46" t="inlineStr"/>
      <c r="H11" s="47" t="inlineStr">
        <is>
          <t>Angenommen</t>
        </is>
      </c>
      <c r="I11" s="47" t="inlineStr">
        <is>
          <t>in Umsetzung</t>
        </is>
      </c>
    </row>
    <row r="12" ht="70" customHeight="1">
      <c r="A12" s="44" t="n">
        <v>8</v>
      </c>
      <c r="B12" s="45" t="n">
        <v>45860</v>
      </c>
      <c r="C12" s="46" t="inlineStr">
        <is>
          <t>Digitalisierung des Medikamentenlagers: Jede Kanban-Karte wird mit einem QR-Code versehen. Beim Scannen öffnet sich automatisch eine vorgefertigte E-Mail im Standard-Mailprogramm, die direkt an den zuständigen Bereichsverantwortlichen adressiert ist.</t>
        </is>
      </c>
      <c r="D12" s="46" t="inlineStr">
        <is>
          <t>Zeit gespart, Kosten gesenkt durch Reduzierung der Bestände, Lagerfläche optimiert, Fehler reduziert und Prozesse transparenter gestaltet.</t>
        </is>
      </c>
      <c r="E12" s="47" t="inlineStr">
        <is>
          <t>Siebert</t>
        </is>
      </c>
      <c r="F12" s="46" t="inlineStr"/>
      <c r="G12" s="46" t="inlineStr"/>
      <c r="H12" s="47" t="inlineStr">
        <is>
          <t>Angenommen</t>
        </is>
      </c>
      <c r="I12" s="47" t="inlineStr">
        <is>
          <t>Manuel</t>
        </is>
      </c>
    </row>
    <row r="13" ht="28" customHeight="1">
      <c r="A13" s="44" t="n">
        <v>9</v>
      </c>
      <c r="B13" s="45" t="n">
        <v>45868</v>
      </c>
      <c r="C13" s="46" t="inlineStr">
        <is>
          <t>Erreichbarkeit von Ambulanz-Handy in SI Seite auflisten</t>
        </is>
      </c>
      <c r="D13" s="46" t="inlineStr">
        <is>
          <t>Verbesserte Erreichbarkeit</t>
        </is>
      </c>
      <c r="E13" s="47" t="inlineStr">
        <is>
          <t>Zuber</t>
        </is>
      </c>
      <c r="F13" s="46" t="inlineStr">
        <is>
          <t>Sabine geht auf Harry für Zusatzinfo zu</t>
        </is>
      </c>
      <c r="G13" s="46" t="inlineStr">
        <is>
          <t>Siehe Eintrag Nr. 3</t>
        </is>
      </c>
      <c r="H13" s="47" t="inlineStr">
        <is>
          <t>Abgelehnt</t>
        </is>
      </c>
      <c r="I13" s="47" t="inlineStr"/>
    </row>
    <row r="14" ht="28" customHeight="1">
      <c r="A14" s="44" t="n">
        <v>10</v>
      </c>
      <c r="B14" s="45" t="n">
        <v>45868</v>
      </c>
      <c r="C14" s="46" t="inlineStr">
        <is>
          <t>Abrechnung der Taxifahrten zu D-Arzt nach Betriebsunfällen. Abrechnung mit BGHM sollte möglich sein.</t>
        </is>
      </c>
      <c r="D14" s="46" t="inlineStr">
        <is>
          <t>Geld</t>
        </is>
      </c>
      <c r="E14" s="47" t="inlineStr">
        <is>
          <t>Zuber</t>
        </is>
      </c>
      <c r="F14" s="46" t="inlineStr">
        <is>
          <t>https://www.bghm-magazin.de/ausgaben/05-2022/krankentransport-nach-arbeitsunfall</t>
        </is>
      </c>
      <c r="G14" s="46" t="inlineStr">
        <is>
          <t>Prozess ist möglich, jedoch zu aufwendig, wurde mehrfach als neg. Business case geprüft</t>
        </is>
      </c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45876</v>
      </c>
      <c r="C15" s="46" t="inlineStr">
        <is>
          <t>Statt Fentanyl 0,5 mg/10 ml, Fentanyl 0,1 mg/2 ml bestellen. Patientensicherheit, Kosten, Haltbarkeit.</t>
        </is>
      </c>
      <c r="D15" s="46" t="inlineStr">
        <is>
          <t>Geld (kostet ca. die Hälfte)</t>
        </is>
      </c>
      <c r="E15" s="47" t="inlineStr">
        <is>
          <t>Dr. Vitez</t>
        </is>
      </c>
      <c r="F15" s="46" t="inlineStr"/>
      <c r="G15" s="46" t="inlineStr"/>
      <c r="H15" s="47" t="inlineStr">
        <is>
          <t>Angenommen</t>
        </is>
      </c>
      <c r="I15" s="47" t="inlineStr">
        <is>
          <t>nächste BTM Bestellung, Dr. Schmidt</t>
        </is>
      </c>
    </row>
    <row r="16" ht="42" customHeight="1">
      <c r="A16" s="44" t="n">
        <v>12</v>
      </c>
      <c r="B16" s="45" t="n">
        <v>45902</v>
      </c>
      <c r="C16" s="46" t="inlineStr">
        <is>
          <t>Analog zu Punkt 8 soll ins digitale Kanban-System noch Folgendes aufgenommen werden: Kaffee, Milch, Spültabs, Entkalker</t>
        </is>
      </c>
      <c r="D16" s="46" t="inlineStr">
        <is>
          <t>Zeit &amp; Geld gespart (keine teuren Spontankäufe)</t>
        </is>
      </c>
      <c r="E16" s="47" t="inlineStr">
        <is>
          <t>Zieger-Buchta</t>
        </is>
      </c>
      <c r="F16" s="46" t="inlineStr"/>
      <c r="G16" s="46" t="inlineStr"/>
      <c r="H16" s="47" t="inlineStr">
        <is>
          <t>Angenommen</t>
        </is>
      </c>
      <c r="I16" s="47" t="inlineStr">
        <is>
          <t>Manuel</t>
        </is>
      </c>
    </row>
    <row r="17" ht="56" customHeight="1">
      <c r="A17" s="44" t="n">
        <v>13</v>
      </c>
      <c r="B17" s="45" t="n"/>
      <c r="C17" s="46" t="inlineStr">
        <is>
          <t>Verlagerung des Standortes Gasflaschen-Schrank (Sauerstoff, Stickstoff) in den Außenbereich der Ambulanz Rastatt. Eventuell mit Heizung für den Winter um Vereisung zu vermeiden.</t>
        </is>
      </c>
      <c r="D17" s="46" t="inlineStr">
        <is>
          <t>Aufwand, mit Gewinn Sicherheit</t>
        </is>
      </c>
      <c r="E17" s="47" t="inlineStr">
        <is>
          <t>Zuber</t>
        </is>
      </c>
      <c r="F17" s="46" t="inlineStr">
        <is>
          <t>Dr. Frei: Idee prinzipiell gut, aber nicht neu. Wurde in der Vergangenheit aus optischen Gründen von der FP abgelehnt; Abstand zum Gebäude von 5m erforderlich</t>
        </is>
      </c>
      <c r="G17" s="46" t="inlineStr"/>
      <c r="H17" s="47" t="inlineStr">
        <is>
          <t>Abgelehnt</t>
        </is>
      </c>
      <c r="I17" s="47" t="inlineStr"/>
    </row>
    <row r="18" ht="28" customHeight="1">
      <c r="A18" s="44" t="n">
        <v>14</v>
      </c>
      <c r="B18" s="45" t="n">
        <v>45922</v>
      </c>
      <c r="C18" s="46" t="inlineStr">
        <is>
          <t>Neue Türschilder für Eingangstür, und Sonstige Verwendung</t>
        </is>
      </c>
      <c r="D18" s="46" t="inlineStr">
        <is>
          <t>Aushänge können schnell getauscht werden, sieht sehr professionell aus</t>
        </is>
      </c>
      <c r="E18" s="47" t="inlineStr">
        <is>
          <t>Wunsch</t>
        </is>
      </c>
      <c r="F18" s="46" t="inlineStr"/>
      <c r="G18" s="46" t="inlineStr"/>
      <c r="H18" s="47" t="inlineStr">
        <is>
          <t>Angenommen</t>
        </is>
      </c>
      <c r="I18" s="47" t="inlineStr">
        <is>
          <t>Fabian</t>
        </is>
      </c>
    </row>
    <row r="19" ht="42" customHeight="1">
      <c r="A19" s="44" t="n">
        <v>15</v>
      </c>
      <c r="B19" s="45" t="n">
        <v>45988</v>
      </c>
      <c r="C19" s="46" t="inlineStr">
        <is>
          <t>Verschiedene Defibrillationselektroden für Corpuls3 sind im Einsatz schwer zu unterscheiden. Einheitliche Elektroden reduzieren Verwechslungsgefahr.</t>
        </is>
      </c>
      <c r="D19" s="46" t="inlineStr">
        <is>
          <t>Geld, Zeit, höhere Anwendersicherheit</t>
        </is>
      </c>
      <c r="E19" s="47" t="inlineStr">
        <is>
          <t>Göpfrich</t>
        </is>
      </c>
      <c r="F19" s="46" t="inlineStr"/>
      <c r="G19" s="46" t="inlineStr"/>
      <c r="H19" s="47" t="inlineStr">
        <is>
          <t>Angenommen</t>
        </is>
      </c>
      <c r="I19" s="47" t="inlineStr">
        <is>
          <t>Markus G.</t>
        </is>
      </c>
    </row>
    <row r="20" ht="28" customHeight="1">
      <c r="A20" s="44" t="n">
        <v>16</v>
      </c>
      <c r="B20" s="45" t="n">
        <v>46000</v>
      </c>
      <c r="C20" s="46" t="inlineStr">
        <is>
          <t>Postkarten erstellen als Werbung für die Qualifizierungen</t>
        </is>
      </c>
      <c r="D20" s="46" t="inlineStr">
        <is>
          <t>die richtigen Personen in die richtige Quali direkt einsteuern</t>
        </is>
      </c>
      <c r="E20" s="47" t="inlineStr">
        <is>
          <t>Zieger-Buchta</t>
        </is>
      </c>
      <c r="F20" s="46" t="inlineStr"/>
      <c r="G20" s="46" t="inlineStr"/>
      <c r="H20" s="47" t="inlineStr">
        <is>
          <t>Angenommen</t>
        </is>
      </c>
      <c r="I20" s="47" t="inlineStr">
        <is>
          <t>Lara</t>
        </is>
      </c>
    </row>
    <row r="21" ht="42" customHeight="1">
      <c r="A21" s="44" t="n">
        <v>17</v>
      </c>
      <c r="B21" s="45" t="n">
        <v>46059</v>
      </c>
      <c r="C21" s="46" t="inlineStr">
        <is>
          <t>Ersatzbeschaffung für defektes Urisys 1100 geplant. Prüfung ergab: nur Netzteil defekt. Reparatur über eBay deutlich günstiger als Neubeschaffung.</t>
        </is>
      </c>
      <c r="D21" s="46" t="inlineStr">
        <is>
          <t>Neues Netzteil günstiger als Ersatzbeschaffung Gerät, Zubehör bleibt nutzbar</t>
        </is>
      </c>
      <c r="E21" s="47" t="inlineStr">
        <is>
          <t>Göpfrich</t>
        </is>
      </c>
      <c r="F21" s="46" t="inlineStr"/>
      <c r="G21" s="46" t="inlineStr"/>
      <c r="H21" s="47" t="inlineStr"/>
      <c r="I21" s="47" t="inlineStr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  <row r="66">
      <c r="A66" s="44">
        <f>IF(B66&lt;&gt;"",ROW()-4,"")</f>
        <v/>
      </c>
      <c r="B66" s="45" t="n"/>
      <c r="C66" s="46" t="n"/>
      <c r="D66" s="46" t="n"/>
      <c r="E66" s="47" t="n"/>
      <c r="F66" s="46" t="n"/>
      <c r="G66" s="46" t="n"/>
      <c r="H66" s="47" t="n"/>
      <c r="I66" s="47" t="n"/>
    </row>
    <row r="67">
      <c r="A67" s="44">
        <f>IF(B67&lt;&gt;"",ROW()-4,"")</f>
        <v/>
      </c>
      <c r="B67" s="45" t="n"/>
      <c r="C67" s="46" t="n"/>
      <c r="D67" s="46" t="n"/>
      <c r="E67" s="47" t="n"/>
      <c r="F67" s="46" t="n"/>
      <c r="G67" s="46" t="n"/>
      <c r="H67" s="47" t="n"/>
      <c r="I67" s="47" t="n"/>
    </row>
    <row r="68">
      <c r="A68" s="44">
        <f>IF(B68&lt;&gt;"",ROW()-4,"")</f>
        <v/>
      </c>
      <c r="B68" s="45" t="n"/>
      <c r="C68" s="46" t="n"/>
      <c r="D68" s="46" t="n"/>
      <c r="E68" s="47" t="n"/>
      <c r="F68" s="46" t="n"/>
      <c r="G68" s="46" t="n"/>
      <c r="H68" s="47" t="n"/>
      <c r="I68" s="47" t="n"/>
    </row>
    <row r="69">
      <c r="A69" s="44">
        <f>IF(B69&lt;&gt;"",ROW()-4,"")</f>
        <v/>
      </c>
      <c r="B69" s="45" t="n"/>
      <c r="C69" s="46" t="n"/>
      <c r="D69" s="46" t="n"/>
      <c r="E69" s="47" t="n"/>
      <c r="F69" s="46" t="n"/>
      <c r="G69" s="46" t="n"/>
      <c r="H69" s="47" t="n"/>
      <c r="I69" s="47" t="n"/>
    </row>
    <row r="70">
      <c r="A70" s="44">
        <f>IF(B70&lt;&gt;"",ROW()-4,"")</f>
        <v/>
      </c>
      <c r="B70" s="45" t="n"/>
      <c r="C70" s="46" t="n"/>
      <c r="D70" s="46" t="n"/>
      <c r="E70" s="47" t="n"/>
      <c r="F70" s="46" t="n"/>
      <c r="G70" s="46" t="n"/>
      <c r="H70" s="47" t="n"/>
      <c r="I70" s="47" t="n"/>
    </row>
    <row r="71">
      <c r="A71" s="44">
        <f>IF(B71&lt;&gt;"",ROW()-4,"")</f>
        <v/>
      </c>
      <c r="B71" s="45" t="n"/>
      <c r="C71" s="46" t="n"/>
      <c r="D71" s="46" t="n"/>
      <c r="E71" s="47" t="n"/>
      <c r="F71" s="46" t="n"/>
      <c r="G71" s="46" t="n"/>
      <c r="H71" s="47" t="n"/>
      <c r="I71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2025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- 2024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45331</v>
      </c>
      <c r="C5" s="46" t="inlineStr">
        <is>
          <t>Einrichtung eines Übungsraumes zum Notfalltraining (Raum 0.033)</t>
        </is>
      </c>
      <c r="D5" s="46" t="inlineStr">
        <is>
          <t>Bessere Übungsmöglichkeiten, weniger externer Aufwand</t>
        </is>
      </c>
      <c r="E5" s="47" t="inlineStr">
        <is>
          <t>Team</t>
        </is>
      </c>
      <c r="F5" s="46" t="inlineStr"/>
      <c r="G5" s="46" t="inlineStr"/>
      <c r="H5" s="47" t="inlineStr">
        <is>
          <t>Angenommen</t>
        </is>
      </c>
      <c r="I5" s="47" t="inlineStr">
        <is>
          <t>Bernd, Walter</t>
        </is>
      </c>
    </row>
    <row r="6" ht="28" customHeight="1">
      <c r="A6" s="44" t="n">
        <v>2</v>
      </c>
      <c r="B6" s="45" t="n">
        <v>45331</v>
      </c>
      <c r="C6" s="46" t="inlineStr">
        <is>
          <t>Rückenschilder und Namensschilder passend für Softshelljacke</t>
        </is>
      </c>
      <c r="D6" s="46" t="inlineStr">
        <is>
          <t>Einheitliches Erscheinungsbild</t>
        </is>
      </c>
      <c r="E6" s="47" t="inlineStr">
        <is>
          <t>Team</t>
        </is>
      </c>
      <c r="F6" s="46" t="inlineStr"/>
      <c r="G6" s="46" t="inlineStr"/>
      <c r="H6" s="47" t="inlineStr">
        <is>
          <t>Angenommen</t>
        </is>
      </c>
      <c r="I6" s="47" t="inlineStr">
        <is>
          <t>Walter</t>
        </is>
      </c>
    </row>
    <row r="7" ht="28" customHeight="1">
      <c r="A7" s="44" t="n">
        <v>3</v>
      </c>
      <c r="B7" s="45" t="n">
        <v>45373</v>
      </c>
      <c r="C7" s="46" t="inlineStr">
        <is>
          <t>Umorganisation Räume im GZ</t>
        </is>
      </c>
      <c r="D7" s="46" t="inlineStr">
        <is>
          <t>Bessere Raumnutzung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>
        <is>
          <t>Sanis</t>
        </is>
      </c>
    </row>
    <row r="8" ht="28" customHeight="1">
      <c r="A8" s="44" t="n">
        <v>4</v>
      </c>
      <c r="B8" s="45" t="n">
        <v>45373</v>
      </c>
      <c r="C8" s="46" t="inlineStr">
        <is>
          <t>Einheitliche Mützen für Winter</t>
        </is>
      </c>
      <c r="D8" s="46" t="inlineStr">
        <is>
          <t>Einheitliches Erscheinungsbild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>
        <is>
          <t>Harry</t>
        </is>
      </c>
    </row>
    <row r="9" ht="28" customHeight="1">
      <c r="A9" s="44" t="n">
        <v>5</v>
      </c>
      <c r="B9" s="45" t="n">
        <v>45373</v>
      </c>
      <c r="C9" s="46" t="inlineStr">
        <is>
          <t>Handspiegel beschaffen für MA die AS-Brille abholen</t>
        </is>
      </c>
      <c r="D9" s="46" t="inlineStr">
        <is>
          <t>Service für Mitarbeiter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>
        <is>
          <t>Larissa</t>
        </is>
      </c>
    </row>
    <row r="10" ht="28" customHeight="1">
      <c r="A10" s="44" t="n">
        <v>6</v>
      </c>
      <c r="B10" s="45" t="n">
        <v>45373</v>
      </c>
      <c r="C10" s="46" t="inlineStr">
        <is>
          <t>Einheitliche, aktuelle Fotos für WD MA im Social Intranet</t>
        </is>
      </c>
      <c r="D10" s="46" t="inlineStr">
        <is>
          <t>Professionelles Auftreten</t>
        </is>
      </c>
      <c r="E10" s="47" t="inlineStr">
        <is>
          <t>Team</t>
        </is>
      </c>
      <c r="F10" s="46" t="inlineStr"/>
      <c r="G10" s="46" t="inlineStr"/>
      <c r="H10" s="47" t="inlineStr"/>
      <c r="I10" s="47" t="inlineStr"/>
    </row>
    <row r="11" ht="28" customHeight="1">
      <c r="A11" s="44" t="n">
        <v>7</v>
      </c>
      <c r="B11" s="45" t="n">
        <v>45434</v>
      </c>
      <c r="C11" s="46" t="inlineStr">
        <is>
          <t>Wetterstation mit Luftdruck, Temperatur und Luftfeuchte in D1</t>
        </is>
      </c>
      <c r="D11" s="46" t="inlineStr">
        <is>
          <t>Information für Einsatzplanung</t>
        </is>
      </c>
      <c r="E11" s="47" t="inlineStr">
        <is>
          <t>Team</t>
        </is>
      </c>
      <c r="F11" s="46" t="inlineStr"/>
      <c r="G11" s="46" t="inlineStr"/>
      <c r="H11" s="47" t="inlineStr">
        <is>
          <t>Angenommen</t>
        </is>
      </c>
      <c r="I11" s="47" t="inlineStr"/>
    </row>
    <row r="12" ht="28" customHeight="1">
      <c r="A12" s="44" t="n">
        <v>8</v>
      </c>
      <c r="B12" s="45" t="n">
        <v>45519</v>
      </c>
      <c r="C12" s="46" t="inlineStr">
        <is>
          <t>Täglicher RTW Check in digitale Checkliste umgewandelt</t>
        </is>
      </c>
      <c r="D12" s="46" t="inlineStr">
        <is>
          <t>Zeit und Papier gespart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45559</v>
      </c>
      <c r="C13" s="46" t="inlineStr">
        <is>
          <t>RTW Alarme als Info in Teams automatisiert</t>
        </is>
      </c>
      <c r="D13" s="46" t="inlineStr">
        <is>
          <t>Schnellere Information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45589</v>
      </c>
      <c r="C14" s="46" t="inlineStr">
        <is>
          <t>Diagnostic WC Mülleimer tauschen gegen Deckel mit Fußbedienung</t>
        </is>
      </c>
      <c r="D14" s="46" t="inlineStr">
        <is>
          <t>Hygiene</t>
        </is>
      </c>
      <c r="E14" s="47" t="inlineStr">
        <is>
          <t>Team</t>
        </is>
      </c>
      <c r="F14" s="46" t="inlineStr"/>
      <c r="G14" s="46" t="inlineStr"/>
      <c r="H14" s="47" t="inlineStr"/>
      <c r="I14" s="47" t="inlineStr"/>
    </row>
    <row r="15">
      <c r="A15" s="44">
        <f>IF(B15&lt;&gt;"",ROW()-4,"")</f>
        <v/>
      </c>
      <c r="B15" s="45" t="n"/>
      <c r="C15" s="46" t="n"/>
      <c r="D15" s="46" t="n"/>
      <c r="E15" s="47" t="n"/>
      <c r="F15" s="46" t="n"/>
      <c r="G15" s="46" t="n"/>
      <c r="H15" s="47" t="n"/>
      <c r="I15" s="47" t="n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2024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 fitToPage="1"/>
  </sheetPr>
  <dimension ref="A1:I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- 2023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44998</v>
      </c>
      <c r="C5" s="46" t="inlineStr">
        <is>
          <t>Tablets/iPads für Anamnese-Bogen</t>
        </is>
      </c>
      <c r="D5" s="46" t="inlineStr">
        <is>
          <t>Papierersparnis, Digitalisierung</t>
        </is>
      </c>
      <c r="E5" s="47" t="inlineStr">
        <is>
          <t>Team</t>
        </is>
      </c>
      <c r="F5" s="46" t="inlineStr"/>
      <c r="G5" s="46" t="inlineStr"/>
      <c r="H5" s="47" t="inlineStr">
        <is>
          <t>Abgelehnt</t>
        </is>
      </c>
      <c r="I5" s="47" t="inlineStr"/>
    </row>
    <row r="6" ht="28" customHeight="1">
      <c r="A6" s="44" t="n">
        <v>2</v>
      </c>
      <c r="B6" s="45" t="n">
        <v>44998</v>
      </c>
      <c r="C6" s="46" t="inlineStr">
        <is>
          <t>Klingelknopf/Totmannmelder für Sani Nachtschicht</t>
        </is>
      </c>
      <c r="D6" s="46" t="inlineStr">
        <is>
          <t>Sicherheit</t>
        </is>
      </c>
      <c r="E6" s="47" t="inlineStr">
        <is>
          <t>Team</t>
        </is>
      </c>
      <c r="F6" s="46" t="inlineStr"/>
      <c r="G6" s="46" t="inlineStr"/>
      <c r="H6" s="47" t="inlineStr">
        <is>
          <t>Abgelehnt</t>
        </is>
      </c>
      <c r="I6" s="47" t="inlineStr"/>
    </row>
    <row r="7" ht="28" customHeight="1">
      <c r="A7" s="44" t="n">
        <v>3</v>
      </c>
      <c r="B7" s="45" t="n">
        <v>45005</v>
      </c>
      <c r="C7" s="46" t="inlineStr">
        <is>
          <t>Kühlschrank im Ruheraum abschalten</t>
        </is>
      </c>
      <c r="D7" s="46" t="inlineStr">
        <is>
          <t>Strom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/>
    </row>
    <row r="8" ht="28" customHeight="1">
      <c r="A8" s="44" t="n">
        <v>4</v>
      </c>
      <c r="B8" s="45" t="n">
        <v>45011</v>
      </c>
      <c r="C8" s="46" t="inlineStr">
        <is>
          <t>Druckinfusionsmanschette als Einmalprodukt</t>
        </is>
      </c>
      <c r="D8" s="46" t="inlineStr">
        <is>
          <t>Hygiene, Kosten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/>
    </row>
    <row r="9" ht="28" customHeight="1">
      <c r="A9" s="44" t="n">
        <v>5</v>
      </c>
      <c r="B9" s="45" t="n">
        <v>45015</v>
      </c>
      <c r="C9" s="46" t="inlineStr">
        <is>
          <t>Telefone in Ambulanzen neu strukturieren</t>
        </is>
      </c>
      <c r="D9" s="46" t="inlineStr">
        <is>
          <t>Bessere Erreichbarkeit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/>
    </row>
    <row r="10" ht="28" customHeight="1">
      <c r="A10" s="44" t="n">
        <v>6</v>
      </c>
      <c r="B10" s="45" t="n">
        <v>45016</v>
      </c>
      <c r="C10" s="46" t="inlineStr">
        <is>
          <t>Große Corpuls3 Taschen anschaffen</t>
        </is>
      </c>
      <c r="D10" s="46" t="inlineStr">
        <is>
          <t>Besserer Transport</t>
        </is>
      </c>
      <c r="E10" s="47" t="inlineStr">
        <is>
          <t>Team</t>
        </is>
      </c>
      <c r="F10" s="46" t="inlineStr"/>
      <c r="G10" s="46" t="inlineStr"/>
      <c r="H10" s="47" t="inlineStr">
        <is>
          <t>Angenommen</t>
        </is>
      </c>
      <c r="I10" s="47" t="inlineStr"/>
    </row>
    <row r="11" ht="28" customHeight="1">
      <c r="A11" s="44" t="n">
        <v>7</v>
      </c>
      <c r="B11" s="45" t="n">
        <v>45016</v>
      </c>
      <c r="C11" s="46" t="inlineStr">
        <is>
          <t>Therapie-Stammkabel-Verlängerung Corpuls3</t>
        </is>
      </c>
      <c r="D11" s="46" t="inlineStr">
        <is>
          <t>Flexibilität</t>
        </is>
      </c>
      <c r="E11" s="47" t="inlineStr">
        <is>
          <t>Team</t>
        </is>
      </c>
      <c r="F11" s="46" t="inlineStr"/>
      <c r="G11" s="46" t="inlineStr"/>
      <c r="H11" s="47" t="inlineStr">
        <is>
          <t>Abgelehnt</t>
        </is>
      </c>
      <c r="I11" s="47" t="inlineStr"/>
    </row>
    <row r="12" ht="28" customHeight="1">
      <c r="A12" s="44" t="n">
        <v>8</v>
      </c>
      <c r="B12" s="45" t="n">
        <v>45049</v>
      </c>
      <c r="C12" s="46" t="inlineStr">
        <is>
          <t>Beschriftung Notruftelefon erneuern</t>
        </is>
      </c>
      <c r="D12" s="46" t="inlineStr">
        <is>
          <t>Klarheit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45077</v>
      </c>
      <c r="C13" s="46" t="inlineStr">
        <is>
          <t>Sichere Spritzenkennzeichnung nach ISO DIVI Standard</t>
        </is>
      </c>
      <c r="D13" s="46" t="inlineStr">
        <is>
          <t>Patientensicherheit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45114</v>
      </c>
      <c r="C14" s="46" t="inlineStr">
        <is>
          <t>Briefkasten vor Arztzimmern</t>
        </is>
      </c>
      <c r="D14" s="46" t="inlineStr">
        <is>
          <t>Organisation</t>
        </is>
      </c>
      <c r="E14" s="47" t="inlineStr">
        <is>
          <t>Team</t>
        </is>
      </c>
      <c r="F14" s="46" t="inlineStr"/>
      <c r="G14" s="46" t="inlineStr"/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45155</v>
      </c>
      <c r="C15" s="46" t="inlineStr">
        <is>
          <t>USB-Umschalter für Dokumentenscanner</t>
        </is>
      </c>
      <c r="D15" s="46" t="inlineStr">
        <is>
          <t>Effizienz</t>
        </is>
      </c>
      <c r="E15" s="47" t="inlineStr">
        <is>
          <t>Team</t>
        </is>
      </c>
      <c r="F15" s="46" t="inlineStr"/>
      <c r="G15" s="46" t="inlineStr"/>
      <c r="H15" s="47" t="inlineStr">
        <is>
          <t>Angenommen</t>
        </is>
      </c>
      <c r="I15" s="47" t="inlineStr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2023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DBDBD"/>
    <outlinePr summaryBelow="1" summaryRight="1"/>
    <pageSetUpPr fitToPage="1"/>
  </sheetPr>
  <dimension ref="A1:I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- 2022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44748</v>
      </c>
      <c r="C5" s="46" t="inlineStr">
        <is>
          <t>Einwilligungserklärung ODIN archivieren - Datum auf Jahr 3000</t>
        </is>
      </c>
      <c r="D5" s="46" t="inlineStr">
        <is>
          <t>Verwaltungsaufwand reduziert</t>
        </is>
      </c>
      <c r="E5" s="47" t="inlineStr">
        <is>
          <t>Team</t>
        </is>
      </c>
      <c r="F5" s="46" t="inlineStr"/>
      <c r="G5" s="46" t="inlineStr"/>
      <c r="H5" s="47" t="inlineStr">
        <is>
          <t>Angenommen</t>
        </is>
      </c>
      <c r="I5" s="47" t="inlineStr"/>
    </row>
    <row r="6" ht="28" customHeight="1">
      <c r="A6" s="44" t="n">
        <v>2</v>
      </c>
      <c r="B6" s="45" t="n">
        <v>44762</v>
      </c>
      <c r="C6" s="46" t="inlineStr">
        <is>
          <t>Nachtschichtersthelfer für EH-Auffrischungskurs</t>
        </is>
      </c>
      <c r="D6" s="46" t="inlineStr">
        <is>
          <t>Bessere Ausbildung</t>
        </is>
      </c>
      <c r="E6" s="47" t="inlineStr">
        <is>
          <t>Team</t>
        </is>
      </c>
      <c r="F6" s="46" t="inlineStr"/>
      <c r="G6" s="46" t="inlineStr"/>
      <c r="H6" s="47" t="inlineStr">
        <is>
          <t>Abgelehnt</t>
        </is>
      </c>
      <c r="I6" s="47" t="inlineStr"/>
    </row>
    <row r="7" ht="28" customHeight="1">
      <c r="A7" s="44" t="n">
        <v>3</v>
      </c>
      <c r="B7" s="45" t="n">
        <v>44762</v>
      </c>
      <c r="C7" s="46" t="inlineStr">
        <is>
          <t>Heimlich-Manöver-Weste für EH-Kurs</t>
        </is>
      </c>
      <c r="D7" s="46" t="inlineStr">
        <is>
          <t>Besseres Training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/>
    </row>
    <row r="8" ht="28" customHeight="1">
      <c r="A8" s="44" t="n">
        <v>4</v>
      </c>
      <c r="B8" s="45" t="n">
        <v>44762</v>
      </c>
      <c r="C8" s="46" t="inlineStr">
        <is>
          <t>Reduktion der Endotrachealtuben auf Größen 8,5+7,5+6,5</t>
        </is>
      </c>
      <c r="D8" s="46" t="inlineStr">
        <is>
          <t>Kosten, Übersicht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/>
    </row>
    <row r="9" ht="28" customHeight="1">
      <c r="A9" s="44" t="n">
        <v>5</v>
      </c>
      <c r="B9" s="45" t="n">
        <v>44762</v>
      </c>
      <c r="C9" s="46" t="inlineStr">
        <is>
          <t>Verzicht auf Endotrachealtuben/Larynxtuben für Kinder</t>
        </is>
      </c>
      <c r="D9" s="46" t="inlineStr">
        <is>
          <t>Vereinfachung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/>
    </row>
    <row r="10" ht="28" customHeight="1">
      <c r="A10" s="44" t="n">
        <v>6</v>
      </c>
      <c r="B10" s="45" t="n">
        <v>44762</v>
      </c>
      <c r="C10" s="46" t="inlineStr">
        <is>
          <t>Notfalltasche mit Pneumothorax-Punktionsnadeln</t>
        </is>
      </c>
      <c r="D10" s="46" t="inlineStr">
        <is>
          <t>Notfallbereitschaft</t>
        </is>
      </c>
      <c r="E10" s="47" t="inlineStr">
        <is>
          <t>Team</t>
        </is>
      </c>
      <c r="F10" s="46" t="inlineStr"/>
      <c r="G10" s="46" t="inlineStr"/>
      <c r="H10" s="47" t="inlineStr">
        <is>
          <t>Angenommen</t>
        </is>
      </c>
      <c r="I10" s="47" t="inlineStr"/>
    </row>
    <row r="11" ht="28" customHeight="1">
      <c r="A11" s="44" t="n">
        <v>7</v>
      </c>
      <c r="B11" s="45" t="n">
        <v>44762</v>
      </c>
      <c r="C11" s="46" t="inlineStr">
        <is>
          <t>Notfalltasche mit Quick Clot Gauze und NAR-S Rolled Gauze</t>
        </is>
      </c>
      <c r="D11" s="46" t="inlineStr">
        <is>
          <t>Notfallbereitschaft</t>
        </is>
      </c>
      <c r="E11" s="47" t="inlineStr">
        <is>
          <t>Team</t>
        </is>
      </c>
      <c r="F11" s="46" t="inlineStr"/>
      <c r="G11" s="46" t="inlineStr"/>
      <c r="H11" s="47" t="inlineStr">
        <is>
          <t>Angenommen</t>
        </is>
      </c>
      <c r="I11" s="47" t="inlineStr"/>
    </row>
    <row r="12" ht="28" customHeight="1">
      <c r="A12" s="44" t="n">
        <v>8</v>
      </c>
      <c r="B12" s="45" t="n"/>
      <c r="C12" s="46" t="inlineStr">
        <is>
          <t>Zahnrettungsboxen für RTW, Ambulanz, EH-Kurs</t>
        </is>
      </c>
      <c r="D12" s="46" t="inlineStr">
        <is>
          <t>Notfallbereitschaft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44852</v>
      </c>
      <c r="C13" s="46" t="inlineStr">
        <is>
          <t>Halterung für Notfallrucksack am Notfallwagen</t>
        </is>
      </c>
      <c r="D13" s="46" t="inlineStr">
        <is>
          <t>Schnellerer Zugriff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44881</v>
      </c>
      <c r="C14" s="46" t="inlineStr">
        <is>
          <t>Webcam in Kuppenheim für Teams-Patientenbeurteilung</t>
        </is>
      </c>
      <c r="D14" s="46" t="inlineStr">
        <is>
          <t>Telemedizin</t>
        </is>
      </c>
      <c r="E14" s="47" t="inlineStr">
        <is>
          <t>Team</t>
        </is>
      </c>
      <c r="F14" s="46" t="inlineStr"/>
      <c r="G14" s="46" t="inlineStr"/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44893</v>
      </c>
      <c r="C15" s="46" t="inlineStr">
        <is>
          <t>Einsparung der Filterpatronen für Kaffeemaschine</t>
        </is>
      </c>
      <c r="D15" s="46" t="inlineStr">
        <is>
          <t>Geld</t>
        </is>
      </c>
      <c r="E15" s="47" t="inlineStr">
        <is>
          <t>Team</t>
        </is>
      </c>
      <c r="F15" s="46" t="inlineStr"/>
      <c r="G15" s="46" t="inlineStr"/>
      <c r="H15" s="47" t="inlineStr">
        <is>
          <t>Angenommen</t>
        </is>
      </c>
      <c r="I15" s="47" t="inlineStr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2022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666666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48" t="inlineStr">
        <is>
          <t>Dropdown: Einbringender</t>
        </is>
      </c>
    </row>
    <row r="2">
      <c r="A2" s="36" t="inlineStr">
        <is>
          <t>Breig</t>
        </is>
      </c>
    </row>
    <row r="3">
      <c r="A3" s="36" t="inlineStr">
        <is>
          <t>Dr. Vitez</t>
        </is>
      </c>
    </row>
    <row r="4">
      <c r="A4" s="36" t="inlineStr">
        <is>
          <t>Dr.Frei</t>
        </is>
      </c>
    </row>
    <row r="5">
      <c r="A5" s="36" t="inlineStr">
        <is>
          <t>Dr.Schmidt</t>
        </is>
      </c>
    </row>
    <row r="6">
      <c r="A6" s="36" t="inlineStr">
        <is>
          <t>Göpfrich</t>
        </is>
      </c>
    </row>
    <row r="7">
      <c r="A7" s="36" t="inlineStr">
        <is>
          <t>Jochim</t>
        </is>
      </c>
    </row>
    <row r="8">
      <c r="A8" s="36" t="inlineStr">
        <is>
          <t>Krempl</t>
        </is>
      </c>
    </row>
    <row r="9">
      <c r="A9" s="36" t="inlineStr">
        <is>
          <t>Müller-Horn</t>
        </is>
      </c>
    </row>
    <row r="10">
      <c r="A10" s="36" t="inlineStr">
        <is>
          <t>Putschler</t>
        </is>
      </c>
    </row>
    <row r="11">
      <c r="A11" s="36" t="inlineStr">
        <is>
          <t>Radimersky</t>
        </is>
      </c>
    </row>
    <row r="12">
      <c r="A12" s="36" t="inlineStr">
        <is>
          <t>Schmidt</t>
        </is>
      </c>
    </row>
    <row r="13">
      <c r="A13" s="36" t="inlineStr">
        <is>
          <t>Siebert</t>
        </is>
      </c>
    </row>
    <row r="14">
      <c r="A14" s="36" t="inlineStr">
        <is>
          <t>Wunsch</t>
        </is>
      </c>
    </row>
    <row r="15">
      <c r="A15" s="36" t="inlineStr">
        <is>
          <t>Zeller</t>
        </is>
      </c>
    </row>
    <row r="16">
      <c r="A16" s="36" t="inlineStr">
        <is>
          <t>Zieger-Buchta</t>
        </is>
      </c>
    </row>
    <row r="17">
      <c r="A17" s="36" t="inlineStr">
        <is>
          <t>Zuber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2026-02-09T03:52:53Z</dcterms:created>
  <dcterms:modified xsi:type="dcterms:W3CDTF">2026-02-09T03:52:53Z</dcterms:modified>
</cp:coreProperties>
</file>