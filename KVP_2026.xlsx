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2026" sheetId="2" state="visible" r:id="rId2"/>
    <sheet name="2025" sheetId="3" state="visible" r:id="rId3"/>
    <sheet name="2024" sheetId="4" state="visible" r:id="rId4"/>
    <sheet name="2023" sheetId="5" state="visible" r:id="rId5"/>
    <sheet name="2022" sheetId="6" state="visible" r:id="rId6"/>
    <sheet name="Hilfslisten" sheetId="7" state="visible" r:id="rId7"/>
  </sheets>
  <definedNames>
    <definedName name="KVPNamenListe">Hilfslisten!$A$2:$A$17</definedName>
    <definedName name="_xlnm.Print_Titles" localSheetId="1">'2026'!$4:$4</definedName>
    <definedName name="_xlnm.Print_Titles" localSheetId="2">'2025'!$4:$4</definedName>
    <definedName name="_xlnm.Print_Titles" localSheetId="3">'2024'!$4:$4</definedName>
    <definedName name="_xlnm.Print_Titles" localSheetId="4">'2023'!$4:$4</definedName>
    <definedName name="_xlnm.Print_Titles" localSheetId="5">'2022'!$4:$4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yyyy-mm-dd"/>
  </numFmts>
  <fonts count="21">
    <font>
      <name val="Calibri"/>
      <family val="2"/>
      <color theme="1"/>
      <sz val="11"/>
      <scheme val="minor"/>
    </font>
    <font>
      <name val="Calibri"/>
      <b val="1"/>
      <color rgb="000F3460"/>
      <sz val="18"/>
    </font>
    <font>
      <name val="Calibri"/>
      <b val="1"/>
      <color rgb="00FFFFFF"/>
      <sz val="16"/>
    </font>
    <font>
      <name val="Calibri"/>
      <b val="1"/>
      <color rgb="00FFFFFF"/>
      <sz val="10"/>
      <u val="single"/>
    </font>
    <font>
      <name val="Calibri"/>
      <b val="1"/>
      <color rgb="00333333"/>
      <sz val="10"/>
    </font>
    <font>
      <name val="Calibri"/>
      <b val="1"/>
      <color rgb="000F3460"/>
      <sz val="14"/>
    </font>
    <font>
      <name val="Calibri"/>
      <b val="1"/>
      <color rgb="0028A745"/>
      <sz val="14"/>
    </font>
    <font>
      <name val="Calibri"/>
      <b val="1"/>
      <color rgb="00DC3545"/>
      <sz val="14"/>
    </font>
    <font>
      <name val="Calibri"/>
      <b val="1"/>
      <color rgb="00FF6F00"/>
      <sz val="14"/>
    </font>
    <font>
      <name val="Calibri"/>
      <b val="1"/>
      <color rgb="00FFFFFF"/>
      <sz val="11"/>
    </font>
    <font>
      <name val="Calibri"/>
      <color rgb="00333333"/>
      <sz val="10"/>
    </font>
    <font>
      <name val="Calibri"/>
      <i val="1"/>
      <color rgb="00666666"/>
      <sz val="11"/>
    </font>
    <font>
      <name val="Calibri"/>
      <b val="1"/>
      <color rgb="00333333"/>
      <sz val="13"/>
    </font>
    <font>
      <name val="Calibri"/>
      <b val="1"/>
      <color rgb="000F3460"/>
      <sz val="24"/>
    </font>
    <font>
      <name val="Calibri"/>
      <b val="1"/>
      <color rgb="0028A745"/>
      <sz val="24"/>
    </font>
    <font>
      <name val="Calibri"/>
      <b val="1"/>
      <color rgb="0028A745"/>
      <sz val="13"/>
    </font>
    <font>
      <name val="Calibri"/>
      <b val="1"/>
      <color rgb="000F3460"/>
      <sz val="12"/>
      <u val="single"/>
    </font>
    <font>
      <name val="Calibri"/>
      <b val="1"/>
      <color rgb="000F3460"/>
      <sz val="12"/>
    </font>
    <font>
      <name val="Calibri"/>
      <b val="1"/>
      <color rgb="00FFFFFF"/>
      <sz val="12"/>
    </font>
    <font>
      <name val="Calibri"/>
      <b val="1"/>
      <color rgb="00333333"/>
      <sz val="11"/>
    </font>
    <font>
      <name val="Calibri"/>
      <b val="1"/>
      <color rgb="0028A745"/>
      <sz val="10"/>
    </font>
  </fonts>
  <fills count="11">
    <fill>
      <patternFill/>
    </fill>
    <fill>
      <patternFill patternType="gray125"/>
    </fill>
    <fill>
      <patternFill patternType="solid">
        <fgColor rgb="000F3460"/>
        <bgColor rgb="000F3460"/>
      </patternFill>
    </fill>
    <fill>
      <patternFill patternType="solid">
        <fgColor rgb="0028A745"/>
        <bgColor rgb="0028A745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BBDEFB"/>
        <bgColor rgb="00BBDEFB"/>
      </patternFill>
    </fill>
    <fill>
      <patternFill patternType="solid">
        <fgColor rgb="00D4EDDA"/>
        <bgColor rgb="00D4EDDA"/>
      </patternFill>
    </fill>
    <fill>
      <patternFill patternType="solid">
        <fgColor rgb="00F8D7DA"/>
        <bgColor rgb="00F8D7DA"/>
      </patternFill>
    </fill>
    <fill>
      <patternFill patternType="solid">
        <fgColor rgb="00FFF8E1"/>
        <bgColor rgb="00FFF8E1"/>
      </patternFill>
    </fill>
    <fill>
      <patternFill patternType="solid">
        <fgColor rgb="00FFCDD2"/>
        <bgColor rgb="00FFCDD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  <xf numFmtId="0" fontId="9" fillId="2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0" fillId="4" borderId="0" pivotButton="0" quotePrefix="0" xfId="0"/>
    <xf numFmtId="9" fontId="17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 wrapText="1"/>
    </xf>
    <xf numFmtId="0" fontId="16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5" borderId="0" pivotButton="0" quotePrefix="0" xfId="0"/>
    <xf numFmtId="9" fontId="17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 wrapText="1"/>
    </xf>
    <xf numFmtId="0" fontId="18" fillId="2" borderId="1" applyAlignment="1" pivotButton="0" quotePrefix="0" xfId="0">
      <alignment horizontal="center" vertical="center"/>
    </xf>
    <xf numFmtId="0" fontId="0" fillId="2" borderId="0" pivotButton="0" quotePrefix="0" xfId="0"/>
    <xf numFmtId="9" fontId="18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19" fillId="0" borderId="0" pivotButton="0" quotePrefix="0" xfId="0"/>
    <xf numFmtId="0" fontId="0" fillId="6" borderId="1" pivotButton="0" quotePrefix="0" xfId="0"/>
    <xf numFmtId="0" fontId="4" fillId="0" borderId="1" pivotButton="0" quotePrefix="0" xfId="0"/>
    <xf numFmtId="0" fontId="10" fillId="0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20" fillId="0" borderId="0" pivotButton="0" quotePrefix="0" xfId="0"/>
    <xf numFmtId="0" fontId="10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dxfs count="10">
    <dxf>
      <font>
        <b val="1"/>
        <color rgb="00FF6F00"/>
      </font>
      <fill>
        <patternFill patternType="solid">
          <fgColor rgb="00FFF3CD"/>
          <bgColor rgb="00FFF3CD"/>
        </patternFill>
      </fill>
    </dxf>
    <dxf>
      <fill>
        <patternFill patternType="solid">
          <fgColor rgb="00D4EDDA"/>
          <bgColor rgb="00D4EDDA"/>
        </patternFill>
      </fill>
    </dxf>
    <dxf>
      <fill>
        <patternFill patternType="solid">
          <fgColor rgb="00F8D7DA"/>
          <bgColor rgb="00F8D7DA"/>
        </patternFill>
      </fill>
    </dxf>
    <dxf>
      <font>
        <name val="Calibri"/>
        <b val="1"/>
        <color rgb="00FFFFFF"/>
        <sz val="10"/>
      </font>
      <fill>
        <patternFill patternType="solid">
          <fgColor rgb="00FF6F00"/>
          <bgColor rgb="00FF6F00"/>
        </patternFill>
      </fill>
    </dxf>
    <dxf>
      <font>
        <name val="Calibri"/>
        <b val="1"/>
        <color rgb="00FFFFFF"/>
        <sz val="10"/>
      </font>
      <fill>
        <patternFill patternType="solid">
          <fgColor rgb="0028A745"/>
          <bgColor rgb="0028A745"/>
        </patternFill>
      </fill>
    </dxf>
    <dxf>
      <fill>
        <patternFill patternType="solid">
          <fgColor rgb="00FFF8E1"/>
          <bgColor rgb="00FFF8E1"/>
        </patternFill>
      </fill>
    </dxf>
    <dxf>
      <font>
        <name val="Calibri"/>
        <b val="1"/>
        <color rgb="001B5E20"/>
        <sz val="10"/>
      </font>
    </dxf>
    <dxf>
      <font>
        <name val="Calibri"/>
        <b val="1"/>
        <color rgb="00B71C1C"/>
        <sz val="10"/>
      </font>
    </dxf>
    <dxf>
      <font>
        <b val="1"/>
        <color rgb="001565C0"/>
      </font>
      <fill>
        <patternFill patternType="solid">
          <fgColor rgb="00BBDEFB"/>
          <bgColor rgb="00BBDEFB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2026'!A1" TargetMode="External" Id="rId1" /><Relationship Type="http://schemas.openxmlformats.org/officeDocument/2006/relationships/hyperlink" Target="#'2025'!A1" TargetMode="External" Id="rId2" /><Relationship Type="http://schemas.openxmlformats.org/officeDocument/2006/relationships/hyperlink" Target="#'2024'!A1" TargetMode="External" Id="rId3" /><Relationship Type="http://schemas.openxmlformats.org/officeDocument/2006/relationships/hyperlink" Target="#'2023'!A1" TargetMode="External" Id="rId4" /><Relationship Type="http://schemas.openxmlformats.org/officeDocument/2006/relationships/hyperlink" Target="#'2022'!A1" TargetMode="External" Id="rId5" /></Relationships>
</file>

<file path=xl/worksheets/_rels/sheet2.xml.rels><Relationships xmlns="http://schemas.openxmlformats.org/package/2006/relationships"><Relationship Type="http://schemas.openxmlformats.org/officeDocument/2006/relationships/hyperlink" Target="#Dashboard!A1" TargetMode="External" Id="rId1" /><Relationship Type="http://schemas.openxmlformats.org/officeDocument/2006/relationships/hyperlink" Target="mailto:walter.putschler@mercedes-benz.com?subject=KVP%20Vorschlag%20-%202026&amp;body=Neuer%20KVP-Vorschlag%20eingereicht.%0A%0ABitte%20in%20der%20KVP-Liste%202026%20pr%C3%BCfen.%0A%0AMit%20freundlichen%20Gr%C3%BC%C3%9Fen" TargetMode="External" Id="rId2" /></Relationships>
</file>

<file path=xl/worksheets/_rels/sheet3.xml.rels><Relationships xmlns="http://schemas.openxmlformats.org/package/2006/relationships"><Relationship Type="http://schemas.openxmlformats.org/officeDocument/2006/relationships/hyperlink" Target="#Dashboard!A1" TargetMode="External" Id="rId1" /><Relationship Type="http://schemas.openxmlformats.org/officeDocument/2006/relationships/hyperlink" Target="mailto:walter.putschler@mercedes-benz.com?subject=KVP%20Vorschlag%20-%202025&amp;body=Neuer%20KVP-Vorschlag%20eingereicht.%0A%0ABitte%20in%20der%20KVP-Liste%202025%20pr%C3%BCfen.%0A%0AMit%20freundlichen%20Gr%C3%BC%C3%9Fen" TargetMode="External" Id="rId2" /></Relationships>
</file>

<file path=xl/worksheets/_rels/sheet4.xml.rels><Relationships xmlns="http://schemas.openxmlformats.org/package/2006/relationships"><Relationship Type="http://schemas.openxmlformats.org/officeDocument/2006/relationships/hyperlink" Target="#Dashboard!A1" TargetMode="External" Id="rId1" /><Relationship Type="http://schemas.openxmlformats.org/officeDocument/2006/relationships/hyperlink" Target="mailto:walter.putschler@mercedes-benz.com?subject=KVP%20Vorschlag%20-%202024&amp;body=Neuer%20KVP-Vorschlag%20eingereicht.%0A%0ABitte%20in%20der%20KVP-Liste%202024%20pr%C3%BCfen.%0A%0AMit%20freundlichen%20Gr%C3%BC%C3%9Fen" TargetMode="External" Id="rId2" /></Relationships>
</file>

<file path=xl/worksheets/_rels/sheet5.xml.rels><Relationships xmlns="http://schemas.openxmlformats.org/package/2006/relationships"><Relationship Type="http://schemas.openxmlformats.org/officeDocument/2006/relationships/hyperlink" Target="#Dashboard!A1" TargetMode="External" Id="rId1" /><Relationship Type="http://schemas.openxmlformats.org/officeDocument/2006/relationships/hyperlink" Target="mailto:walter.putschler@mercedes-benz.com?subject=KVP%20Vorschlag%20-%202023&amp;body=Neuer%20KVP-Vorschlag%20eingereicht.%0A%0ABitte%20in%20der%20KVP-Liste%202023%20pr%C3%BCfen.%0A%0AMit%20freundlichen%20Gr%C3%BC%C3%9Fen" TargetMode="External" Id="rId2" /></Relationships>
</file>

<file path=xl/worksheets/_rels/sheet6.xml.rels><Relationships xmlns="http://schemas.openxmlformats.org/package/2006/relationships"><Relationship Type="http://schemas.openxmlformats.org/officeDocument/2006/relationships/hyperlink" Target="#Dashboard!A1" TargetMode="External" Id="rId1" /><Relationship Type="http://schemas.openxmlformats.org/officeDocument/2006/relationships/hyperlink" Target="mailto:walter.putschler@mercedes-benz.com?subject=KVP%20Vorschlag%20-%202022&amp;body=Neuer%20KVP-Vorschlag%20eingereicht.%0A%0ABitte%20in%20der%20KVP-Liste%202022%20pr%C3%BCfen.%0A%0AMit%20freundlichen%20Gr%C3%BC%C3%9Fen" TargetMode="External" Id="rId2" /></Relationships>
</file>

<file path=xl/worksheets/sheet1.xml><?xml version="1.0" encoding="utf-8"?>
<worksheet xmlns="http://schemas.openxmlformats.org/spreadsheetml/2006/main">
  <sheetPr>
    <tabColor rgb="000F3460"/>
    <outlinePr summaryBelow="1" summaryRight="1"/>
    <pageSetUpPr fitToPage="1"/>
  </sheetPr>
  <dimension ref="B1:I33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5" customWidth="1" min="7" max="7"/>
    <col width="16" customWidth="1" min="8" max="8"/>
    <col width="45" customWidth="1" min="9" max="9"/>
  </cols>
  <sheetData>
    <row r="1" ht="25" customHeight="1">
      <c r="B1" s="1" t="inlineStr">
        <is>
          <t>KVP Dashboard - Kontinuierlicher Verbesserungsprozess</t>
        </is>
      </c>
    </row>
    <row r="2" ht="25" customHeight="1"/>
    <row r="3">
      <c r="B3" s="2" t="inlineStr">
        <is>
          <t>Werksärztlicher Dienst Mercedes-Benz Rastatt/Kuppenheim</t>
        </is>
      </c>
    </row>
    <row r="4" ht="8" customHeight="1"/>
    <row r="5" ht="40" customHeight="1">
      <c r="B5" s="3" t="inlineStr">
        <is>
          <t>Gesamt Vorschläge:</t>
        </is>
      </c>
      <c r="D5" s="4">
        <f>C13</f>
        <v/>
      </c>
      <c r="E5" s="3" t="inlineStr">
        <is>
          <t>Angenommen:</t>
        </is>
      </c>
      <c r="F5" s="5">
        <f>D13</f>
        <v/>
      </c>
      <c r="H5" s="6">
        <f>"Annahmequote: "&amp;TEXT(H13,"0%")</f>
        <v/>
      </c>
    </row>
    <row r="6" ht="8" customHeight="1"/>
    <row r="7" ht="30" customHeight="1">
      <c r="B7" s="7" t="inlineStr">
        <is>
          <t>Jahr</t>
        </is>
      </c>
      <c r="C7" s="7" t="inlineStr">
        <is>
          <t>Vorschläge</t>
        </is>
      </c>
      <c r="D7" s="7" t="inlineStr">
        <is>
          <t>Angenommen</t>
        </is>
      </c>
      <c r="E7" s="7" t="inlineStr">
        <is>
          <t>Abgelehnt</t>
        </is>
      </c>
      <c r="F7" s="7" t="inlineStr">
        <is>
          <t>Offen</t>
        </is>
      </c>
      <c r="G7" s="7" t="inlineStr"/>
      <c r="H7" s="7" t="inlineStr">
        <is>
          <t>Annahmequote</t>
        </is>
      </c>
      <c r="I7" s="7" t="inlineStr">
        <is>
          <t>Letzter Eintrag</t>
        </is>
      </c>
    </row>
    <row r="8" ht="28" customHeight="1">
      <c r="B8" s="8" t="inlineStr">
        <is>
          <t>2026</t>
        </is>
      </c>
      <c r="C8" s="9">
        <f>COUNTA('2026'!B5:B204)</f>
        <v/>
      </c>
      <c r="D8" s="10">
        <f>COUNTIF('2026'!H5:H204,"Angenommen")</f>
        <v/>
      </c>
      <c r="E8" s="11">
        <f>COUNTIF('2026'!H5:H204,"Abgelehnt")</f>
        <v/>
      </c>
      <c r="F8" s="12">
        <f>C8-D8-E8</f>
        <v/>
      </c>
      <c r="G8" s="13" t="n"/>
      <c r="H8" s="14">
        <f>IF(C8&gt;0,D8/C8,"")</f>
        <v/>
      </c>
      <c r="I8" s="15">
        <f>IFERROR(LOOKUP(2,1/('2026'!C5:C204&lt;&gt;""),'2026'!C5:C204),"—")</f>
        <v/>
      </c>
    </row>
    <row r="9" ht="28" customHeight="1">
      <c r="B9" s="16" t="inlineStr">
        <is>
          <t>2025</t>
        </is>
      </c>
      <c r="C9" s="17">
        <f>COUNTA('2025'!B5:B204)</f>
        <v/>
      </c>
      <c r="D9" s="18">
        <f>COUNTIF('2025'!H5:H204,"Angenommen")</f>
        <v/>
      </c>
      <c r="E9" s="19">
        <f>COUNTIF('2025'!H5:H204,"Abgelehnt")</f>
        <v/>
      </c>
      <c r="F9" s="20">
        <f>C9-D9-E9</f>
        <v/>
      </c>
      <c r="G9" s="21" t="n"/>
      <c r="H9" s="22">
        <f>IF(C9&gt;0,D9/C9,"")</f>
        <v/>
      </c>
      <c r="I9" s="23">
        <f>IFERROR(LOOKUP(2,1/('2025'!C5:C204&lt;&gt;""),'2025'!C5:C204),"—")</f>
        <v/>
      </c>
    </row>
    <row r="10" ht="28" customHeight="1">
      <c r="B10" s="8" t="inlineStr">
        <is>
          <t>2024</t>
        </is>
      </c>
      <c r="C10" s="9">
        <f>COUNTA('2024'!B5:B204)</f>
        <v/>
      </c>
      <c r="D10" s="10">
        <f>COUNTIF('2024'!H5:H204,"Angenommen")</f>
        <v/>
      </c>
      <c r="E10" s="11">
        <f>COUNTIF('2024'!H5:H204,"Abgelehnt")</f>
        <v/>
      </c>
      <c r="F10" s="12">
        <f>C10-D10-E10</f>
        <v/>
      </c>
      <c r="G10" s="13" t="n"/>
      <c r="H10" s="14">
        <f>IF(C10&gt;0,D10/C10,"")</f>
        <v/>
      </c>
      <c r="I10" s="15">
        <f>IFERROR(LOOKUP(2,1/('2024'!C5:C204&lt;&gt;""),'2024'!C5:C204),"—")</f>
        <v/>
      </c>
    </row>
    <row r="11" ht="28" customHeight="1">
      <c r="B11" s="16" t="inlineStr">
        <is>
          <t>2023</t>
        </is>
      </c>
      <c r="C11" s="17">
        <f>COUNTA('2023'!B5:B204)</f>
        <v/>
      </c>
      <c r="D11" s="18">
        <f>COUNTIF('2023'!H5:H204,"Angenommen")</f>
        <v/>
      </c>
      <c r="E11" s="19">
        <f>COUNTIF('2023'!H5:H204,"Abgelehnt")</f>
        <v/>
      </c>
      <c r="F11" s="20">
        <f>C11-D11-E11</f>
        <v/>
      </c>
      <c r="G11" s="21" t="n"/>
      <c r="H11" s="22">
        <f>IF(C11&gt;0,D11/C11,"")</f>
        <v/>
      </c>
      <c r="I11" s="23">
        <f>IFERROR(LOOKUP(2,1/('2023'!C5:C204&lt;&gt;""),'2023'!C5:C204),"—")</f>
        <v/>
      </c>
    </row>
    <row r="12" ht="28" customHeight="1">
      <c r="B12" s="8" t="inlineStr">
        <is>
          <t>2022</t>
        </is>
      </c>
      <c r="C12" s="9">
        <f>COUNTA('2022'!B5:B204)</f>
        <v/>
      </c>
      <c r="D12" s="10">
        <f>COUNTIF('2022'!H5:H204,"Angenommen")</f>
        <v/>
      </c>
      <c r="E12" s="11">
        <f>COUNTIF('2022'!H5:H204,"Abgelehnt")</f>
        <v/>
      </c>
      <c r="F12" s="12">
        <f>C12-D12-E12</f>
        <v/>
      </c>
      <c r="G12" s="13" t="n"/>
      <c r="H12" s="14">
        <f>IF(C12&gt;0,D12/C12,"")</f>
        <v/>
      </c>
      <c r="I12" s="15">
        <f>IFERROR(LOOKUP(2,1/('2022'!C5:C204&lt;&gt;""),'2022'!C5:C204),"—")</f>
        <v/>
      </c>
    </row>
    <row r="13">
      <c r="B13" s="24" t="inlineStr">
        <is>
          <t>GESAMT</t>
        </is>
      </c>
      <c r="C13" s="24">
        <f>SUM(C8:C12)</f>
        <v/>
      </c>
      <c r="D13" s="24">
        <f>SUM(D8:D12)</f>
        <v/>
      </c>
      <c r="E13" s="24">
        <f>SUM(E8:E12)</f>
        <v/>
      </c>
      <c r="F13" s="24">
        <f>SUM(F8:F12)</f>
        <v/>
      </c>
      <c r="G13" s="25" t="n"/>
      <c r="H13" s="26">
        <f>IF(C13&gt;0,D13/C13,"")</f>
        <v/>
      </c>
      <c r="I13" s="27" t="n"/>
    </row>
    <row r="15">
      <c r="B15" s="28" t="inlineStr">
        <is>
          <t>Legende Farbmarkierungen in den Jahres-Sheets:</t>
        </is>
      </c>
    </row>
    <row r="16">
      <c r="B16" s="29" t="n"/>
      <c r="C16" s="30" t="inlineStr">
        <is>
          <t>Nr. blau</t>
        </is>
      </c>
      <c r="D16" s="31" t="inlineStr">
        <is>
          <t>Neuer Vorschlag (letzte 14 Tage)</t>
        </is>
      </c>
    </row>
    <row r="17">
      <c r="B17" s="32" t="n"/>
      <c r="C17" s="30" t="inlineStr">
        <is>
          <t>Zeile grün</t>
        </is>
      </c>
      <c r="D17" s="31" t="inlineStr">
        <is>
          <t>Angenommen</t>
        </is>
      </c>
    </row>
    <row r="18">
      <c r="B18" s="33" t="n"/>
      <c r="C18" s="30" t="inlineStr">
        <is>
          <t>Zeile rot</t>
        </is>
      </c>
      <c r="D18" s="31" t="inlineStr">
        <is>
          <t>Abgelehnt</t>
        </is>
      </c>
    </row>
    <row r="19">
      <c r="B19" s="34" t="n"/>
      <c r="C19" s="30" t="inlineStr">
        <is>
          <t>Zeile gelb</t>
        </is>
      </c>
      <c r="D19" s="31" t="inlineStr">
        <is>
          <t>Offen (noch keine Entscheidung)</t>
        </is>
      </c>
    </row>
    <row r="20">
      <c r="B20" s="35" t="n"/>
      <c r="C20" s="30" t="inlineStr">
        <is>
          <t>Zelle rot</t>
        </is>
      </c>
      <c r="D20" s="31" t="inlineStr">
        <is>
          <t>Pflichtfeld fehlt oder Ablehnung ohne Begründung</t>
        </is>
      </c>
    </row>
    <row r="22">
      <c r="B22" s="28" t="inlineStr">
        <is>
          <t>Hinweise zur KVP-Liste 2026:</t>
        </is>
      </c>
    </row>
    <row r="23">
      <c r="B23" s="36" t="inlineStr">
        <is>
          <t>✓</t>
        </is>
      </c>
      <c r="C23" s="37" t="inlineStr">
        <is>
          <t>Neuen KVP-Vorschlag im aktiven Jahres-Tab eintragen (Datum + Thema + Einbringender)</t>
        </is>
      </c>
    </row>
    <row r="24">
      <c r="B24" s="36" t="inlineStr">
        <is>
          <t>✓</t>
        </is>
      </c>
      <c r="C24" s="37" t="inlineStr">
        <is>
          <t>Status wird vom Gremium auf "Angenommen" oder "Abgelehnt" gesetzt</t>
        </is>
      </c>
    </row>
    <row r="25">
      <c r="B25" s="36" t="inlineStr">
        <is>
          <t>✓</t>
        </is>
      </c>
      <c r="C25" s="37" t="inlineStr">
        <is>
          <t>Umsetzungsstatus per Dropdown: Offen / In Umsetzung / Umgesetzt</t>
        </is>
      </c>
    </row>
    <row r="26">
      <c r="B26" s="36" t="inlineStr">
        <is>
          <t>✓</t>
        </is>
      </c>
      <c r="C26" s="37" t="inlineStr">
        <is>
          <t>Mail-Link informiert das KVP-Gremium über neue Vorschläge</t>
        </is>
      </c>
    </row>
    <row r="27">
      <c r="B27" s="36" t="inlineStr">
        <is>
          <t>✓</t>
        </is>
      </c>
      <c r="C27" s="37" t="inlineStr">
        <is>
          <t>Dynamische Erinnerung zeigt offene Vorschläge ohne Entscheidung</t>
        </is>
      </c>
    </row>
    <row r="28">
      <c r="B28" s="36" t="inlineStr">
        <is>
          <t>✓</t>
        </is>
      </c>
      <c r="C28" s="37" t="inlineStr">
        <is>
          <t>Pflichtfelder: Thema/Einbringender wird rot wenn leer bei eingetragenem Datum</t>
        </is>
      </c>
    </row>
    <row r="29">
      <c r="B29" s="36" t="inlineStr">
        <is>
          <t>✓</t>
        </is>
      </c>
      <c r="C29" s="37" t="inlineStr">
        <is>
          <t>Ablehnungen ohne Gremium-Kommentar werden rot markiert</t>
        </is>
      </c>
    </row>
    <row r="30">
      <c r="B30" s="36" t="inlineStr">
        <is>
          <t>✓</t>
        </is>
      </c>
      <c r="C30" s="37" t="inlineStr">
        <is>
          <t>Dashboard zeigt automatisch Statistiken über alle Jahre</t>
        </is>
      </c>
    </row>
    <row r="31">
      <c r="B31" s="36" t="inlineStr">
        <is>
          <t>✓</t>
        </is>
      </c>
      <c r="C31" s="37" t="inlineStr">
        <is>
          <t>Einbringender kann per Dropdown ausgewählt werden</t>
        </is>
      </c>
    </row>
    <row r="32">
      <c r="B32" s="36" t="inlineStr">
        <is>
          <t>✓</t>
        </is>
      </c>
      <c r="C32" s="37" t="inlineStr">
        <is>
          <t>Archiv-Tabs (2022-2025) enthalten alle bisherigen Vorschläge</t>
        </is>
      </c>
    </row>
    <row r="33">
      <c r="B33" s="36" t="inlineStr">
        <is>
          <t>✓</t>
        </is>
      </c>
      <c r="C33" s="37" t="inlineStr">
        <is>
          <t>Kein Blattschutz, keine Makros - alles frei editierbar</t>
        </is>
      </c>
    </row>
  </sheetData>
  <mergeCells count="22">
    <mergeCell ref="C23:I23"/>
    <mergeCell ref="B1:I2"/>
    <mergeCell ref="B15:E15"/>
    <mergeCell ref="B3:I3"/>
    <mergeCell ref="D17:F17"/>
    <mergeCell ref="B22:I22"/>
    <mergeCell ref="C32:I32"/>
    <mergeCell ref="D16:F16"/>
    <mergeCell ref="C28:I28"/>
    <mergeCell ref="D18:F18"/>
    <mergeCell ref="C24:I24"/>
    <mergeCell ref="C30:I30"/>
    <mergeCell ref="C33:I33"/>
    <mergeCell ref="C26:I26"/>
    <mergeCell ref="C29:I29"/>
    <mergeCell ref="D20:F20"/>
    <mergeCell ref="C25:I25"/>
    <mergeCell ref="C31:I31"/>
    <mergeCell ref="D19:F19"/>
    <mergeCell ref="B5:C5"/>
    <mergeCell ref="H5:I5"/>
    <mergeCell ref="C27:I27"/>
  </mergeCells>
  <conditionalFormatting sqref="F8:F12">
    <cfRule type="cellIs" priority="1" operator="greaterThan" dxfId="0" stopIfTrue="0">
      <formula>0</formula>
    </cfRule>
  </conditionalFormatting>
  <conditionalFormatting sqref="H8:H13">
    <cfRule type="cellIs" priority="2" operator="greaterThanOrEqual" dxfId="1" stopIfTrue="0">
      <formula>0.7</formula>
    </cfRule>
    <cfRule type="cellIs" priority="3" operator="lessThan" dxfId="2" stopIfTrue="0">
      <formula>0.5</formula>
    </cfRule>
  </conditionalFormatting>
  <hyperlinks>
    <hyperlink xmlns:r="http://schemas.openxmlformats.org/officeDocument/2006/relationships" ref="B8" r:id="rId1"/>
    <hyperlink xmlns:r="http://schemas.openxmlformats.org/officeDocument/2006/relationships" ref="B9" r:id="rId2"/>
    <hyperlink xmlns:r="http://schemas.openxmlformats.org/officeDocument/2006/relationships" ref="B10" r:id="rId3"/>
    <hyperlink xmlns:r="http://schemas.openxmlformats.org/officeDocument/2006/relationships" ref="B11" r:id="rId4"/>
    <hyperlink xmlns:r="http://schemas.openxmlformats.org/officeDocument/2006/relationships" ref="B12" r:id="rId5"/>
  </hyperlinks>
  <pageMargins left="0.75" right="0.75" top="1" bottom="1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tabColor rgb="0028A745"/>
    <outlinePr summaryBelow="1" summaryRight="1"/>
    <pageSetUpPr fitToPage="1"/>
  </sheetPr>
  <dimension ref="A1:J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55" customWidth="1" min="3" max="3"/>
    <col width="28" customWidth="1" min="4" max="4"/>
    <col width="16" customWidth="1" min="5" max="5"/>
    <col width="28" customWidth="1" min="6" max="6"/>
    <col width="23" customWidth="1" min="7" max="7"/>
    <col width="14" customWidth="1" min="8" max="8"/>
    <col width="14" customWidth="1" min="9" max="9"/>
    <col width="16" customWidth="1" min="10" max="10"/>
  </cols>
  <sheetData>
    <row r="1" ht="38" customHeight="1">
      <c r="A1" s="38" t="inlineStr">
        <is>
          <t>KVP Themenliste - Werksärztlicher Dienst Rastatt/Kuppenheim - 2026</t>
        </is>
      </c>
      <c r="J1" s="39" t="inlineStr">
        <is>
          <t>← Dashboard</t>
        </is>
      </c>
    </row>
    <row r="2" ht="30" customHeight="1">
      <c r="A2" s="40" t="inlineStr">
        <is>
          <t>Vorschläge:</t>
        </is>
      </c>
      <c r="B2" s="41">
        <f>COUNTA(B5:B204)</f>
        <v/>
      </c>
      <c r="C2" s="40" t="inlineStr">
        <is>
          <t>Angenommen:</t>
        </is>
      </c>
      <c r="D2" s="42">
        <f>COUNTIF(H5:H204,"Angenommen")</f>
        <v/>
      </c>
      <c r="E2" s="40" t="inlineStr">
        <is>
          <t>Abgelehnt:</t>
        </is>
      </c>
      <c r="F2" s="43">
        <f>COUNTIF(H5:H204,"Abgelehnt")</f>
        <v/>
      </c>
      <c r="G2" s="40" t="inlineStr">
        <is>
          <t>Offen:</t>
        </is>
      </c>
      <c r="H2" s="44">
        <f>B2-D2-F2</f>
        <v/>
      </c>
    </row>
    <row r="3" ht="28" customHeight="1">
      <c r="A3" s="45" t="inlineStr">
        <is>
          <t>✉ Mail an KVP-Gremium (Putschler)</t>
        </is>
      </c>
      <c r="E3" s="46">
        <f>IF(B2-D2-F2&gt;0,"⚠ "&amp;B2-D2-F2&amp;" Vorschlag/Vorschläge ohne Entscheidung","✓ Alle Vorschläge entschieden")</f>
        <v/>
      </c>
    </row>
    <row r="4" ht="36" customHeight="1">
      <c r="A4" s="7" t="inlineStr">
        <is>
          <t>Nr.</t>
        </is>
      </c>
      <c r="B4" s="7" t="inlineStr">
        <is>
          <t>Datum</t>
        </is>
      </c>
      <c r="C4" s="7" t="inlineStr">
        <is>
          <t>Thema</t>
        </is>
      </c>
      <c r="D4" s="7" t="inlineStr">
        <is>
          <t>Ersparnis (Zeit, Geld, Kappa, u.s.w.)</t>
        </is>
      </c>
      <c r="E4" s="7" t="inlineStr">
        <is>
          <t>Einbringender</t>
        </is>
      </c>
      <c r="F4" s="7" t="inlineStr">
        <is>
          <t>Kommentar Bereichsverantwortlicher</t>
        </is>
      </c>
      <c r="G4" s="7" t="inlineStr">
        <is>
          <t>Kommentar vom Gremium</t>
        </is>
      </c>
      <c r="H4" s="7" t="inlineStr">
        <is>
          <t>Angenommen/
Abgelehnt</t>
        </is>
      </c>
      <c r="I4" s="7" t="inlineStr">
        <is>
          <t>Umsetzungs-
status</t>
        </is>
      </c>
      <c r="J4" s="7" t="inlineStr">
        <is>
          <t>Verantwortlich
für Umsetzung</t>
        </is>
      </c>
    </row>
    <row r="5">
      <c r="A5" s="47">
        <f>IF(B5&lt;&gt;"",ROW()-4,"")</f>
        <v/>
      </c>
      <c r="B5" s="48" t="n"/>
      <c r="C5" s="49" t="n"/>
      <c r="D5" s="49" t="n"/>
      <c r="E5" s="50" t="n"/>
      <c r="F5" s="49" t="n"/>
      <c r="G5" s="49" t="n"/>
      <c r="H5" s="50" t="n"/>
      <c r="I5" s="50" t="n"/>
      <c r="J5" s="50" t="n"/>
    </row>
    <row r="6">
      <c r="A6" s="47">
        <f>IF(B6&lt;&gt;"",ROW()-4,"")</f>
        <v/>
      </c>
      <c r="B6" s="48" t="n"/>
      <c r="C6" s="49" t="n"/>
      <c r="D6" s="49" t="n"/>
      <c r="E6" s="50" t="n"/>
      <c r="F6" s="49" t="n"/>
      <c r="G6" s="49" t="n"/>
      <c r="H6" s="50" t="n"/>
      <c r="I6" s="50" t="n"/>
      <c r="J6" s="50" t="n"/>
    </row>
    <row r="7">
      <c r="A7" s="47">
        <f>IF(B7&lt;&gt;"",ROW()-4,"")</f>
        <v/>
      </c>
      <c r="B7" s="48" t="n"/>
      <c r="C7" s="49" t="n"/>
      <c r="D7" s="49" t="n"/>
      <c r="E7" s="50" t="n"/>
      <c r="F7" s="49" t="n"/>
      <c r="G7" s="49" t="n"/>
      <c r="H7" s="50" t="n"/>
      <c r="I7" s="50" t="n"/>
      <c r="J7" s="50" t="n"/>
    </row>
    <row r="8">
      <c r="A8" s="47">
        <f>IF(B8&lt;&gt;"",ROW()-4,"")</f>
        <v/>
      </c>
      <c r="B8" s="48" t="n"/>
      <c r="C8" s="49" t="n"/>
      <c r="D8" s="49" t="n"/>
      <c r="E8" s="50" t="n"/>
      <c r="F8" s="49" t="n"/>
      <c r="G8" s="49" t="n"/>
      <c r="H8" s="50" t="n"/>
      <c r="I8" s="50" t="n"/>
      <c r="J8" s="50" t="n"/>
    </row>
    <row r="9">
      <c r="A9" s="47">
        <f>IF(B9&lt;&gt;"",ROW()-4,"")</f>
        <v/>
      </c>
      <c r="B9" s="48" t="n"/>
      <c r="C9" s="49" t="n"/>
      <c r="D9" s="49" t="n"/>
      <c r="E9" s="50" t="n"/>
      <c r="F9" s="49" t="n"/>
      <c r="G9" s="49" t="n"/>
      <c r="H9" s="50" t="n"/>
      <c r="I9" s="50" t="n"/>
      <c r="J9" s="50" t="n"/>
    </row>
    <row r="10">
      <c r="A10" s="47">
        <f>IF(B10&lt;&gt;"",ROW()-4,"")</f>
        <v/>
      </c>
      <c r="B10" s="48" t="n"/>
      <c r="C10" s="49" t="n"/>
      <c r="D10" s="49" t="n"/>
      <c r="E10" s="50" t="n"/>
      <c r="F10" s="49" t="n"/>
      <c r="G10" s="49" t="n"/>
      <c r="H10" s="50" t="n"/>
      <c r="I10" s="50" t="n"/>
      <c r="J10" s="50" t="n"/>
    </row>
    <row r="11">
      <c r="A11" s="47">
        <f>IF(B11&lt;&gt;"",ROW()-4,"")</f>
        <v/>
      </c>
      <c r="B11" s="48" t="n"/>
      <c r="C11" s="49" t="n"/>
      <c r="D11" s="49" t="n"/>
      <c r="E11" s="50" t="n"/>
      <c r="F11" s="49" t="n"/>
      <c r="G11" s="49" t="n"/>
      <c r="H11" s="50" t="n"/>
      <c r="I11" s="50" t="n"/>
      <c r="J11" s="50" t="n"/>
    </row>
    <row r="12">
      <c r="A12" s="47">
        <f>IF(B12&lt;&gt;"",ROW()-4,"")</f>
        <v/>
      </c>
      <c r="B12" s="48" t="n"/>
      <c r="C12" s="49" t="n"/>
      <c r="D12" s="49" t="n"/>
      <c r="E12" s="50" t="n"/>
      <c r="F12" s="49" t="n"/>
      <c r="G12" s="49" t="n"/>
      <c r="H12" s="50" t="n"/>
      <c r="I12" s="50" t="n"/>
      <c r="J12" s="50" t="n"/>
    </row>
    <row r="13">
      <c r="A13" s="47">
        <f>IF(B13&lt;&gt;"",ROW()-4,"")</f>
        <v/>
      </c>
      <c r="B13" s="48" t="n"/>
      <c r="C13" s="49" t="n"/>
      <c r="D13" s="49" t="n"/>
      <c r="E13" s="50" t="n"/>
      <c r="F13" s="49" t="n"/>
      <c r="G13" s="49" t="n"/>
      <c r="H13" s="50" t="n"/>
      <c r="I13" s="50" t="n"/>
      <c r="J13" s="50" t="n"/>
    </row>
    <row r="14">
      <c r="A14" s="47">
        <f>IF(B14&lt;&gt;"",ROW()-4,"")</f>
        <v/>
      </c>
      <c r="B14" s="48" t="n"/>
      <c r="C14" s="49" t="n"/>
      <c r="D14" s="49" t="n"/>
      <c r="E14" s="50" t="n"/>
      <c r="F14" s="49" t="n"/>
      <c r="G14" s="49" t="n"/>
      <c r="H14" s="50" t="n"/>
      <c r="I14" s="50" t="n"/>
      <c r="J14" s="50" t="n"/>
    </row>
    <row r="15">
      <c r="A15" s="47">
        <f>IF(B15&lt;&gt;"",ROW()-4,"")</f>
        <v/>
      </c>
      <c r="B15" s="48" t="n"/>
      <c r="C15" s="49" t="n"/>
      <c r="D15" s="49" t="n"/>
      <c r="E15" s="50" t="n"/>
      <c r="F15" s="49" t="n"/>
      <c r="G15" s="49" t="n"/>
      <c r="H15" s="50" t="n"/>
      <c r="I15" s="50" t="n"/>
      <c r="J15" s="50" t="n"/>
    </row>
    <row r="16">
      <c r="A16" s="47">
        <f>IF(B16&lt;&gt;"",ROW()-4,"")</f>
        <v/>
      </c>
      <c r="B16" s="48" t="n"/>
      <c r="C16" s="49" t="n"/>
      <c r="D16" s="49" t="n"/>
      <c r="E16" s="50" t="n"/>
      <c r="F16" s="49" t="n"/>
      <c r="G16" s="49" t="n"/>
      <c r="H16" s="50" t="n"/>
      <c r="I16" s="50" t="n"/>
      <c r="J16" s="50" t="n"/>
    </row>
    <row r="17">
      <c r="A17" s="47">
        <f>IF(B17&lt;&gt;"",ROW()-4,"")</f>
        <v/>
      </c>
      <c r="B17" s="48" t="n"/>
      <c r="C17" s="49" t="n"/>
      <c r="D17" s="49" t="n"/>
      <c r="E17" s="50" t="n"/>
      <c r="F17" s="49" t="n"/>
      <c r="G17" s="49" t="n"/>
      <c r="H17" s="50" t="n"/>
      <c r="I17" s="50" t="n"/>
      <c r="J17" s="50" t="n"/>
    </row>
    <row r="18">
      <c r="A18" s="47">
        <f>IF(B18&lt;&gt;"",ROW()-4,"")</f>
        <v/>
      </c>
      <c r="B18" s="48" t="n"/>
      <c r="C18" s="49" t="n"/>
      <c r="D18" s="49" t="n"/>
      <c r="E18" s="50" t="n"/>
      <c r="F18" s="49" t="n"/>
      <c r="G18" s="49" t="n"/>
      <c r="H18" s="50" t="n"/>
      <c r="I18" s="50" t="n"/>
      <c r="J18" s="50" t="n"/>
    </row>
    <row r="19">
      <c r="A19" s="47">
        <f>IF(B19&lt;&gt;"",ROW()-4,"")</f>
        <v/>
      </c>
      <c r="B19" s="48" t="n"/>
      <c r="C19" s="49" t="n"/>
      <c r="D19" s="49" t="n"/>
      <c r="E19" s="50" t="n"/>
      <c r="F19" s="49" t="n"/>
      <c r="G19" s="49" t="n"/>
      <c r="H19" s="50" t="n"/>
      <c r="I19" s="50" t="n"/>
      <c r="J19" s="50" t="n"/>
    </row>
    <row r="20">
      <c r="A20" s="47">
        <f>IF(B20&lt;&gt;"",ROW()-4,"")</f>
        <v/>
      </c>
      <c r="B20" s="48" t="n"/>
      <c r="C20" s="49" t="n"/>
      <c r="D20" s="49" t="n"/>
      <c r="E20" s="50" t="n"/>
      <c r="F20" s="49" t="n"/>
      <c r="G20" s="49" t="n"/>
      <c r="H20" s="50" t="n"/>
      <c r="I20" s="50" t="n"/>
      <c r="J20" s="50" t="n"/>
    </row>
    <row r="21">
      <c r="A21" s="47">
        <f>IF(B21&lt;&gt;"",ROW()-4,"")</f>
        <v/>
      </c>
      <c r="B21" s="48" t="n"/>
      <c r="C21" s="49" t="n"/>
      <c r="D21" s="49" t="n"/>
      <c r="E21" s="50" t="n"/>
      <c r="F21" s="49" t="n"/>
      <c r="G21" s="49" t="n"/>
      <c r="H21" s="50" t="n"/>
      <c r="I21" s="50" t="n"/>
      <c r="J21" s="50" t="n"/>
    </row>
    <row r="22">
      <c r="A22" s="47">
        <f>IF(B22&lt;&gt;"",ROW()-4,"")</f>
        <v/>
      </c>
      <c r="B22" s="48" t="n"/>
      <c r="C22" s="49" t="n"/>
      <c r="D22" s="49" t="n"/>
      <c r="E22" s="50" t="n"/>
      <c r="F22" s="49" t="n"/>
      <c r="G22" s="49" t="n"/>
      <c r="H22" s="50" t="n"/>
      <c r="I22" s="50" t="n"/>
      <c r="J22" s="50" t="n"/>
    </row>
    <row r="23">
      <c r="A23" s="47">
        <f>IF(B23&lt;&gt;"",ROW()-4,"")</f>
        <v/>
      </c>
      <c r="B23" s="48" t="n"/>
      <c r="C23" s="49" t="n"/>
      <c r="D23" s="49" t="n"/>
      <c r="E23" s="50" t="n"/>
      <c r="F23" s="49" t="n"/>
      <c r="G23" s="49" t="n"/>
      <c r="H23" s="50" t="n"/>
      <c r="I23" s="50" t="n"/>
      <c r="J23" s="50" t="n"/>
    </row>
    <row r="24">
      <c r="A24" s="47">
        <f>IF(B24&lt;&gt;"",ROW()-4,"")</f>
        <v/>
      </c>
      <c r="B24" s="48" t="n"/>
      <c r="C24" s="49" t="n"/>
      <c r="D24" s="49" t="n"/>
      <c r="E24" s="50" t="n"/>
      <c r="F24" s="49" t="n"/>
      <c r="G24" s="49" t="n"/>
      <c r="H24" s="50" t="n"/>
      <c r="I24" s="50" t="n"/>
      <c r="J24" s="50" t="n"/>
    </row>
    <row r="25">
      <c r="A25" s="47">
        <f>IF(B25&lt;&gt;"",ROW()-4,"")</f>
        <v/>
      </c>
      <c r="B25" s="48" t="n"/>
      <c r="C25" s="49" t="n"/>
      <c r="D25" s="49" t="n"/>
      <c r="E25" s="50" t="n"/>
      <c r="F25" s="49" t="n"/>
      <c r="G25" s="49" t="n"/>
      <c r="H25" s="50" t="n"/>
      <c r="I25" s="50" t="n"/>
      <c r="J25" s="50" t="n"/>
    </row>
    <row r="26">
      <c r="A26" s="47">
        <f>IF(B26&lt;&gt;"",ROW()-4,"")</f>
        <v/>
      </c>
      <c r="B26" s="48" t="n"/>
      <c r="C26" s="49" t="n"/>
      <c r="D26" s="49" t="n"/>
      <c r="E26" s="50" t="n"/>
      <c r="F26" s="49" t="n"/>
      <c r="G26" s="49" t="n"/>
      <c r="H26" s="50" t="n"/>
      <c r="I26" s="50" t="n"/>
      <c r="J26" s="50" t="n"/>
    </row>
    <row r="27">
      <c r="A27" s="47">
        <f>IF(B27&lt;&gt;"",ROW()-4,"")</f>
        <v/>
      </c>
      <c r="B27" s="48" t="n"/>
      <c r="C27" s="49" t="n"/>
      <c r="D27" s="49" t="n"/>
      <c r="E27" s="50" t="n"/>
      <c r="F27" s="49" t="n"/>
      <c r="G27" s="49" t="n"/>
      <c r="H27" s="50" t="n"/>
      <c r="I27" s="50" t="n"/>
      <c r="J27" s="50" t="n"/>
    </row>
    <row r="28">
      <c r="A28" s="47">
        <f>IF(B28&lt;&gt;"",ROW()-4,"")</f>
        <v/>
      </c>
      <c r="B28" s="48" t="n"/>
      <c r="C28" s="49" t="n"/>
      <c r="D28" s="49" t="n"/>
      <c r="E28" s="50" t="n"/>
      <c r="F28" s="49" t="n"/>
      <c r="G28" s="49" t="n"/>
      <c r="H28" s="50" t="n"/>
      <c r="I28" s="50" t="n"/>
      <c r="J28" s="50" t="n"/>
    </row>
    <row r="29">
      <c r="A29" s="47">
        <f>IF(B29&lt;&gt;"",ROW()-4,"")</f>
        <v/>
      </c>
      <c r="B29" s="48" t="n"/>
      <c r="C29" s="49" t="n"/>
      <c r="D29" s="49" t="n"/>
      <c r="E29" s="50" t="n"/>
      <c r="F29" s="49" t="n"/>
      <c r="G29" s="49" t="n"/>
      <c r="H29" s="50" t="n"/>
      <c r="I29" s="50" t="n"/>
      <c r="J29" s="50" t="n"/>
    </row>
    <row r="30">
      <c r="A30" s="47">
        <f>IF(B30&lt;&gt;"",ROW()-4,"")</f>
        <v/>
      </c>
      <c r="B30" s="48" t="n"/>
      <c r="C30" s="49" t="n"/>
      <c r="D30" s="49" t="n"/>
      <c r="E30" s="50" t="n"/>
      <c r="F30" s="49" t="n"/>
      <c r="G30" s="49" t="n"/>
      <c r="H30" s="50" t="n"/>
      <c r="I30" s="50" t="n"/>
      <c r="J30" s="50" t="n"/>
    </row>
    <row r="31">
      <c r="A31" s="47">
        <f>IF(B31&lt;&gt;"",ROW()-4,"")</f>
        <v/>
      </c>
      <c r="B31" s="48" t="n"/>
      <c r="C31" s="49" t="n"/>
      <c r="D31" s="49" t="n"/>
      <c r="E31" s="50" t="n"/>
      <c r="F31" s="49" t="n"/>
      <c r="G31" s="49" t="n"/>
      <c r="H31" s="50" t="n"/>
      <c r="I31" s="50" t="n"/>
      <c r="J31" s="50" t="n"/>
    </row>
    <row r="32">
      <c r="A32" s="47">
        <f>IF(B32&lt;&gt;"",ROW()-4,"")</f>
        <v/>
      </c>
      <c r="B32" s="48" t="n"/>
      <c r="C32" s="49" t="n"/>
      <c r="D32" s="49" t="n"/>
      <c r="E32" s="50" t="n"/>
      <c r="F32" s="49" t="n"/>
      <c r="G32" s="49" t="n"/>
      <c r="H32" s="50" t="n"/>
      <c r="I32" s="50" t="n"/>
      <c r="J32" s="50" t="n"/>
    </row>
    <row r="33">
      <c r="A33" s="47">
        <f>IF(B33&lt;&gt;"",ROW()-4,"")</f>
        <v/>
      </c>
      <c r="B33" s="48" t="n"/>
      <c r="C33" s="49" t="n"/>
      <c r="D33" s="49" t="n"/>
      <c r="E33" s="50" t="n"/>
      <c r="F33" s="49" t="n"/>
      <c r="G33" s="49" t="n"/>
      <c r="H33" s="50" t="n"/>
      <c r="I33" s="50" t="n"/>
      <c r="J33" s="50" t="n"/>
    </row>
    <row r="34">
      <c r="A34" s="47">
        <f>IF(B34&lt;&gt;"",ROW()-4,"")</f>
        <v/>
      </c>
      <c r="B34" s="48" t="n"/>
      <c r="C34" s="49" t="n"/>
      <c r="D34" s="49" t="n"/>
      <c r="E34" s="50" t="n"/>
      <c r="F34" s="49" t="n"/>
      <c r="G34" s="49" t="n"/>
      <c r="H34" s="50" t="n"/>
      <c r="I34" s="50" t="n"/>
      <c r="J34" s="50" t="n"/>
    </row>
    <row r="35">
      <c r="A35" s="47">
        <f>IF(B35&lt;&gt;"",ROW()-4,"")</f>
        <v/>
      </c>
      <c r="B35" s="48" t="n"/>
      <c r="C35" s="49" t="n"/>
      <c r="D35" s="49" t="n"/>
      <c r="E35" s="50" t="n"/>
      <c r="F35" s="49" t="n"/>
      <c r="G35" s="49" t="n"/>
      <c r="H35" s="50" t="n"/>
      <c r="I35" s="50" t="n"/>
      <c r="J35" s="50" t="n"/>
    </row>
    <row r="36">
      <c r="A36" s="47">
        <f>IF(B36&lt;&gt;"",ROW()-4,"")</f>
        <v/>
      </c>
      <c r="B36" s="48" t="n"/>
      <c r="C36" s="49" t="n"/>
      <c r="D36" s="49" t="n"/>
      <c r="E36" s="50" t="n"/>
      <c r="F36" s="49" t="n"/>
      <c r="G36" s="49" t="n"/>
      <c r="H36" s="50" t="n"/>
      <c r="I36" s="50" t="n"/>
      <c r="J36" s="50" t="n"/>
    </row>
    <row r="37">
      <c r="A37" s="47">
        <f>IF(B37&lt;&gt;"",ROW()-4,"")</f>
        <v/>
      </c>
      <c r="B37" s="48" t="n"/>
      <c r="C37" s="49" t="n"/>
      <c r="D37" s="49" t="n"/>
      <c r="E37" s="50" t="n"/>
      <c r="F37" s="49" t="n"/>
      <c r="G37" s="49" t="n"/>
      <c r="H37" s="50" t="n"/>
      <c r="I37" s="50" t="n"/>
      <c r="J37" s="50" t="n"/>
    </row>
    <row r="38">
      <c r="A38" s="47">
        <f>IF(B38&lt;&gt;"",ROW()-4,"")</f>
        <v/>
      </c>
      <c r="B38" s="48" t="n"/>
      <c r="C38" s="49" t="n"/>
      <c r="D38" s="49" t="n"/>
      <c r="E38" s="50" t="n"/>
      <c r="F38" s="49" t="n"/>
      <c r="G38" s="49" t="n"/>
      <c r="H38" s="50" t="n"/>
      <c r="I38" s="50" t="n"/>
      <c r="J38" s="50" t="n"/>
    </row>
    <row r="39">
      <c r="A39" s="47">
        <f>IF(B39&lt;&gt;"",ROW()-4,"")</f>
        <v/>
      </c>
      <c r="B39" s="48" t="n"/>
      <c r="C39" s="49" t="n"/>
      <c r="D39" s="49" t="n"/>
      <c r="E39" s="50" t="n"/>
      <c r="F39" s="49" t="n"/>
      <c r="G39" s="49" t="n"/>
      <c r="H39" s="50" t="n"/>
      <c r="I39" s="50" t="n"/>
      <c r="J39" s="50" t="n"/>
    </row>
    <row r="40">
      <c r="A40" s="47">
        <f>IF(B40&lt;&gt;"",ROW()-4,"")</f>
        <v/>
      </c>
      <c r="B40" s="48" t="n"/>
      <c r="C40" s="49" t="n"/>
      <c r="D40" s="49" t="n"/>
      <c r="E40" s="50" t="n"/>
      <c r="F40" s="49" t="n"/>
      <c r="G40" s="49" t="n"/>
      <c r="H40" s="50" t="n"/>
      <c r="I40" s="50" t="n"/>
      <c r="J40" s="50" t="n"/>
    </row>
    <row r="41">
      <c r="A41" s="47">
        <f>IF(B41&lt;&gt;"",ROW()-4,"")</f>
        <v/>
      </c>
      <c r="B41" s="48" t="n"/>
      <c r="C41" s="49" t="n"/>
      <c r="D41" s="49" t="n"/>
      <c r="E41" s="50" t="n"/>
      <c r="F41" s="49" t="n"/>
      <c r="G41" s="49" t="n"/>
      <c r="H41" s="50" t="n"/>
      <c r="I41" s="50" t="n"/>
      <c r="J41" s="50" t="n"/>
    </row>
    <row r="42">
      <c r="A42" s="47">
        <f>IF(B42&lt;&gt;"",ROW()-4,"")</f>
        <v/>
      </c>
      <c r="B42" s="48" t="n"/>
      <c r="C42" s="49" t="n"/>
      <c r="D42" s="49" t="n"/>
      <c r="E42" s="50" t="n"/>
      <c r="F42" s="49" t="n"/>
      <c r="G42" s="49" t="n"/>
      <c r="H42" s="50" t="n"/>
      <c r="I42" s="50" t="n"/>
      <c r="J42" s="50" t="n"/>
    </row>
    <row r="43">
      <c r="A43" s="47">
        <f>IF(B43&lt;&gt;"",ROW()-4,"")</f>
        <v/>
      </c>
      <c r="B43" s="48" t="n"/>
      <c r="C43" s="49" t="n"/>
      <c r="D43" s="49" t="n"/>
      <c r="E43" s="50" t="n"/>
      <c r="F43" s="49" t="n"/>
      <c r="G43" s="49" t="n"/>
      <c r="H43" s="50" t="n"/>
      <c r="I43" s="50" t="n"/>
      <c r="J43" s="50" t="n"/>
    </row>
    <row r="44">
      <c r="A44" s="47">
        <f>IF(B44&lt;&gt;"",ROW()-4,"")</f>
        <v/>
      </c>
      <c r="B44" s="48" t="n"/>
      <c r="C44" s="49" t="n"/>
      <c r="D44" s="49" t="n"/>
      <c r="E44" s="50" t="n"/>
      <c r="F44" s="49" t="n"/>
      <c r="G44" s="49" t="n"/>
      <c r="H44" s="50" t="n"/>
      <c r="I44" s="50" t="n"/>
      <c r="J44" s="50" t="n"/>
    </row>
    <row r="45">
      <c r="A45" s="47">
        <f>IF(B45&lt;&gt;"",ROW()-4,"")</f>
        <v/>
      </c>
      <c r="B45" s="48" t="n"/>
      <c r="C45" s="49" t="n"/>
      <c r="D45" s="49" t="n"/>
      <c r="E45" s="50" t="n"/>
      <c r="F45" s="49" t="n"/>
      <c r="G45" s="49" t="n"/>
      <c r="H45" s="50" t="n"/>
      <c r="I45" s="50" t="n"/>
      <c r="J45" s="50" t="n"/>
    </row>
    <row r="46">
      <c r="A46" s="47">
        <f>IF(B46&lt;&gt;"",ROW()-4,"")</f>
        <v/>
      </c>
      <c r="B46" s="48" t="n"/>
      <c r="C46" s="49" t="n"/>
      <c r="D46" s="49" t="n"/>
      <c r="E46" s="50" t="n"/>
      <c r="F46" s="49" t="n"/>
      <c r="G46" s="49" t="n"/>
      <c r="H46" s="50" t="n"/>
      <c r="I46" s="50" t="n"/>
      <c r="J46" s="50" t="n"/>
    </row>
    <row r="47">
      <c r="A47" s="47">
        <f>IF(B47&lt;&gt;"",ROW()-4,"")</f>
        <v/>
      </c>
      <c r="B47" s="48" t="n"/>
      <c r="C47" s="49" t="n"/>
      <c r="D47" s="49" t="n"/>
      <c r="E47" s="50" t="n"/>
      <c r="F47" s="49" t="n"/>
      <c r="G47" s="49" t="n"/>
      <c r="H47" s="50" t="n"/>
      <c r="I47" s="50" t="n"/>
      <c r="J47" s="50" t="n"/>
    </row>
    <row r="48">
      <c r="A48" s="47">
        <f>IF(B48&lt;&gt;"",ROW()-4,"")</f>
        <v/>
      </c>
      <c r="B48" s="48" t="n"/>
      <c r="C48" s="49" t="n"/>
      <c r="D48" s="49" t="n"/>
      <c r="E48" s="50" t="n"/>
      <c r="F48" s="49" t="n"/>
      <c r="G48" s="49" t="n"/>
      <c r="H48" s="50" t="n"/>
      <c r="I48" s="50" t="n"/>
      <c r="J48" s="50" t="n"/>
    </row>
    <row r="49">
      <c r="A49" s="47">
        <f>IF(B49&lt;&gt;"",ROW()-4,"")</f>
        <v/>
      </c>
      <c r="B49" s="48" t="n"/>
      <c r="C49" s="49" t="n"/>
      <c r="D49" s="49" t="n"/>
      <c r="E49" s="50" t="n"/>
      <c r="F49" s="49" t="n"/>
      <c r="G49" s="49" t="n"/>
      <c r="H49" s="50" t="n"/>
      <c r="I49" s="50" t="n"/>
      <c r="J49" s="50" t="n"/>
    </row>
    <row r="50">
      <c r="A50" s="47">
        <f>IF(B50&lt;&gt;"",ROW()-4,"")</f>
        <v/>
      </c>
      <c r="B50" s="48" t="n"/>
      <c r="C50" s="49" t="n"/>
      <c r="D50" s="49" t="n"/>
      <c r="E50" s="50" t="n"/>
      <c r="F50" s="49" t="n"/>
      <c r="G50" s="49" t="n"/>
      <c r="H50" s="50" t="n"/>
      <c r="I50" s="50" t="n"/>
      <c r="J50" s="50" t="n"/>
    </row>
    <row r="51">
      <c r="A51" s="47">
        <f>IF(B51&lt;&gt;"",ROW()-4,"")</f>
        <v/>
      </c>
      <c r="B51" s="48" t="n"/>
      <c r="C51" s="49" t="n"/>
      <c r="D51" s="49" t="n"/>
      <c r="E51" s="50" t="n"/>
      <c r="F51" s="49" t="n"/>
      <c r="G51" s="49" t="n"/>
      <c r="H51" s="50" t="n"/>
      <c r="I51" s="50" t="n"/>
      <c r="J51" s="50" t="n"/>
    </row>
    <row r="52">
      <c r="A52" s="47">
        <f>IF(B52&lt;&gt;"",ROW()-4,"")</f>
        <v/>
      </c>
      <c r="B52" s="48" t="n"/>
      <c r="C52" s="49" t="n"/>
      <c r="D52" s="49" t="n"/>
      <c r="E52" s="50" t="n"/>
      <c r="F52" s="49" t="n"/>
      <c r="G52" s="49" t="n"/>
      <c r="H52" s="50" t="n"/>
      <c r="I52" s="50" t="n"/>
      <c r="J52" s="50" t="n"/>
    </row>
    <row r="53">
      <c r="A53" s="47">
        <f>IF(B53&lt;&gt;"",ROW()-4,"")</f>
        <v/>
      </c>
      <c r="B53" s="48" t="n"/>
      <c r="C53" s="49" t="n"/>
      <c r="D53" s="49" t="n"/>
      <c r="E53" s="50" t="n"/>
      <c r="F53" s="49" t="n"/>
      <c r="G53" s="49" t="n"/>
      <c r="H53" s="50" t="n"/>
      <c r="I53" s="50" t="n"/>
      <c r="J53" s="50" t="n"/>
    </row>
    <row r="54">
      <c r="A54" s="47">
        <f>IF(B54&lt;&gt;"",ROW()-4,"")</f>
        <v/>
      </c>
      <c r="B54" s="48" t="n"/>
      <c r="C54" s="49" t="n"/>
      <c r="D54" s="49" t="n"/>
      <c r="E54" s="50" t="n"/>
      <c r="F54" s="49" t="n"/>
      <c r="G54" s="49" t="n"/>
      <c r="H54" s="50" t="n"/>
      <c r="I54" s="50" t="n"/>
      <c r="J54" s="50" t="n"/>
    </row>
  </sheetData>
  <mergeCells count="3">
    <mergeCell ref="A1:I1"/>
    <mergeCell ref="E3:J3"/>
    <mergeCell ref="A3:D3"/>
  </mergeCells>
  <conditionalFormatting sqref="E3">
    <cfRule type="expression" priority="1" dxfId="3" stopIfTrue="1">
      <formula>(B2-D2-F2)&gt;0</formula>
    </cfRule>
    <cfRule type="expression" priority="2" dxfId="4" stopIfTrue="1">
      <formula>(B2-D2-F2)=0</formula>
    </cfRule>
  </conditionalFormatting>
  <conditionalFormatting sqref="A5:J204">
    <cfRule type="expression" priority="3" dxfId="1" stopIfTrue="0">
      <formula>$H5="Angenommen"</formula>
    </cfRule>
    <cfRule type="expression" priority="4" dxfId="2" stopIfTrue="0">
      <formula>$H5="Abgelehnt"</formula>
    </cfRule>
    <cfRule type="expression" priority="5" dxfId="5" stopIfTrue="0">
      <formula>AND($B5&lt;&gt;"",$H5="")</formula>
    </cfRule>
  </conditionalFormatting>
  <conditionalFormatting sqref="H5:H204">
    <cfRule type="cellIs" priority="6" operator="equal" dxfId="6" stopIfTrue="0">
      <formula>"Angenommen"</formula>
    </cfRule>
    <cfRule type="cellIs" priority="7" operator="equal" dxfId="7" stopIfTrue="0">
      <formula>"Abgelehnt"</formula>
    </cfRule>
  </conditionalFormatting>
  <conditionalFormatting sqref="A5:A204">
    <cfRule type="expression" priority="8" dxfId="8" stopIfTrue="0">
      <formula>AND($B5&lt;&gt;"",(TODAY()-$B5)&lt;=14)</formula>
    </cfRule>
  </conditionalFormatting>
  <conditionalFormatting sqref="C5:C204">
    <cfRule type="expression" priority="9" dxfId="9" stopIfTrue="1">
      <formula>AND($B5&lt;&gt;"",$C5="")</formula>
    </cfRule>
  </conditionalFormatting>
  <conditionalFormatting sqref="E5:E204">
    <cfRule type="expression" priority="10" dxfId="9" stopIfTrue="1">
      <formula>AND($B5&lt;&gt;"",$E5="")</formula>
    </cfRule>
  </conditionalFormatting>
  <conditionalFormatting sqref="G5:G204">
    <cfRule type="expression" priority="11" dxfId="9" stopIfTrue="1">
      <formula>AND($H5="Abgelehnt",$G5="")</formula>
    </cfRule>
  </conditionalFormatting>
  <dataValidations count="3">
    <dataValidation sqref="H5:H204" showDropDown="0" showInputMessage="0" showErrorMessage="0" allowBlank="1" errorTitle="Ungültiger Status" error="Bitte Angenommen oder Abgelehnt wählen" promptTitle="Entscheidung" prompt="Status auswählen" type="list">
      <formula1>"Angenommen,Abgelehnt"</formula1>
    </dataValidation>
    <dataValidation sqref="E5:E204" showDropDown="0" showInputMessage="0" showErrorMessage="0" allowBlank="1" promptTitle="Einbringender" prompt="Name auswählen" type="list">
      <formula1>=KVPNamenListe</formula1>
    </dataValidation>
    <dataValidation sqref="I5:I204" showDropDown="0" showInputMessage="0" showErrorMessage="0" allowBlank="1" promptTitle="Status" prompt="Umsetzungsstatus wählen" type="list">
      <formula1>"Offen,In Umsetzung,Umgesetzt"</formula1>
    </dataValidation>
  </dataValidations>
  <hyperlinks>
    <hyperlink xmlns:r="http://schemas.openxmlformats.org/officeDocument/2006/relationships" ref="J1" r:id="rId1"/>
    <hyperlink xmlns:r="http://schemas.openxmlformats.org/officeDocument/2006/relationships" ref="A3" r:id="rId2"/>
  </hyperlinks>
  <pageMargins left="0.4" right="0.4" top="0.6" bottom="0.6" header="0.3" footer="0.3"/>
  <pageSetup orientation="landscape" paperSize="9" fitToHeight="0" fitToWidth="1"/>
  <headerFooter>
    <oddHeader>&amp;C&amp;10 KVP - KVP 2026</oddHeader>
    <oddFooter>&amp;LWerksärztlicher Dienst Mercedes-Benz&amp;RSeite &amp;P von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1976D2"/>
    <outlinePr summaryBelow="1" summaryRight="1"/>
    <pageSetUpPr fitToPage="1"/>
  </sheetPr>
  <dimension ref="A1:J7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55" customWidth="1" min="3" max="3"/>
    <col width="28" customWidth="1" min="4" max="4"/>
    <col width="16" customWidth="1" min="5" max="5"/>
    <col width="28" customWidth="1" min="6" max="6"/>
    <col width="23" customWidth="1" min="7" max="7"/>
    <col width="14" customWidth="1" min="8" max="8"/>
    <col width="14" customWidth="1" min="9" max="9"/>
    <col width="16" customWidth="1" min="10" max="10"/>
  </cols>
  <sheetData>
    <row r="1" ht="38" customHeight="1">
      <c r="A1" s="38" t="inlineStr">
        <is>
          <t>KVP Themenliste - Werksärztlicher Dienst Rastatt/Kuppenheim - 2025</t>
        </is>
      </c>
      <c r="J1" s="39" t="inlineStr">
        <is>
          <t>← Dashboard</t>
        </is>
      </c>
    </row>
    <row r="2" ht="30" customHeight="1">
      <c r="A2" s="40" t="inlineStr">
        <is>
          <t>Vorschläge:</t>
        </is>
      </c>
      <c r="B2" s="41">
        <f>COUNTA(B5:B204)</f>
        <v/>
      </c>
      <c r="C2" s="40" t="inlineStr">
        <is>
          <t>Angenommen:</t>
        </is>
      </c>
      <c r="D2" s="42">
        <f>COUNTIF(H5:H204,"Angenommen")</f>
        <v/>
      </c>
      <c r="E2" s="40" t="inlineStr">
        <is>
          <t>Abgelehnt:</t>
        </is>
      </c>
      <c r="F2" s="43">
        <f>COUNTIF(H5:H204,"Abgelehnt")</f>
        <v/>
      </c>
      <c r="G2" s="40" t="inlineStr">
        <is>
          <t>Offen:</t>
        </is>
      </c>
      <c r="H2" s="44">
        <f>B2-D2-F2</f>
        <v/>
      </c>
    </row>
    <row r="3" ht="28" customHeight="1">
      <c r="A3" s="45" t="inlineStr">
        <is>
          <t>✉ Mail an KVP-Gremium (Putschler)</t>
        </is>
      </c>
      <c r="E3" s="46">
        <f>IF(B2-D2-F2&gt;0,"⚠ "&amp;B2-D2-F2&amp;" Vorschlag/Vorschläge ohne Entscheidung","✓ Alle Vorschläge entschieden")</f>
        <v/>
      </c>
    </row>
    <row r="4" ht="36" customHeight="1">
      <c r="A4" s="7" t="inlineStr">
        <is>
          <t>Nr.</t>
        </is>
      </c>
      <c r="B4" s="7" t="inlineStr">
        <is>
          <t>Datum</t>
        </is>
      </c>
      <c r="C4" s="7" t="inlineStr">
        <is>
          <t>Thema</t>
        </is>
      </c>
      <c r="D4" s="7" t="inlineStr">
        <is>
          <t>Ersparnis (Zeit, Geld, Kappa, u.s.w.)</t>
        </is>
      </c>
      <c r="E4" s="7" t="inlineStr">
        <is>
          <t>Einbringender</t>
        </is>
      </c>
      <c r="F4" s="7" t="inlineStr">
        <is>
          <t>Kommentar Bereichsverantwortlicher</t>
        </is>
      </c>
      <c r="G4" s="7" t="inlineStr">
        <is>
          <t>Kommentar vom Gremium</t>
        </is>
      </c>
      <c r="H4" s="7" t="inlineStr">
        <is>
          <t>Angenommen/
Abgelehnt</t>
        </is>
      </c>
      <c r="I4" s="7" t="inlineStr">
        <is>
          <t>Umsetzungs-
status</t>
        </is>
      </c>
      <c r="J4" s="7" t="inlineStr">
        <is>
          <t>Verantwortlich
für Umsetzung</t>
        </is>
      </c>
    </row>
    <row r="5" ht="28" customHeight="1">
      <c r="A5" s="47" t="n">
        <v>1</v>
      </c>
      <c r="B5" s="48" t="n">
        <v>45692</v>
      </c>
      <c r="C5" s="49" t="inlineStr">
        <is>
          <t>Übersicht über aktuelle Themen HR/PHB im Besprechungszimmer</t>
        </is>
      </c>
      <c r="D5" s="49" t="inlineStr">
        <is>
          <t>schneller Überblick über TOP-Themen und Verantwortlichkeiten</t>
        </is>
      </c>
      <c r="E5" s="50" t="inlineStr">
        <is>
          <t>Zieger-Buchta</t>
        </is>
      </c>
      <c r="F5" s="49" t="inlineStr"/>
      <c r="G5" s="49" t="inlineStr">
        <is>
          <t>soll grober Übersicht dienen, Topthemen</t>
        </is>
      </c>
      <c r="H5" s="50" t="inlineStr">
        <is>
          <t>Angenommen</t>
        </is>
      </c>
      <c r="I5" s="50" t="inlineStr">
        <is>
          <t>In Umsetzung</t>
        </is>
      </c>
      <c r="J5" s="50" t="inlineStr">
        <is>
          <t>alle</t>
        </is>
      </c>
    </row>
    <row r="6" ht="28" customHeight="1">
      <c r="A6" s="47" t="n">
        <v>2</v>
      </c>
      <c r="B6" s="48" t="n">
        <v>45702</v>
      </c>
      <c r="C6" s="49" t="inlineStr">
        <is>
          <t>Neue Desinfektionsspender vorgeschlagen: sauber am Auslass, kompatibel mit bestehenden Handpumpen.</t>
        </is>
      </c>
      <c r="D6" s="49" t="inlineStr">
        <is>
          <t>Weniger Verschmutzung, nur ein Pumpenmodell, integrierte Auffangschale.</t>
        </is>
      </c>
      <c r="E6" s="50" t="inlineStr">
        <is>
          <t>Wunsch</t>
        </is>
      </c>
      <c r="F6" s="49" t="inlineStr">
        <is>
          <t>Kosten bitte noch aufführen auch für evtl. Umbau, gemeinsame Lösung mit "Altsystem mit Auffangschale" möglich?</t>
        </is>
      </c>
      <c r="G6" s="49" t="inlineStr">
        <is>
          <t>wie aufwändig ist der Tausch der Spender? Anzahl? Aufwand?</t>
        </is>
      </c>
      <c r="H6" s="50" t="inlineStr"/>
      <c r="I6" s="50" t="inlineStr"/>
      <c r="J6" s="50" t="inlineStr"/>
    </row>
    <row r="7" ht="28" customHeight="1">
      <c r="A7" s="47" t="n">
        <v>3</v>
      </c>
      <c r="B7" s="48" t="n">
        <v>45714</v>
      </c>
      <c r="C7" s="49" t="inlineStr">
        <is>
          <t>WD-Hotline (22828) auf SI-Seite vermerken</t>
        </is>
      </c>
      <c r="D7" s="49" t="inlineStr">
        <is>
          <t>Spart hin und Her rennen zwischen div. Telefonen wenn Hotline mehr genutzt wird.</t>
        </is>
      </c>
      <c r="E7" s="50" t="inlineStr">
        <is>
          <t>Zuber</t>
        </is>
      </c>
      <c r="F7" s="49" t="inlineStr"/>
      <c r="G7" s="49" t="inlineStr">
        <is>
          <t>wollt Ihr immer erreichbar sein?</t>
        </is>
      </c>
      <c r="H7" s="50" t="inlineStr">
        <is>
          <t>Abgelehnt</t>
        </is>
      </c>
      <c r="I7" s="50" t="inlineStr"/>
      <c r="J7" s="50" t="inlineStr"/>
    </row>
    <row r="8" ht="28" customHeight="1">
      <c r="A8" s="47" t="n">
        <v>4</v>
      </c>
      <c r="B8" s="48" t="n">
        <v>45706</v>
      </c>
      <c r="C8" s="49" t="inlineStr">
        <is>
          <t>Kleidungsübersicht erstellt (Jacken, Polos)</t>
        </is>
      </c>
      <c r="D8" s="49" t="inlineStr">
        <is>
          <t>Einfachere Neubestellung etc.</t>
        </is>
      </c>
      <c r="E8" s="50" t="inlineStr">
        <is>
          <t>Wunsch</t>
        </is>
      </c>
      <c r="F8" s="49" t="inlineStr"/>
      <c r="G8" s="49" t="inlineStr"/>
      <c r="H8" s="50" t="inlineStr">
        <is>
          <t>Angenommen</t>
        </is>
      </c>
      <c r="I8" s="50" t="inlineStr">
        <is>
          <t>Umgesetzt</t>
        </is>
      </c>
      <c r="J8" s="50" t="inlineStr"/>
    </row>
    <row r="9" ht="28" customHeight="1">
      <c r="A9" s="47" t="n">
        <v>5</v>
      </c>
      <c r="B9" s="48" t="n">
        <v>45706</v>
      </c>
      <c r="C9" s="49" t="inlineStr">
        <is>
          <t>Poloshirts mit User-ID</t>
        </is>
      </c>
      <c r="D9" s="49" t="inlineStr">
        <is>
          <t>Einfachere Einsortierung und Zuordnung</t>
        </is>
      </c>
      <c r="E9" s="50" t="inlineStr">
        <is>
          <t>Wunsch</t>
        </is>
      </c>
      <c r="F9" s="49" t="inlineStr"/>
      <c r="G9" s="49" t="inlineStr"/>
      <c r="H9" s="50" t="inlineStr">
        <is>
          <t>Angenommen</t>
        </is>
      </c>
      <c r="I9" s="50" t="inlineStr">
        <is>
          <t>Umgesetzt</t>
        </is>
      </c>
      <c r="J9" s="50" t="inlineStr"/>
    </row>
    <row r="10" ht="28" customHeight="1">
      <c r="A10" s="47" t="n">
        <v>6</v>
      </c>
      <c r="B10" s="48" t="n">
        <v>45761</v>
      </c>
      <c r="C10" s="49" t="inlineStr">
        <is>
          <t>Poloshirts abgemeldet, Übersichtsliste von Bardusch</t>
        </is>
      </c>
      <c r="D10" s="49" t="inlineStr">
        <is>
          <t>Spart monatlich Geld und bringt Übersicht</t>
        </is>
      </c>
      <c r="E10" s="50" t="inlineStr">
        <is>
          <t>Wunsch</t>
        </is>
      </c>
      <c r="F10" s="49" t="inlineStr"/>
      <c r="G10" s="49" t="inlineStr"/>
      <c r="H10" s="50" t="inlineStr">
        <is>
          <t>Angenommen</t>
        </is>
      </c>
      <c r="I10" s="50" t="inlineStr">
        <is>
          <t>Umgesetzt</t>
        </is>
      </c>
      <c r="J10" s="50" t="inlineStr"/>
    </row>
    <row r="11" ht="28" customHeight="1">
      <c r="A11" s="47" t="n">
        <v>7</v>
      </c>
      <c r="B11" s="48" t="n">
        <v>45730</v>
      </c>
      <c r="C11" s="49" t="inlineStr">
        <is>
          <t>Abklärung mit der Feuerwehr zur Etikettierung der Jacken, damit diese gewaschen werden können.</t>
        </is>
      </c>
      <c r="D11" s="49" t="inlineStr">
        <is>
          <t>Hygienischer und ins bestehende Abwurfsystem der Hosen integrierbar.</t>
        </is>
      </c>
      <c r="E11" s="50" t="inlineStr">
        <is>
          <t>Wunsch</t>
        </is>
      </c>
      <c r="F11" s="49" t="inlineStr"/>
      <c r="G11" s="49" t="inlineStr"/>
      <c r="H11" s="50" t="inlineStr">
        <is>
          <t>Angenommen</t>
        </is>
      </c>
      <c r="I11" s="50" t="inlineStr">
        <is>
          <t>In Umsetzung</t>
        </is>
      </c>
      <c r="J11" s="50" t="inlineStr"/>
    </row>
    <row r="12" ht="70" customHeight="1">
      <c r="A12" s="47" t="n">
        <v>8</v>
      </c>
      <c r="B12" s="48" t="n">
        <v>45860</v>
      </c>
      <c r="C12" s="49" t="inlineStr">
        <is>
          <t>Digitalisierung des Medikamentenlagers: Jede Kanban-Karte wird mit einem QR-Code versehen. Beim Scannen öffnet sich automatisch eine vorgefertigte E-Mail im Standard-Mailprogramm, die direkt an den zuständigen Bereichsverantwortlichen adressiert ist.</t>
        </is>
      </c>
      <c r="D12" s="49" t="inlineStr">
        <is>
          <t>Zeit gespart, Kosten gesenkt durch Reduzierung der Bestände, Lagerfläche optimiert, Fehler reduziert und Prozesse transparenter gestaltet.</t>
        </is>
      </c>
      <c r="E12" s="50" t="inlineStr">
        <is>
          <t>Siebert</t>
        </is>
      </c>
      <c r="F12" s="49" t="inlineStr"/>
      <c r="G12" s="49" t="inlineStr"/>
      <c r="H12" s="50" t="inlineStr">
        <is>
          <t>Angenommen</t>
        </is>
      </c>
      <c r="I12" s="50" t="inlineStr">
        <is>
          <t>In Umsetzung</t>
        </is>
      </c>
      <c r="J12" s="50" t="inlineStr">
        <is>
          <t>Manuel</t>
        </is>
      </c>
    </row>
    <row r="13" ht="28" customHeight="1">
      <c r="A13" s="47" t="n">
        <v>9</v>
      </c>
      <c r="B13" s="48" t="n">
        <v>45868</v>
      </c>
      <c r="C13" s="49" t="inlineStr">
        <is>
          <t>Erreichbarkeit von Ambulanz-Handy in SI Seite auflisten</t>
        </is>
      </c>
      <c r="D13" s="49" t="inlineStr">
        <is>
          <t>Verbesserte Erreichbarkeit</t>
        </is>
      </c>
      <c r="E13" s="50" t="inlineStr">
        <is>
          <t>Zuber</t>
        </is>
      </c>
      <c r="F13" s="49" t="inlineStr">
        <is>
          <t>Sabine geht auf Harry für Zusatzinfo zu</t>
        </is>
      </c>
      <c r="G13" s="49" t="inlineStr">
        <is>
          <t>Siehe Eintrag Nr. 3</t>
        </is>
      </c>
      <c r="H13" s="50" t="inlineStr">
        <is>
          <t>Abgelehnt</t>
        </is>
      </c>
      <c r="I13" s="50" t="inlineStr"/>
      <c r="J13" s="50" t="inlineStr"/>
    </row>
    <row r="14" ht="28" customHeight="1">
      <c r="A14" s="47" t="n">
        <v>10</v>
      </c>
      <c r="B14" s="48" t="n">
        <v>45868</v>
      </c>
      <c r="C14" s="49" t="inlineStr">
        <is>
          <t>Abrechnung der Taxifahrten zu D-Arzt nach Betriebsunfällen. Abrechnung mit BGHM sollte möglich sein.</t>
        </is>
      </c>
      <c r="D14" s="49" t="inlineStr">
        <is>
          <t>Geld</t>
        </is>
      </c>
      <c r="E14" s="50" t="inlineStr">
        <is>
          <t>Zuber</t>
        </is>
      </c>
      <c r="F14" s="49" t="inlineStr">
        <is>
          <t>https://www.bghm-magazin.de/ausgaben/05-2022/krankentransport-nach-arbeitsunfall</t>
        </is>
      </c>
      <c r="G14" s="49" t="inlineStr">
        <is>
          <t>Prozess ist möglich, jedoch zu aufwendig, wurde mehrfach als neg. Business case geprüft</t>
        </is>
      </c>
      <c r="H14" s="50" t="inlineStr">
        <is>
          <t>Abgelehnt</t>
        </is>
      </c>
      <c r="I14" s="50" t="inlineStr"/>
      <c r="J14" s="50" t="inlineStr"/>
    </row>
    <row r="15" ht="28" customHeight="1">
      <c r="A15" s="47" t="n">
        <v>11</v>
      </c>
      <c r="B15" s="48" t="n">
        <v>45876</v>
      </c>
      <c r="C15" s="49" t="inlineStr">
        <is>
          <t>Statt Fentanyl 0,5 mg/10 ml, Fentanyl 0,1 mg/2 ml bestellen. Patientensicherheit, Kosten, Haltbarkeit.</t>
        </is>
      </c>
      <c r="D15" s="49" t="inlineStr">
        <is>
          <t>Geld (kostet ca. die Hälfte)</t>
        </is>
      </c>
      <c r="E15" s="50" t="inlineStr">
        <is>
          <t>Dr. Vitez</t>
        </is>
      </c>
      <c r="F15" s="49" t="inlineStr"/>
      <c r="G15" s="49" t="inlineStr"/>
      <c r="H15" s="50" t="inlineStr">
        <is>
          <t>Angenommen</t>
        </is>
      </c>
      <c r="I15" s="50" t="inlineStr">
        <is>
          <t>In Umsetzung</t>
        </is>
      </c>
      <c r="J15" s="50" t="inlineStr">
        <is>
          <t>nächste BTM Bestellung, Dr. Schmidt</t>
        </is>
      </c>
    </row>
    <row r="16" ht="42" customHeight="1">
      <c r="A16" s="47" t="n">
        <v>12</v>
      </c>
      <c r="B16" s="48" t="n">
        <v>45902</v>
      </c>
      <c r="C16" s="49" t="inlineStr">
        <is>
          <t>Analog zu Punkt 8 soll ins digitale Kanban-System noch Folgendes aufgenommen werden: Kaffee, Milch, Spültabs, Entkalker</t>
        </is>
      </c>
      <c r="D16" s="49" t="inlineStr">
        <is>
          <t>Zeit &amp; Geld gespart (keine teuren Spontankäufe)</t>
        </is>
      </c>
      <c r="E16" s="50" t="inlineStr">
        <is>
          <t>Zieger-Buchta</t>
        </is>
      </c>
      <c r="F16" s="49" t="inlineStr"/>
      <c r="G16" s="49" t="inlineStr"/>
      <c r="H16" s="50" t="inlineStr">
        <is>
          <t>Angenommen</t>
        </is>
      </c>
      <c r="I16" s="50" t="inlineStr">
        <is>
          <t>In Umsetzung</t>
        </is>
      </c>
      <c r="J16" s="50" t="inlineStr">
        <is>
          <t>Manuel</t>
        </is>
      </c>
    </row>
    <row r="17" ht="56" customHeight="1">
      <c r="A17" s="47" t="n">
        <v>13</v>
      </c>
      <c r="B17" s="48" t="n"/>
      <c r="C17" s="49" t="inlineStr">
        <is>
          <t>Verlagerung des Standortes Gasflaschen-Schrank (Sauerstoff, Stickstoff) in den Außenbereich der Ambulanz Rastatt. Eventuell mit Heizung für den Winter um Vereisung zu vermeiden.</t>
        </is>
      </c>
      <c r="D17" s="49" t="inlineStr">
        <is>
          <t>Aufwand, mit Gewinn Sicherheit</t>
        </is>
      </c>
      <c r="E17" s="50" t="inlineStr">
        <is>
          <t>Zuber</t>
        </is>
      </c>
      <c r="F17" s="49" t="inlineStr">
        <is>
          <t>Dr. Frei: Idee prinzipiell gut, aber nicht neu. Wurde in der Vergangenheit aus optischen Gründen von der FP abgelehnt; Abstand zum Gebäude von 5m erforderlich</t>
        </is>
      </c>
      <c r="G17" s="49" t="inlineStr"/>
      <c r="H17" s="50" t="inlineStr">
        <is>
          <t>Abgelehnt</t>
        </is>
      </c>
      <c r="I17" s="50" t="inlineStr"/>
      <c r="J17" s="50" t="inlineStr"/>
    </row>
    <row r="18" ht="28" customHeight="1">
      <c r="A18" s="47" t="n">
        <v>14</v>
      </c>
      <c r="B18" s="48" t="n">
        <v>45922</v>
      </c>
      <c r="C18" s="49" t="inlineStr">
        <is>
          <t>Neue Türschilder für Eingangstür, und Sonstige Verwendung</t>
        </is>
      </c>
      <c r="D18" s="49" t="inlineStr">
        <is>
          <t>Aushänge können schnell getauscht werden, sieht sehr professionell aus</t>
        </is>
      </c>
      <c r="E18" s="50" t="inlineStr">
        <is>
          <t>Wunsch</t>
        </is>
      </c>
      <c r="F18" s="49" t="inlineStr"/>
      <c r="G18" s="49" t="inlineStr"/>
      <c r="H18" s="50" t="inlineStr">
        <is>
          <t>Angenommen</t>
        </is>
      </c>
      <c r="I18" s="50" t="inlineStr">
        <is>
          <t>In Umsetzung</t>
        </is>
      </c>
      <c r="J18" s="50" t="inlineStr">
        <is>
          <t>Fabian</t>
        </is>
      </c>
    </row>
    <row r="19" ht="42" customHeight="1">
      <c r="A19" s="47" t="n">
        <v>15</v>
      </c>
      <c r="B19" s="48" t="n">
        <v>45988</v>
      </c>
      <c r="C19" s="49" t="inlineStr">
        <is>
          <t>Verschiedene Defibrillationselektroden für Corpuls3 sind im Einsatz schwer zu unterscheiden. Einheitliche Elektroden reduzieren Verwechslungsgefahr.</t>
        </is>
      </c>
      <c r="D19" s="49" t="inlineStr">
        <is>
          <t>Geld, Zeit, höhere Anwendersicherheit</t>
        </is>
      </c>
      <c r="E19" s="50" t="inlineStr">
        <is>
          <t>Göpfrich</t>
        </is>
      </c>
      <c r="F19" s="49" t="inlineStr"/>
      <c r="G19" s="49" t="inlineStr"/>
      <c r="H19" s="50" t="inlineStr">
        <is>
          <t>Angenommen</t>
        </is>
      </c>
      <c r="I19" s="50" t="inlineStr">
        <is>
          <t>In Umsetzung</t>
        </is>
      </c>
      <c r="J19" s="50" t="inlineStr">
        <is>
          <t>Markus G.</t>
        </is>
      </c>
    </row>
    <row r="20" ht="28" customHeight="1">
      <c r="A20" s="47" t="n">
        <v>16</v>
      </c>
      <c r="B20" s="48" t="n">
        <v>46000</v>
      </c>
      <c r="C20" s="49" t="inlineStr">
        <is>
          <t>Postkarten erstellen als Werbung für die Qualifizierungen</t>
        </is>
      </c>
      <c r="D20" s="49" t="inlineStr">
        <is>
          <t>die richtigen Personen in die richtige Quali direkt einsteuern</t>
        </is>
      </c>
      <c r="E20" s="50" t="inlineStr">
        <is>
          <t>Zieger-Buchta</t>
        </is>
      </c>
      <c r="F20" s="49" t="inlineStr"/>
      <c r="G20" s="49" t="inlineStr"/>
      <c r="H20" s="50" t="inlineStr">
        <is>
          <t>Angenommen</t>
        </is>
      </c>
      <c r="I20" s="50" t="inlineStr">
        <is>
          <t>In Umsetzung</t>
        </is>
      </c>
      <c r="J20" s="50" t="inlineStr">
        <is>
          <t>Lara</t>
        </is>
      </c>
    </row>
    <row r="21" ht="42" customHeight="1">
      <c r="A21" s="47" t="n">
        <v>17</v>
      </c>
      <c r="B21" s="48" t="n">
        <v>46059</v>
      </c>
      <c r="C21" s="49" t="inlineStr">
        <is>
          <t>Ersatzbeschaffung für defektes Urisys 1100 geplant. Prüfung ergab: nur Netzteil defekt. Reparatur über eBay deutlich günstiger als Neubeschaffung.</t>
        </is>
      </c>
      <c r="D21" s="49" t="inlineStr">
        <is>
          <t>Neues Netzteil günstiger als Ersatzbeschaffung Gerät, Zubehör bleibt nutzbar</t>
        </is>
      </c>
      <c r="E21" s="50" t="inlineStr">
        <is>
          <t>Göpfrich</t>
        </is>
      </c>
      <c r="F21" s="49" t="inlineStr"/>
      <c r="G21" s="49" t="inlineStr"/>
      <c r="H21" s="50" t="inlineStr"/>
      <c r="I21" s="50" t="inlineStr"/>
      <c r="J21" s="50" t="inlineStr"/>
    </row>
    <row r="22">
      <c r="A22" s="47">
        <f>IF(B22&lt;&gt;"",ROW()-4,"")</f>
        <v/>
      </c>
      <c r="B22" s="48" t="n"/>
      <c r="C22" s="49" t="n"/>
      <c r="D22" s="49" t="n"/>
      <c r="E22" s="50" t="n"/>
      <c r="F22" s="49" t="n"/>
      <c r="G22" s="49" t="n"/>
      <c r="H22" s="50" t="n"/>
      <c r="I22" s="50" t="n"/>
      <c r="J22" s="50" t="n"/>
    </row>
    <row r="23">
      <c r="A23" s="47">
        <f>IF(B23&lt;&gt;"",ROW()-4,"")</f>
        <v/>
      </c>
      <c r="B23" s="48" t="n"/>
      <c r="C23" s="49" t="n"/>
      <c r="D23" s="49" t="n"/>
      <c r="E23" s="50" t="n"/>
      <c r="F23" s="49" t="n"/>
      <c r="G23" s="49" t="n"/>
      <c r="H23" s="50" t="n"/>
      <c r="I23" s="50" t="n"/>
      <c r="J23" s="50" t="n"/>
    </row>
    <row r="24">
      <c r="A24" s="47">
        <f>IF(B24&lt;&gt;"",ROW()-4,"")</f>
        <v/>
      </c>
      <c r="B24" s="48" t="n"/>
      <c r="C24" s="49" t="n"/>
      <c r="D24" s="49" t="n"/>
      <c r="E24" s="50" t="n"/>
      <c r="F24" s="49" t="n"/>
      <c r="G24" s="49" t="n"/>
      <c r="H24" s="50" t="n"/>
      <c r="I24" s="50" t="n"/>
      <c r="J24" s="50" t="n"/>
    </row>
    <row r="25">
      <c r="A25" s="47">
        <f>IF(B25&lt;&gt;"",ROW()-4,"")</f>
        <v/>
      </c>
      <c r="B25" s="48" t="n"/>
      <c r="C25" s="49" t="n"/>
      <c r="D25" s="49" t="n"/>
      <c r="E25" s="50" t="n"/>
      <c r="F25" s="49" t="n"/>
      <c r="G25" s="49" t="n"/>
      <c r="H25" s="50" t="n"/>
      <c r="I25" s="50" t="n"/>
      <c r="J25" s="50" t="n"/>
    </row>
    <row r="26">
      <c r="A26" s="47">
        <f>IF(B26&lt;&gt;"",ROW()-4,"")</f>
        <v/>
      </c>
      <c r="B26" s="48" t="n"/>
      <c r="C26" s="49" t="n"/>
      <c r="D26" s="49" t="n"/>
      <c r="E26" s="50" t="n"/>
      <c r="F26" s="49" t="n"/>
      <c r="G26" s="49" t="n"/>
      <c r="H26" s="50" t="n"/>
      <c r="I26" s="50" t="n"/>
      <c r="J26" s="50" t="n"/>
    </row>
    <row r="27">
      <c r="A27" s="47">
        <f>IF(B27&lt;&gt;"",ROW()-4,"")</f>
        <v/>
      </c>
      <c r="B27" s="48" t="n"/>
      <c r="C27" s="49" t="n"/>
      <c r="D27" s="49" t="n"/>
      <c r="E27" s="50" t="n"/>
      <c r="F27" s="49" t="n"/>
      <c r="G27" s="49" t="n"/>
      <c r="H27" s="50" t="n"/>
      <c r="I27" s="50" t="n"/>
      <c r="J27" s="50" t="n"/>
    </row>
    <row r="28">
      <c r="A28" s="47">
        <f>IF(B28&lt;&gt;"",ROW()-4,"")</f>
        <v/>
      </c>
      <c r="B28" s="48" t="n"/>
      <c r="C28" s="49" t="n"/>
      <c r="D28" s="49" t="n"/>
      <c r="E28" s="50" t="n"/>
      <c r="F28" s="49" t="n"/>
      <c r="G28" s="49" t="n"/>
      <c r="H28" s="50" t="n"/>
      <c r="I28" s="50" t="n"/>
      <c r="J28" s="50" t="n"/>
    </row>
    <row r="29">
      <c r="A29" s="47">
        <f>IF(B29&lt;&gt;"",ROW()-4,"")</f>
        <v/>
      </c>
      <c r="B29" s="48" t="n"/>
      <c r="C29" s="49" t="n"/>
      <c r="D29" s="49" t="n"/>
      <c r="E29" s="50" t="n"/>
      <c r="F29" s="49" t="n"/>
      <c r="G29" s="49" t="n"/>
      <c r="H29" s="50" t="n"/>
      <c r="I29" s="50" t="n"/>
      <c r="J29" s="50" t="n"/>
    </row>
    <row r="30">
      <c r="A30" s="47">
        <f>IF(B30&lt;&gt;"",ROW()-4,"")</f>
        <v/>
      </c>
      <c r="B30" s="48" t="n"/>
      <c r="C30" s="49" t="n"/>
      <c r="D30" s="49" t="n"/>
      <c r="E30" s="50" t="n"/>
      <c r="F30" s="49" t="n"/>
      <c r="G30" s="49" t="n"/>
      <c r="H30" s="50" t="n"/>
      <c r="I30" s="50" t="n"/>
      <c r="J30" s="50" t="n"/>
    </row>
    <row r="31">
      <c r="A31" s="47">
        <f>IF(B31&lt;&gt;"",ROW()-4,"")</f>
        <v/>
      </c>
      <c r="B31" s="48" t="n"/>
      <c r="C31" s="49" t="n"/>
      <c r="D31" s="49" t="n"/>
      <c r="E31" s="50" t="n"/>
      <c r="F31" s="49" t="n"/>
      <c r="G31" s="49" t="n"/>
      <c r="H31" s="50" t="n"/>
      <c r="I31" s="50" t="n"/>
      <c r="J31" s="50" t="n"/>
    </row>
    <row r="32">
      <c r="A32" s="47">
        <f>IF(B32&lt;&gt;"",ROW()-4,"")</f>
        <v/>
      </c>
      <c r="B32" s="48" t="n"/>
      <c r="C32" s="49" t="n"/>
      <c r="D32" s="49" t="n"/>
      <c r="E32" s="50" t="n"/>
      <c r="F32" s="49" t="n"/>
      <c r="G32" s="49" t="n"/>
      <c r="H32" s="50" t="n"/>
      <c r="I32" s="50" t="n"/>
      <c r="J32" s="50" t="n"/>
    </row>
    <row r="33">
      <c r="A33" s="47">
        <f>IF(B33&lt;&gt;"",ROW()-4,"")</f>
        <v/>
      </c>
      <c r="B33" s="48" t="n"/>
      <c r="C33" s="49" t="n"/>
      <c r="D33" s="49" t="n"/>
      <c r="E33" s="50" t="n"/>
      <c r="F33" s="49" t="n"/>
      <c r="G33" s="49" t="n"/>
      <c r="H33" s="50" t="n"/>
      <c r="I33" s="50" t="n"/>
      <c r="J33" s="50" t="n"/>
    </row>
    <row r="34">
      <c r="A34" s="47">
        <f>IF(B34&lt;&gt;"",ROW()-4,"")</f>
        <v/>
      </c>
      <c r="B34" s="48" t="n"/>
      <c r="C34" s="49" t="n"/>
      <c r="D34" s="49" t="n"/>
      <c r="E34" s="50" t="n"/>
      <c r="F34" s="49" t="n"/>
      <c r="G34" s="49" t="n"/>
      <c r="H34" s="50" t="n"/>
      <c r="I34" s="50" t="n"/>
      <c r="J34" s="50" t="n"/>
    </row>
    <row r="35">
      <c r="A35" s="47">
        <f>IF(B35&lt;&gt;"",ROW()-4,"")</f>
        <v/>
      </c>
      <c r="B35" s="48" t="n"/>
      <c r="C35" s="49" t="n"/>
      <c r="D35" s="49" t="n"/>
      <c r="E35" s="50" t="n"/>
      <c r="F35" s="49" t="n"/>
      <c r="G35" s="49" t="n"/>
      <c r="H35" s="50" t="n"/>
      <c r="I35" s="50" t="n"/>
      <c r="J35" s="50" t="n"/>
    </row>
    <row r="36">
      <c r="A36" s="47">
        <f>IF(B36&lt;&gt;"",ROW()-4,"")</f>
        <v/>
      </c>
      <c r="B36" s="48" t="n"/>
      <c r="C36" s="49" t="n"/>
      <c r="D36" s="49" t="n"/>
      <c r="E36" s="50" t="n"/>
      <c r="F36" s="49" t="n"/>
      <c r="G36" s="49" t="n"/>
      <c r="H36" s="50" t="n"/>
      <c r="I36" s="50" t="n"/>
      <c r="J36" s="50" t="n"/>
    </row>
    <row r="37">
      <c r="A37" s="47">
        <f>IF(B37&lt;&gt;"",ROW()-4,"")</f>
        <v/>
      </c>
      <c r="B37" s="48" t="n"/>
      <c r="C37" s="49" t="n"/>
      <c r="D37" s="49" t="n"/>
      <c r="E37" s="50" t="n"/>
      <c r="F37" s="49" t="n"/>
      <c r="G37" s="49" t="n"/>
      <c r="H37" s="50" t="n"/>
      <c r="I37" s="50" t="n"/>
      <c r="J37" s="50" t="n"/>
    </row>
    <row r="38">
      <c r="A38" s="47">
        <f>IF(B38&lt;&gt;"",ROW()-4,"")</f>
        <v/>
      </c>
      <c r="B38" s="48" t="n"/>
      <c r="C38" s="49" t="n"/>
      <c r="D38" s="49" t="n"/>
      <c r="E38" s="50" t="n"/>
      <c r="F38" s="49" t="n"/>
      <c r="G38" s="49" t="n"/>
      <c r="H38" s="50" t="n"/>
      <c r="I38" s="50" t="n"/>
      <c r="J38" s="50" t="n"/>
    </row>
    <row r="39">
      <c r="A39" s="47">
        <f>IF(B39&lt;&gt;"",ROW()-4,"")</f>
        <v/>
      </c>
      <c r="B39" s="48" t="n"/>
      <c r="C39" s="49" t="n"/>
      <c r="D39" s="49" t="n"/>
      <c r="E39" s="50" t="n"/>
      <c r="F39" s="49" t="n"/>
      <c r="G39" s="49" t="n"/>
      <c r="H39" s="50" t="n"/>
      <c r="I39" s="50" t="n"/>
      <c r="J39" s="50" t="n"/>
    </row>
    <row r="40">
      <c r="A40" s="47">
        <f>IF(B40&lt;&gt;"",ROW()-4,"")</f>
        <v/>
      </c>
      <c r="B40" s="48" t="n"/>
      <c r="C40" s="49" t="n"/>
      <c r="D40" s="49" t="n"/>
      <c r="E40" s="50" t="n"/>
      <c r="F40" s="49" t="n"/>
      <c r="G40" s="49" t="n"/>
      <c r="H40" s="50" t="n"/>
      <c r="I40" s="50" t="n"/>
      <c r="J40" s="50" t="n"/>
    </row>
    <row r="41">
      <c r="A41" s="47">
        <f>IF(B41&lt;&gt;"",ROW()-4,"")</f>
        <v/>
      </c>
      <c r="B41" s="48" t="n"/>
      <c r="C41" s="49" t="n"/>
      <c r="D41" s="49" t="n"/>
      <c r="E41" s="50" t="n"/>
      <c r="F41" s="49" t="n"/>
      <c r="G41" s="49" t="n"/>
      <c r="H41" s="50" t="n"/>
      <c r="I41" s="50" t="n"/>
      <c r="J41" s="50" t="n"/>
    </row>
    <row r="42">
      <c r="A42" s="47">
        <f>IF(B42&lt;&gt;"",ROW()-4,"")</f>
        <v/>
      </c>
      <c r="B42" s="48" t="n"/>
      <c r="C42" s="49" t="n"/>
      <c r="D42" s="49" t="n"/>
      <c r="E42" s="50" t="n"/>
      <c r="F42" s="49" t="n"/>
      <c r="G42" s="49" t="n"/>
      <c r="H42" s="50" t="n"/>
      <c r="I42" s="50" t="n"/>
      <c r="J42" s="50" t="n"/>
    </row>
    <row r="43">
      <c r="A43" s="47">
        <f>IF(B43&lt;&gt;"",ROW()-4,"")</f>
        <v/>
      </c>
      <c r="B43" s="48" t="n"/>
      <c r="C43" s="49" t="n"/>
      <c r="D43" s="49" t="n"/>
      <c r="E43" s="50" t="n"/>
      <c r="F43" s="49" t="n"/>
      <c r="G43" s="49" t="n"/>
      <c r="H43" s="50" t="n"/>
      <c r="I43" s="50" t="n"/>
      <c r="J43" s="50" t="n"/>
    </row>
    <row r="44">
      <c r="A44" s="47">
        <f>IF(B44&lt;&gt;"",ROW()-4,"")</f>
        <v/>
      </c>
      <c r="B44" s="48" t="n"/>
      <c r="C44" s="49" t="n"/>
      <c r="D44" s="49" t="n"/>
      <c r="E44" s="50" t="n"/>
      <c r="F44" s="49" t="n"/>
      <c r="G44" s="49" t="n"/>
      <c r="H44" s="50" t="n"/>
      <c r="I44" s="50" t="n"/>
      <c r="J44" s="50" t="n"/>
    </row>
    <row r="45">
      <c r="A45" s="47">
        <f>IF(B45&lt;&gt;"",ROW()-4,"")</f>
        <v/>
      </c>
      <c r="B45" s="48" t="n"/>
      <c r="C45" s="49" t="n"/>
      <c r="D45" s="49" t="n"/>
      <c r="E45" s="50" t="n"/>
      <c r="F45" s="49" t="n"/>
      <c r="G45" s="49" t="n"/>
      <c r="H45" s="50" t="n"/>
      <c r="I45" s="50" t="n"/>
      <c r="J45" s="50" t="n"/>
    </row>
    <row r="46">
      <c r="A46" s="47">
        <f>IF(B46&lt;&gt;"",ROW()-4,"")</f>
        <v/>
      </c>
      <c r="B46" s="48" t="n"/>
      <c r="C46" s="49" t="n"/>
      <c r="D46" s="49" t="n"/>
      <c r="E46" s="50" t="n"/>
      <c r="F46" s="49" t="n"/>
      <c r="G46" s="49" t="n"/>
      <c r="H46" s="50" t="n"/>
      <c r="I46" s="50" t="n"/>
      <c r="J46" s="50" t="n"/>
    </row>
    <row r="47">
      <c r="A47" s="47">
        <f>IF(B47&lt;&gt;"",ROW()-4,"")</f>
        <v/>
      </c>
      <c r="B47" s="48" t="n"/>
      <c r="C47" s="49" t="n"/>
      <c r="D47" s="49" t="n"/>
      <c r="E47" s="50" t="n"/>
      <c r="F47" s="49" t="n"/>
      <c r="G47" s="49" t="n"/>
      <c r="H47" s="50" t="n"/>
      <c r="I47" s="50" t="n"/>
      <c r="J47" s="50" t="n"/>
    </row>
    <row r="48">
      <c r="A48" s="47">
        <f>IF(B48&lt;&gt;"",ROW()-4,"")</f>
        <v/>
      </c>
      <c r="B48" s="48" t="n"/>
      <c r="C48" s="49" t="n"/>
      <c r="D48" s="49" t="n"/>
      <c r="E48" s="50" t="n"/>
      <c r="F48" s="49" t="n"/>
      <c r="G48" s="49" t="n"/>
      <c r="H48" s="50" t="n"/>
      <c r="I48" s="50" t="n"/>
      <c r="J48" s="50" t="n"/>
    </row>
    <row r="49">
      <c r="A49" s="47">
        <f>IF(B49&lt;&gt;"",ROW()-4,"")</f>
        <v/>
      </c>
      <c r="B49" s="48" t="n"/>
      <c r="C49" s="49" t="n"/>
      <c r="D49" s="49" t="n"/>
      <c r="E49" s="50" t="n"/>
      <c r="F49" s="49" t="n"/>
      <c r="G49" s="49" t="n"/>
      <c r="H49" s="50" t="n"/>
      <c r="I49" s="50" t="n"/>
      <c r="J49" s="50" t="n"/>
    </row>
    <row r="50">
      <c r="A50" s="47">
        <f>IF(B50&lt;&gt;"",ROW()-4,"")</f>
        <v/>
      </c>
      <c r="B50" s="48" t="n"/>
      <c r="C50" s="49" t="n"/>
      <c r="D50" s="49" t="n"/>
      <c r="E50" s="50" t="n"/>
      <c r="F50" s="49" t="n"/>
      <c r="G50" s="49" t="n"/>
      <c r="H50" s="50" t="n"/>
      <c r="I50" s="50" t="n"/>
      <c r="J50" s="50" t="n"/>
    </row>
    <row r="51">
      <c r="A51" s="47">
        <f>IF(B51&lt;&gt;"",ROW()-4,"")</f>
        <v/>
      </c>
      <c r="B51" s="48" t="n"/>
      <c r="C51" s="49" t="n"/>
      <c r="D51" s="49" t="n"/>
      <c r="E51" s="50" t="n"/>
      <c r="F51" s="49" t="n"/>
      <c r="G51" s="49" t="n"/>
      <c r="H51" s="50" t="n"/>
      <c r="I51" s="50" t="n"/>
      <c r="J51" s="50" t="n"/>
    </row>
    <row r="52">
      <c r="A52" s="47">
        <f>IF(B52&lt;&gt;"",ROW()-4,"")</f>
        <v/>
      </c>
      <c r="B52" s="48" t="n"/>
      <c r="C52" s="49" t="n"/>
      <c r="D52" s="49" t="n"/>
      <c r="E52" s="50" t="n"/>
      <c r="F52" s="49" t="n"/>
      <c r="G52" s="49" t="n"/>
      <c r="H52" s="50" t="n"/>
      <c r="I52" s="50" t="n"/>
      <c r="J52" s="50" t="n"/>
    </row>
    <row r="53">
      <c r="A53" s="47">
        <f>IF(B53&lt;&gt;"",ROW()-4,"")</f>
        <v/>
      </c>
      <c r="B53" s="48" t="n"/>
      <c r="C53" s="49" t="n"/>
      <c r="D53" s="49" t="n"/>
      <c r="E53" s="50" t="n"/>
      <c r="F53" s="49" t="n"/>
      <c r="G53" s="49" t="n"/>
      <c r="H53" s="50" t="n"/>
      <c r="I53" s="50" t="n"/>
      <c r="J53" s="50" t="n"/>
    </row>
    <row r="54">
      <c r="A54" s="47">
        <f>IF(B54&lt;&gt;"",ROW()-4,"")</f>
        <v/>
      </c>
      <c r="B54" s="48" t="n"/>
      <c r="C54" s="49" t="n"/>
      <c r="D54" s="49" t="n"/>
      <c r="E54" s="50" t="n"/>
      <c r="F54" s="49" t="n"/>
      <c r="G54" s="49" t="n"/>
      <c r="H54" s="50" t="n"/>
      <c r="I54" s="50" t="n"/>
      <c r="J54" s="50" t="n"/>
    </row>
    <row r="55">
      <c r="A55" s="47">
        <f>IF(B55&lt;&gt;"",ROW()-4,"")</f>
        <v/>
      </c>
      <c r="B55" s="48" t="n"/>
      <c r="C55" s="49" t="n"/>
      <c r="D55" s="49" t="n"/>
      <c r="E55" s="50" t="n"/>
      <c r="F55" s="49" t="n"/>
      <c r="G55" s="49" t="n"/>
      <c r="H55" s="50" t="n"/>
      <c r="I55" s="50" t="n"/>
      <c r="J55" s="50" t="n"/>
    </row>
    <row r="56">
      <c r="A56" s="47">
        <f>IF(B56&lt;&gt;"",ROW()-4,"")</f>
        <v/>
      </c>
      <c r="B56" s="48" t="n"/>
      <c r="C56" s="49" t="n"/>
      <c r="D56" s="49" t="n"/>
      <c r="E56" s="50" t="n"/>
      <c r="F56" s="49" t="n"/>
      <c r="G56" s="49" t="n"/>
      <c r="H56" s="50" t="n"/>
      <c r="I56" s="50" t="n"/>
      <c r="J56" s="50" t="n"/>
    </row>
    <row r="57">
      <c r="A57" s="47">
        <f>IF(B57&lt;&gt;"",ROW()-4,"")</f>
        <v/>
      </c>
      <c r="B57" s="48" t="n"/>
      <c r="C57" s="49" t="n"/>
      <c r="D57" s="49" t="n"/>
      <c r="E57" s="50" t="n"/>
      <c r="F57" s="49" t="n"/>
      <c r="G57" s="49" t="n"/>
      <c r="H57" s="50" t="n"/>
      <c r="I57" s="50" t="n"/>
      <c r="J57" s="50" t="n"/>
    </row>
    <row r="58">
      <c r="A58" s="47">
        <f>IF(B58&lt;&gt;"",ROW()-4,"")</f>
        <v/>
      </c>
      <c r="B58" s="48" t="n"/>
      <c r="C58" s="49" t="n"/>
      <c r="D58" s="49" t="n"/>
      <c r="E58" s="50" t="n"/>
      <c r="F58" s="49" t="n"/>
      <c r="G58" s="49" t="n"/>
      <c r="H58" s="50" t="n"/>
      <c r="I58" s="50" t="n"/>
      <c r="J58" s="50" t="n"/>
    </row>
    <row r="59">
      <c r="A59" s="47">
        <f>IF(B59&lt;&gt;"",ROW()-4,"")</f>
        <v/>
      </c>
      <c r="B59" s="48" t="n"/>
      <c r="C59" s="49" t="n"/>
      <c r="D59" s="49" t="n"/>
      <c r="E59" s="50" t="n"/>
      <c r="F59" s="49" t="n"/>
      <c r="G59" s="49" t="n"/>
      <c r="H59" s="50" t="n"/>
      <c r="I59" s="50" t="n"/>
      <c r="J59" s="50" t="n"/>
    </row>
    <row r="60">
      <c r="A60" s="47">
        <f>IF(B60&lt;&gt;"",ROW()-4,"")</f>
        <v/>
      </c>
      <c r="B60" s="48" t="n"/>
      <c r="C60" s="49" t="n"/>
      <c r="D60" s="49" t="n"/>
      <c r="E60" s="50" t="n"/>
      <c r="F60" s="49" t="n"/>
      <c r="G60" s="49" t="n"/>
      <c r="H60" s="50" t="n"/>
      <c r="I60" s="50" t="n"/>
      <c r="J60" s="50" t="n"/>
    </row>
    <row r="61">
      <c r="A61" s="47">
        <f>IF(B61&lt;&gt;"",ROW()-4,"")</f>
        <v/>
      </c>
      <c r="B61" s="48" t="n"/>
      <c r="C61" s="49" t="n"/>
      <c r="D61" s="49" t="n"/>
      <c r="E61" s="50" t="n"/>
      <c r="F61" s="49" t="n"/>
      <c r="G61" s="49" t="n"/>
      <c r="H61" s="50" t="n"/>
      <c r="I61" s="50" t="n"/>
      <c r="J61" s="50" t="n"/>
    </row>
    <row r="62">
      <c r="A62" s="47">
        <f>IF(B62&lt;&gt;"",ROW()-4,"")</f>
        <v/>
      </c>
      <c r="B62" s="48" t="n"/>
      <c r="C62" s="49" t="n"/>
      <c r="D62" s="49" t="n"/>
      <c r="E62" s="50" t="n"/>
      <c r="F62" s="49" t="n"/>
      <c r="G62" s="49" t="n"/>
      <c r="H62" s="50" t="n"/>
      <c r="I62" s="50" t="n"/>
      <c r="J62" s="50" t="n"/>
    </row>
    <row r="63">
      <c r="A63" s="47">
        <f>IF(B63&lt;&gt;"",ROW()-4,"")</f>
        <v/>
      </c>
      <c r="B63" s="48" t="n"/>
      <c r="C63" s="49" t="n"/>
      <c r="D63" s="49" t="n"/>
      <c r="E63" s="50" t="n"/>
      <c r="F63" s="49" t="n"/>
      <c r="G63" s="49" t="n"/>
      <c r="H63" s="50" t="n"/>
      <c r="I63" s="50" t="n"/>
      <c r="J63" s="50" t="n"/>
    </row>
    <row r="64">
      <c r="A64" s="47">
        <f>IF(B64&lt;&gt;"",ROW()-4,"")</f>
        <v/>
      </c>
      <c r="B64" s="48" t="n"/>
      <c r="C64" s="49" t="n"/>
      <c r="D64" s="49" t="n"/>
      <c r="E64" s="50" t="n"/>
      <c r="F64" s="49" t="n"/>
      <c r="G64" s="49" t="n"/>
      <c r="H64" s="50" t="n"/>
      <c r="I64" s="50" t="n"/>
      <c r="J64" s="50" t="n"/>
    </row>
    <row r="65">
      <c r="A65" s="47">
        <f>IF(B65&lt;&gt;"",ROW()-4,"")</f>
        <v/>
      </c>
      <c r="B65" s="48" t="n"/>
      <c r="C65" s="49" t="n"/>
      <c r="D65" s="49" t="n"/>
      <c r="E65" s="50" t="n"/>
      <c r="F65" s="49" t="n"/>
      <c r="G65" s="49" t="n"/>
      <c r="H65" s="50" t="n"/>
      <c r="I65" s="50" t="n"/>
      <c r="J65" s="50" t="n"/>
    </row>
    <row r="66">
      <c r="A66" s="47">
        <f>IF(B66&lt;&gt;"",ROW()-4,"")</f>
        <v/>
      </c>
      <c r="B66" s="48" t="n"/>
      <c r="C66" s="49" t="n"/>
      <c r="D66" s="49" t="n"/>
      <c r="E66" s="50" t="n"/>
      <c r="F66" s="49" t="n"/>
      <c r="G66" s="49" t="n"/>
      <c r="H66" s="50" t="n"/>
      <c r="I66" s="50" t="n"/>
      <c r="J66" s="50" t="n"/>
    </row>
    <row r="67">
      <c r="A67" s="47">
        <f>IF(B67&lt;&gt;"",ROW()-4,"")</f>
        <v/>
      </c>
      <c r="B67" s="48" t="n"/>
      <c r="C67" s="49" t="n"/>
      <c r="D67" s="49" t="n"/>
      <c r="E67" s="50" t="n"/>
      <c r="F67" s="49" t="n"/>
      <c r="G67" s="49" t="n"/>
      <c r="H67" s="50" t="n"/>
      <c r="I67" s="50" t="n"/>
      <c r="J67" s="50" t="n"/>
    </row>
    <row r="68">
      <c r="A68" s="47">
        <f>IF(B68&lt;&gt;"",ROW()-4,"")</f>
        <v/>
      </c>
      <c r="B68" s="48" t="n"/>
      <c r="C68" s="49" t="n"/>
      <c r="D68" s="49" t="n"/>
      <c r="E68" s="50" t="n"/>
      <c r="F68" s="49" t="n"/>
      <c r="G68" s="49" t="n"/>
      <c r="H68" s="50" t="n"/>
      <c r="I68" s="50" t="n"/>
      <c r="J68" s="50" t="n"/>
    </row>
    <row r="69">
      <c r="A69" s="47">
        <f>IF(B69&lt;&gt;"",ROW()-4,"")</f>
        <v/>
      </c>
      <c r="B69" s="48" t="n"/>
      <c r="C69" s="49" t="n"/>
      <c r="D69" s="49" t="n"/>
      <c r="E69" s="50" t="n"/>
      <c r="F69" s="49" t="n"/>
      <c r="G69" s="49" t="n"/>
      <c r="H69" s="50" t="n"/>
      <c r="I69" s="50" t="n"/>
      <c r="J69" s="50" t="n"/>
    </row>
    <row r="70">
      <c r="A70" s="47">
        <f>IF(B70&lt;&gt;"",ROW()-4,"")</f>
        <v/>
      </c>
      <c r="B70" s="48" t="n"/>
      <c r="C70" s="49" t="n"/>
      <c r="D70" s="49" t="n"/>
      <c r="E70" s="50" t="n"/>
      <c r="F70" s="49" t="n"/>
      <c r="G70" s="49" t="n"/>
      <c r="H70" s="50" t="n"/>
      <c r="I70" s="50" t="n"/>
      <c r="J70" s="50" t="n"/>
    </row>
    <row r="71">
      <c r="A71" s="47">
        <f>IF(B71&lt;&gt;"",ROW()-4,"")</f>
        <v/>
      </c>
      <c r="B71" s="48" t="n"/>
      <c r="C71" s="49" t="n"/>
      <c r="D71" s="49" t="n"/>
      <c r="E71" s="50" t="n"/>
      <c r="F71" s="49" t="n"/>
      <c r="G71" s="49" t="n"/>
      <c r="H71" s="50" t="n"/>
      <c r="I71" s="50" t="n"/>
      <c r="J71" s="50" t="n"/>
    </row>
  </sheetData>
  <mergeCells count="3">
    <mergeCell ref="A1:I1"/>
    <mergeCell ref="E3:J3"/>
    <mergeCell ref="A3:D3"/>
  </mergeCells>
  <conditionalFormatting sqref="E3">
    <cfRule type="expression" priority="1" dxfId="3" stopIfTrue="1">
      <formula>(B2-D2-F2)&gt;0</formula>
    </cfRule>
    <cfRule type="expression" priority="2" dxfId="4" stopIfTrue="1">
      <formula>(B2-D2-F2)=0</formula>
    </cfRule>
  </conditionalFormatting>
  <conditionalFormatting sqref="A5:J204">
    <cfRule type="expression" priority="3" dxfId="1" stopIfTrue="0">
      <formula>$H5="Angenommen"</formula>
    </cfRule>
    <cfRule type="expression" priority="4" dxfId="2" stopIfTrue="0">
      <formula>$H5="Abgelehnt"</formula>
    </cfRule>
    <cfRule type="expression" priority="5" dxfId="5" stopIfTrue="0">
      <formula>AND($B5&lt;&gt;"",$H5="")</formula>
    </cfRule>
  </conditionalFormatting>
  <conditionalFormatting sqref="H5:H204">
    <cfRule type="cellIs" priority="6" operator="equal" dxfId="6" stopIfTrue="0">
      <formula>"Angenommen"</formula>
    </cfRule>
    <cfRule type="cellIs" priority="7" operator="equal" dxfId="7" stopIfTrue="0">
      <formula>"Abgelehnt"</formula>
    </cfRule>
  </conditionalFormatting>
  <conditionalFormatting sqref="A5:A204">
    <cfRule type="expression" priority="8" dxfId="8" stopIfTrue="0">
      <formula>AND($B5&lt;&gt;"",(TODAY()-$B5)&lt;=14)</formula>
    </cfRule>
  </conditionalFormatting>
  <conditionalFormatting sqref="C5:C204">
    <cfRule type="expression" priority="9" dxfId="9" stopIfTrue="1">
      <formula>AND($B5&lt;&gt;"",$C5="")</formula>
    </cfRule>
  </conditionalFormatting>
  <conditionalFormatting sqref="E5:E204">
    <cfRule type="expression" priority="10" dxfId="9" stopIfTrue="1">
      <formula>AND($B5&lt;&gt;"",$E5="")</formula>
    </cfRule>
  </conditionalFormatting>
  <conditionalFormatting sqref="G5:G204">
    <cfRule type="expression" priority="11" dxfId="9" stopIfTrue="1">
      <formula>AND($H5="Abgelehnt",$G5="")</formula>
    </cfRule>
  </conditionalFormatting>
  <dataValidations count="3">
    <dataValidation sqref="H5:H204" showDropDown="0" showInputMessage="0" showErrorMessage="0" allowBlank="1" errorTitle="Ungültiger Status" error="Bitte Angenommen oder Abgelehnt wählen" promptTitle="Entscheidung" prompt="Status auswählen" type="list">
      <formula1>"Angenommen,Abgelehnt"</formula1>
    </dataValidation>
    <dataValidation sqref="E5:E204" showDropDown="0" showInputMessage="0" showErrorMessage="0" allowBlank="1" promptTitle="Einbringender" prompt="Name auswählen" type="list">
      <formula1>=KVPNamenListe</formula1>
    </dataValidation>
    <dataValidation sqref="I5:I204" showDropDown="0" showInputMessage="0" showErrorMessage="0" allowBlank="1" promptTitle="Status" prompt="Umsetzungsstatus wählen" type="list">
      <formula1>"Offen,In Umsetzung,Umgesetzt"</formula1>
    </dataValidation>
  </dataValidations>
  <hyperlinks>
    <hyperlink xmlns:r="http://schemas.openxmlformats.org/officeDocument/2006/relationships" ref="J1" r:id="rId1"/>
    <hyperlink xmlns:r="http://schemas.openxmlformats.org/officeDocument/2006/relationships" ref="A3" r:id="rId2"/>
  </hyperlinks>
  <pageMargins left="0.4" right="0.4" top="0.6" bottom="0.6" header="0.3" footer="0.3"/>
  <pageSetup orientation="landscape" paperSize="9" fitToHeight="0" fitToWidth="1"/>
  <headerFooter>
    <oddHeader>&amp;C&amp;10 KVP - KVP 2025</oddHeader>
    <oddFooter>&amp;LWerksärztlicher Dienst Mercedes-Benz&amp;RSeite &amp;P von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6D4C41"/>
    <outlinePr summaryBelow="1" summaryRight="1"/>
    <pageSetUpPr fitToPage="1"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55" customWidth="1" min="3" max="3"/>
    <col width="28" customWidth="1" min="4" max="4"/>
    <col width="16" customWidth="1" min="5" max="5"/>
    <col width="28" customWidth="1" min="6" max="6"/>
    <col width="23" customWidth="1" min="7" max="7"/>
    <col width="14" customWidth="1" min="8" max="8"/>
    <col width="14" customWidth="1" min="9" max="9"/>
    <col width="16" customWidth="1" min="10" max="10"/>
  </cols>
  <sheetData>
    <row r="1" ht="38" customHeight="1">
      <c r="A1" s="38" t="inlineStr">
        <is>
          <t>KVP Themenliste - Werksärztlicher Dienst Rastatt/Kuppenheim - 2024</t>
        </is>
      </c>
      <c r="J1" s="39" t="inlineStr">
        <is>
          <t>← Dashboard</t>
        </is>
      </c>
    </row>
    <row r="2" ht="30" customHeight="1">
      <c r="A2" s="40" t="inlineStr">
        <is>
          <t>Vorschläge:</t>
        </is>
      </c>
      <c r="B2" s="41">
        <f>COUNTA(B5:B204)</f>
        <v/>
      </c>
      <c r="C2" s="40" t="inlineStr">
        <is>
          <t>Angenommen:</t>
        </is>
      </c>
      <c r="D2" s="42">
        <f>COUNTIF(H5:H204,"Angenommen")</f>
        <v/>
      </c>
      <c r="E2" s="40" t="inlineStr">
        <is>
          <t>Abgelehnt:</t>
        </is>
      </c>
      <c r="F2" s="43">
        <f>COUNTIF(H5:H204,"Abgelehnt")</f>
        <v/>
      </c>
      <c r="G2" s="40" t="inlineStr">
        <is>
          <t>Offen:</t>
        </is>
      </c>
      <c r="H2" s="44">
        <f>B2-D2-F2</f>
        <v/>
      </c>
    </row>
    <row r="3" ht="28" customHeight="1">
      <c r="A3" s="45" t="inlineStr">
        <is>
          <t>✉ Mail an KVP-Gremium (Putschler)</t>
        </is>
      </c>
      <c r="E3" s="46">
        <f>IF(B2-D2-F2&gt;0,"⚠ "&amp;B2-D2-F2&amp;" Vorschlag/Vorschläge ohne Entscheidung","✓ Alle Vorschläge entschieden")</f>
        <v/>
      </c>
    </row>
    <row r="4" ht="36" customHeight="1">
      <c r="A4" s="7" t="inlineStr">
        <is>
          <t>Nr.</t>
        </is>
      </c>
      <c r="B4" s="7" t="inlineStr">
        <is>
          <t>Datum</t>
        </is>
      </c>
      <c r="C4" s="7" t="inlineStr">
        <is>
          <t>Thema</t>
        </is>
      </c>
      <c r="D4" s="7" t="inlineStr">
        <is>
          <t>Ersparnis (Zeit, Geld, Kappa, u.s.w.)</t>
        </is>
      </c>
      <c r="E4" s="7" t="inlineStr">
        <is>
          <t>Einbringender</t>
        </is>
      </c>
      <c r="F4" s="7" t="inlineStr">
        <is>
          <t>Kommentar Bereichsverantwortlicher</t>
        </is>
      </c>
      <c r="G4" s="7" t="inlineStr">
        <is>
          <t>Kommentar vom Gremium</t>
        </is>
      </c>
      <c r="H4" s="7" t="inlineStr">
        <is>
          <t>Angenommen/
Abgelehnt</t>
        </is>
      </c>
      <c r="I4" s="7" t="inlineStr">
        <is>
          <t>Umsetzungs-
status</t>
        </is>
      </c>
      <c r="J4" s="7" t="inlineStr">
        <is>
          <t>Verantwortlich
für Umsetzung</t>
        </is>
      </c>
    </row>
    <row r="5" ht="28" customHeight="1">
      <c r="A5" s="47" t="n">
        <v>1</v>
      </c>
      <c r="B5" s="48" t="n">
        <v>45331</v>
      </c>
      <c r="C5" s="49" t="inlineStr">
        <is>
          <t>Einrichtung eines Übungsraumes zum Notfalltraining (Raum 0.033)</t>
        </is>
      </c>
      <c r="D5" s="49" t="inlineStr">
        <is>
          <t>Bessere Übungsmöglichkeiten, weniger externer Aufwand</t>
        </is>
      </c>
      <c r="E5" s="50" t="inlineStr">
        <is>
          <t>Team</t>
        </is>
      </c>
      <c r="F5" s="49" t="inlineStr"/>
      <c r="G5" s="49" t="inlineStr"/>
      <c r="H5" s="50" t="inlineStr">
        <is>
          <t>Angenommen</t>
        </is>
      </c>
      <c r="I5" s="50" t="inlineStr">
        <is>
          <t>In Umsetzung</t>
        </is>
      </c>
      <c r="J5" s="50" t="inlineStr">
        <is>
          <t>Bernd, Walter</t>
        </is>
      </c>
    </row>
    <row r="6" ht="28" customHeight="1">
      <c r="A6" s="47" t="n">
        <v>2</v>
      </c>
      <c r="B6" s="48" t="n">
        <v>45331</v>
      </c>
      <c r="C6" s="49" t="inlineStr">
        <is>
          <t>Rückenschilder und Namensschilder passend für Softshelljacke</t>
        </is>
      </c>
      <c r="D6" s="49" t="inlineStr">
        <is>
          <t>Einheitliches Erscheinungsbild</t>
        </is>
      </c>
      <c r="E6" s="50" t="inlineStr">
        <is>
          <t>Team</t>
        </is>
      </c>
      <c r="F6" s="49" t="inlineStr"/>
      <c r="G6" s="49" t="inlineStr"/>
      <c r="H6" s="50" t="inlineStr">
        <is>
          <t>Angenommen</t>
        </is>
      </c>
      <c r="I6" s="50" t="inlineStr">
        <is>
          <t>In Umsetzung</t>
        </is>
      </c>
      <c r="J6" s="50" t="inlineStr">
        <is>
          <t>Walter</t>
        </is>
      </c>
    </row>
    <row r="7" ht="28" customHeight="1">
      <c r="A7" s="47" t="n">
        <v>3</v>
      </c>
      <c r="B7" s="48" t="n">
        <v>45373</v>
      </c>
      <c r="C7" s="49" t="inlineStr">
        <is>
          <t>Umorganisation Räume im GZ</t>
        </is>
      </c>
      <c r="D7" s="49" t="inlineStr">
        <is>
          <t>Bessere Raumnutzung</t>
        </is>
      </c>
      <c r="E7" s="50" t="inlineStr">
        <is>
          <t>Team</t>
        </is>
      </c>
      <c r="F7" s="49" t="inlineStr"/>
      <c r="G7" s="49" t="inlineStr"/>
      <c r="H7" s="50" t="inlineStr">
        <is>
          <t>Angenommen</t>
        </is>
      </c>
      <c r="I7" s="50" t="inlineStr">
        <is>
          <t>In Umsetzung</t>
        </is>
      </c>
      <c r="J7" s="50" t="inlineStr">
        <is>
          <t>Sanis</t>
        </is>
      </c>
    </row>
    <row r="8" ht="28" customHeight="1">
      <c r="A8" s="47" t="n">
        <v>4</v>
      </c>
      <c r="B8" s="48" t="n">
        <v>45373</v>
      </c>
      <c r="C8" s="49" t="inlineStr">
        <is>
          <t>Einheitliche Mützen für Winter</t>
        </is>
      </c>
      <c r="D8" s="49" t="inlineStr">
        <is>
          <t>Einheitliches Erscheinungsbild</t>
        </is>
      </c>
      <c r="E8" s="50" t="inlineStr">
        <is>
          <t>Team</t>
        </is>
      </c>
      <c r="F8" s="49" t="inlineStr"/>
      <c r="G8" s="49" t="inlineStr"/>
      <c r="H8" s="50" t="inlineStr">
        <is>
          <t>Angenommen</t>
        </is>
      </c>
      <c r="I8" s="50" t="inlineStr">
        <is>
          <t>In Umsetzung</t>
        </is>
      </c>
      <c r="J8" s="50" t="inlineStr">
        <is>
          <t>Harry</t>
        </is>
      </c>
    </row>
    <row r="9" ht="28" customHeight="1">
      <c r="A9" s="47" t="n">
        <v>5</v>
      </c>
      <c r="B9" s="48" t="n">
        <v>45373</v>
      </c>
      <c r="C9" s="49" t="inlineStr">
        <is>
          <t>Handspiegel beschaffen für MA die AS-Brille abholen</t>
        </is>
      </c>
      <c r="D9" s="49" t="inlineStr">
        <is>
          <t>Service für Mitarbeiter</t>
        </is>
      </c>
      <c r="E9" s="50" t="inlineStr">
        <is>
          <t>Team</t>
        </is>
      </c>
      <c r="F9" s="49" t="inlineStr"/>
      <c r="G9" s="49" t="inlineStr"/>
      <c r="H9" s="50" t="inlineStr">
        <is>
          <t>Angenommen</t>
        </is>
      </c>
      <c r="I9" s="50" t="inlineStr">
        <is>
          <t>In Umsetzung</t>
        </is>
      </c>
      <c r="J9" s="50" t="inlineStr">
        <is>
          <t>Larissa</t>
        </is>
      </c>
    </row>
    <row r="10" ht="28" customHeight="1">
      <c r="A10" s="47" t="n">
        <v>6</v>
      </c>
      <c r="B10" s="48" t="n">
        <v>45373</v>
      </c>
      <c r="C10" s="49" t="inlineStr">
        <is>
          <t>Einheitliche, aktuelle Fotos für WD MA im Social Intranet</t>
        </is>
      </c>
      <c r="D10" s="49" t="inlineStr">
        <is>
          <t>Professionelles Auftreten</t>
        </is>
      </c>
      <c r="E10" s="50" t="inlineStr">
        <is>
          <t>Team</t>
        </is>
      </c>
      <c r="F10" s="49" t="inlineStr"/>
      <c r="G10" s="49" t="inlineStr"/>
      <c r="H10" s="50" t="inlineStr"/>
      <c r="I10" s="50" t="inlineStr"/>
      <c r="J10" s="50" t="inlineStr"/>
    </row>
    <row r="11" ht="28" customHeight="1">
      <c r="A11" s="47" t="n">
        <v>7</v>
      </c>
      <c r="B11" s="48" t="n">
        <v>45434</v>
      </c>
      <c r="C11" s="49" t="inlineStr">
        <is>
          <t>Wetterstation mit Luftdruck, Temperatur und Luftfeuchte in D1</t>
        </is>
      </c>
      <c r="D11" s="49" t="inlineStr">
        <is>
          <t>Information für Einsatzplanung</t>
        </is>
      </c>
      <c r="E11" s="50" t="inlineStr">
        <is>
          <t>Team</t>
        </is>
      </c>
      <c r="F11" s="49" t="inlineStr"/>
      <c r="G11" s="49" t="inlineStr"/>
      <c r="H11" s="50" t="inlineStr">
        <is>
          <t>Angenommen</t>
        </is>
      </c>
      <c r="I11" s="50" t="inlineStr"/>
      <c r="J11" s="50" t="inlineStr"/>
    </row>
    <row r="12" ht="28" customHeight="1">
      <c r="A12" s="47" t="n">
        <v>8</v>
      </c>
      <c r="B12" s="48" t="n">
        <v>45519</v>
      </c>
      <c r="C12" s="49" t="inlineStr">
        <is>
          <t>Täglicher RTW Check in digitale Checkliste umgewandelt</t>
        </is>
      </c>
      <c r="D12" s="49" t="inlineStr">
        <is>
          <t>Zeit und Papier gespart</t>
        </is>
      </c>
      <c r="E12" s="50" t="inlineStr">
        <is>
          <t>Team</t>
        </is>
      </c>
      <c r="F12" s="49" t="inlineStr"/>
      <c r="G12" s="49" t="inlineStr"/>
      <c r="H12" s="50" t="inlineStr">
        <is>
          <t>Angenommen</t>
        </is>
      </c>
      <c r="I12" s="50" t="inlineStr"/>
      <c r="J12" s="50" t="inlineStr"/>
    </row>
    <row r="13" ht="28" customHeight="1">
      <c r="A13" s="47" t="n">
        <v>9</v>
      </c>
      <c r="B13" s="48" t="n">
        <v>45559</v>
      </c>
      <c r="C13" s="49" t="inlineStr">
        <is>
          <t>RTW Alarme als Info in Teams automatisiert</t>
        </is>
      </c>
      <c r="D13" s="49" t="inlineStr">
        <is>
          <t>Schnellere Information</t>
        </is>
      </c>
      <c r="E13" s="50" t="inlineStr">
        <is>
          <t>Team</t>
        </is>
      </c>
      <c r="F13" s="49" t="inlineStr"/>
      <c r="G13" s="49" t="inlineStr"/>
      <c r="H13" s="50" t="inlineStr">
        <is>
          <t>Angenommen</t>
        </is>
      </c>
      <c r="I13" s="50" t="inlineStr"/>
      <c r="J13" s="50" t="inlineStr"/>
    </row>
    <row r="14" ht="28" customHeight="1">
      <c r="A14" s="47" t="n">
        <v>10</v>
      </c>
      <c r="B14" s="48" t="n">
        <v>45589</v>
      </c>
      <c r="C14" s="49" t="inlineStr">
        <is>
          <t>Diagnostic WC Mülleimer tauschen gegen Deckel mit Fußbedienung</t>
        </is>
      </c>
      <c r="D14" s="49" t="inlineStr">
        <is>
          <t>Hygiene</t>
        </is>
      </c>
      <c r="E14" s="50" t="inlineStr">
        <is>
          <t>Team</t>
        </is>
      </c>
      <c r="F14" s="49" t="inlineStr"/>
      <c r="G14" s="49" t="inlineStr"/>
      <c r="H14" s="50" t="inlineStr"/>
      <c r="I14" s="50" t="inlineStr"/>
      <c r="J14" s="50" t="inlineStr"/>
    </row>
    <row r="15">
      <c r="A15" s="47">
        <f>IF(B15&lt;&gt;"",ROW()-4,"")</f>
        <v/>
      </c>
      <c r="B15" s="48" t="n"/>
      <c r="C15" s="49" t="n"/>
      <c r="D15" s="49" t="n"/>
      <c r="E15" s="50" t="n"/>
      <c r="F15" s="49" t="n"/>
      <c r="G15" s="49" t="n"/>
      <c r="H15" s="50" t="n"/>
      <c r="I15" s="50" t="n"/>
      <c r="J15" s="50" t="n"/>
    </row>
    <row r="16">
      <c r="A16" s="47">
        <f>IF(B16&lt;&gt;"",ROW()-4,"")</f>
        <v/>
      </c>
      <c r="B16" s="48" t="n"/>
      <c r="C16" s="49" t="n"/>
      <c r="D16" s="49" t="n"/>
      <c r="E16" s="50" t="n"/>
      <c r="F16" s="49" t="n"/>
      <c r="G16" s="49" t="n"/>
      <c r="H16" s="50" t="n"/>
      <c r="I16" s="50" t="n"/>
      <c r="J16" s="50" t="n"/>
    </row>
    <row r="17">
      <c r="A17" s="47">
        <f>IF(B17&lt;&gt;"",ROW()-4,"")</f>
        <v/>
      </c>
      <c r="B17" s="48" t="n"/>
      <c r="C17" s="49" t="n"/>
      <c r="D17" s="49" t="n"/>
      <c r="E17" s="50" t="n"/>
      <c r="F17" s="49" t="n"/>
      <c r="G17" s="49" t="n"/>
      <c r="H17" s="50" t="n"/>
      <c r="I17" s="50" t="n"/>
      <c r="J17" s="50" t="n"/>
    </row>
    <row r="18">
      <c r="A18" s="47">
        <f>IF(B18&lt;&gt;"",ROW()-4,"")</f>
        <v/>
      </c>
      <c r="B18" s="48" t="n"/>
      <c r="C18" s="49" t="n"/>
      <c r="D18" s="49" t="n"/>
      <c r="E18" s="50" t="n"/>
      <c r="F18" s="49" t="n"/>
      <c r="G18" s="49" t="n"/>
      <c r="H18" s="50" t="n"/>
      <c r="I18" s="50" t="n"/>
      <c r="J18" s="50" t="n"/>
    </row>
    <row r="19">
      <c r="A19" s="47">
        <f>IF(B19&lt;&gt;"",ROW()-4,"")</f>
        <v/>
      </c>
      <c r="B19" s="48" t="n"/>
      <c r="C19" s="49" t="n"/>
      <c r="D19" s="49" t="n"/>
      <c r="E19" s="50" t="n"/>
      <c r="F19" s="49" t="n"/>
      <c r="G19" s="49" t="n"/>
      <c r="H19" s="50" t="n"/>
      <c r="I19" s="50" t="n"/>
      <c r="J19" s="50" t="n"/>
    </row>
    <row r="20">
      <c r="A20" s="47">
        <f>IF(B20&lt;&gt;"",ROW()-4,"")</f>
        <v/>
      </c>
      <c r="B20" s="48" t="n"/>
      <c r="C20" s="49" t="n"/>
      <c r="D20" s="49" t="n"/>
      <c r="E20" s="50" t="n"/>
      <c r="F20" s="49" t="n"/>
      <c r="G20" s="49" t="n"/>
      <c r="H20" s="50" t="n"/>
      <c r="I20" s="50" t="n"/>
      <c r="J20" s="50" t="n"/>
    </row>
    <row r="21">
      <c r="A21" s="47">
        <f>IF(B21&lt;&gt;"",ROW()-4,"")</f>
        <v/>
      </c>
      <c r="B21" s="48" t="n"/>
      <c r="C21" s="49" t="n"/>
      <c r="D21" s="49" t="n"/>
      <c r="E21" s="50" t="n"/>
      <c r="F21" s="49" t="n"/>
      <c r="G21" s="49" t="n"/>
      <c r="H21" s="50" t="n"/>
      <c r="I21" s="50" t="n"/>
      <c r="J21" s="50" t="n"/>
    </row>
    <row r="22">
      <c r="A22" s="47">
        <f>IF(B22&lt;&gt;"",ROW()-4,"")</f>
        <v/>
      </c>
      <c r="B22" s="48" t="n"/>
      <c r="C22" s="49" t="n"/>
      <c r="D22" s="49" t="n"/>
      <c r="E22" s="50" t="n"/>
      <c r="F22" s="49" t="n"/>
      <c r="G22" s="49" t="n"/>
      <c r="H22" s="50" t="n"/>
      <c r="I22" s="50" t="n"/>
      <c r="J22" s="50" t="n"/>
    </row>
    <row r="23">
      <c r="A23" s="47">
        <f>IF(B23&lt;&gt;"",ROW()-4,"")</f>
        <v/>
      </c>
      <c r="B23" s="48" t="n"/>
      <c r="C23" s="49" t="n"/>
      <c r="D23" s="49" t="n"/>
      <c r="E23" s="50" t="n"/>
      <c r="F23" s="49" t="n"/>
      <c r="G23" s="49" t="n"/>
      <c r="H23" s="50" t="n"/>
      <c r="I23" s="50" t="n"/>
      <c r="J23" s="50" t="n"/>
    </row>
    <row r="24">
      <c r="A24" s="47">
        <f>IF(B24&lt;&gt;"",ROW()-4,"")</f>
        <v/>
      </c>
      <c r="B24" s="48" t="n"/>
      <c r="C24" s="49" t="n"/>
      <c r="D24" s="49" t="n"/>
      <c r="E24" s="50" t="n"/>
      <c r="F24" s="49" t="n"/>
      <c r="G24" s="49" t="n"/>
      <c r="H24" s="50" t="n"/>
      <c r="I24" s="50" t="n"/>
      <c r="J24" s="50" t="n"/>
    </row>
    <row r="25">
      <c r="A25" s="47">
        <f>IF(B25&lt;&gt;"",ROW()-4,"")</f>
        <v/>
      </c>
      <c r="B25" s="48" t="n"/>
      <c r="C25" s="49" t="n"/>
      <c r="D25" s="49" t="n"/>
      <c r="E25" s="50" t="n"/>
      <c r="F25" s="49" t="n"/>
      <c r="G25" s="49" t="n"/>
      <c r="H25" s="50" t="n"/>
      <c r="I25" s="50" t="n"/>
      <c r="J25" s="50" t="n"/>
    </row>
    <row r="26">
      <c r="A26" s="47">
        <f>IF(B26&lt;&gt;"",ROW()-4,"")</f>
        <v/>
      </c>
      <c r="B26" s="48" t="n"/>
      <c r="C26" s="49" t="n"/>
      <c r="D26" s="49" t="n"/>
      <c r="E26" s="50" t="n"/>
      <c r="F26" s="49" t="n"/>
      <c r="G26" s="49" t="n"/>
      <c r="H26" s="50" t="n"/>
      <c r="I26" s="50" t="n"/>
      <c r="J26" s="50" t="n"/>
    </row>
    <row r="27">
      <c r="A27" s="47">
        <f>IF(B27&lt;&gt;"",ROW()-4,"")</f>
        <v/>
      </c>
      <c r="B27" s="48" t="n"/>
      <c r="C27" s="49" t="n"/>
      <c r="D27" s="49" t="n"/>
      <c r="E27" s="50" t="n"/>
      <c r="F27" s="49" t="n"/>
      <c r="G27" s="49" t="n"/>
      <c r="H27" s="50" t="n"/>
      <c r="I27" s="50" t="n"/>
      <c r="J27" s="50" t="n"/>
    </row>
    <row r="28">
      <c r="A28" s="47">
        <f>IF(B28&lt;&gt;"",ROW()-4,"")</f>
        <v/>
      </c>
      <c r="B28" s="48" t="n"/>
      <c r="C28" s="49" t="n"/>
      <c r="D28" s="49" t="n"/>
      <c r="E28" s="50" t="n"/>
      <c r="F28" s="49" t="n"/>
      <c r="G28" s="49" t="n"/>
      <c r="H28" s="50" t="n"/>
      <c r="I28" s="50" t="n"/>
      <c r="J28" s="50" t="n"/>
    </row>
    <row r="29">
      <c r="A29" s="47">
        <f>IF(B29&lt;&gt;"",ROW()-4,"")</f>
        <v/>
      </c>
      <c r="B29" s="48" t="n"/>
      <c r="C29" s="49" t="n"/>
      <c r="D29" s="49" t="n"/>
      <c r="E29" s="50" t="n"/>
      <c r="F29" s="49" t="n"/>
      <c r="G29" s="49" t="n"/>
      <c r="H29" s="50" t="n"/>
      <c r="I29" s="50" t="n"/>
      <c r="J29" s="50" t="n"/>
    </row>
    <row r="30">
      <c r="A30" s="47">
        <f>IF(B30&lt;&gt;"",ROW()-4,"")</f>
        <v/>
      </c>
      <c r="B30" s="48" t="n"/>
      <c r="C30" s="49" t="n"/>
      <c r="D30" s="49" t="n"/>
      <c r="E30" s="50" t="n"/>
      <c r="F30" s="49" t="n"/>
      <c r="G30" s="49" t="n"/>
      <c r="H30" s="50" t="n"/>
      <c r="I30" s="50" t="n"/>
      <c r="J30" s="50" t="n"/>
    </row>
    <row r="31">
      <c r="A31" s="47">
        <f>IF(B31&lt;&gt;"",ROW()-4,"")</f>
        <v/>
      </c>
      <c r="B31" s="48" t="n"/>
      <c r="C31" s="49" t="n"/>
      <c r="D31" s="49" t="n"/>
      <c r="E31" s="50" t="n"/>
      <c r="F31" s="49" t="n"/>
      <c r="G31" s="49" t="n"/>
      <c r="H31" s="50" t="n"/>
      <c r="I31" s="50" t="n"/>
      <c r="J31" s="50" t="n"/>
    </row>
    <row r="32">
      <c r="A32" s="47">
        <f>IF(B32&lt;&gt;"",ROW()-4,"")</f>
        <v/>
      </c>
      <c r="B32" s="48" t="n"/>
      <c r="C32" s="49" t="n"/>
      <c r="D32" s="49" t="n"/>
      <c r="E32" s="50" t="n"/>
      <c r="F32" s="49" t="n"/>
      <c r="G32" s="49" t="n"/>
      <c r="H32" s="50" t="n"/>
      <c r="I32" s="50" t="n"/>
      <c r="J32" s="50" t="n"/>
    </row>
    <row r="33">
      <c r="A33" s="47">
        <f>IF(B33&lt;&gt;"",ROW()-4,"")</f>
        <v/>
      </c>
      <c r="B33" s="48" t="n"/>
      <c r="C33" s="49" t="n"/>
      <c r="D33" s="49" t="n"/>
      <c r="E33" s="50" t="n"/>
      <c r="F33" s="49" t="n"/>
      <c r="G33" s="49" t="n"/>
      <c r="H33" s="50" t="n"/>
      <c r="I33" s="50" t="n"/>
      <c r="J33" s="50" t="n"/>
    </row>
    <row r="34">
      <c r="A34" s="47">
        <f>IF(B34&lt;&gt;"",ROW()-4,"")</f>
        <v/>
      </c>
      <c r="B34" s="48" t="n"/>
      <c r="C34" s="49" t="n"/>
      <c r="D34" s="49" t="n"/>
      <c r="E34" s="50" t="n"/>
      <c r="F34" s="49" t="n"/>
      <c r="G34" s="49" t="n"/>
      <c r="H34" s="50" t="n"/>
      <c r="I34" s="50" t="n"/>
      <c r="J34" s="50" t="n"/>
    </row>
    <row r="35">
      <c r="A35" s="47">
        <f>IF(B35&lt;&gt;"",ROW()-4,"")</f>
        <v/>
      </c>
      <c r="B35" s="48" t="n"/>
      <c r="C35" s="49" t="n"/>
      <c r="D35" s="49" t="n"/>
      <c r="E35" s="50" t="n"/>
      <c r="F35" s="49" t="n"/>
      <c r="G35" s="49" t="n"/>
      <c r="H35" s="50" t="n"/>
      <c r="I35" s="50" t="n"/>
      <c r="J35" s="50" t="n"/>
    </row>
    <row r="36">
      <c r="A36" s="47">
        <f>IF(B36&lt;&gt;"",ROW()-4,"")</f>
        <v/>
      </c>
      <c r="B36" s="48" t="n"/>
      <c r="C36" s="49" t="n"/>
      <c r="D36" s="49" t="n"/>
      <c r="E36" s="50" t="n"/>
      <c r="F36" s="49" t="n"/>
      <c r="G36" s="49" t="n"/>
      <c r="H36" s="50" t="n"/>
      <c r="I36" s="50" t="n"/>
      <c r="J36" s="50" t="n"/>
    </row>
    <row r="37">
      <c r="A37" s="47">
        <f>IF(B37&lt;&gt;"",ROW()-4,"")</f>
        <v/>
      </c>
      <c r="B37" s="48" t="n"/>
      <c r="C37" s="49" t="n"/>
      <c r="D37" s="49" t="n"/>
      <c r="E37" s="50" t="n"/>
      <c r="F37" s="49" t="n"/>
      <c r="G37" s="49" t="n"/>
      <c r="H37" s="50" t="n"/>
      <c r="I37" s="50" t="n"/>
      <c r="J37" s="50" t="n"/>
    </row>
    <row r="38">
      <c r="A38" s="47">
        <f>IF(B38&lt;&gt;"",ROW()-4,"")</f>
        <v/>
      </c>
      <c r="B38" s="48" t="n"/>
      <c r="C38" s="49" t="n"/>
      <c r="D38" s="49" t="n"/>
      <c r="E38" s="50" t="n"/>
      <c r="F38" s="49" t="n"/>
      <c r="G38" s="49" t="n"/>
      <c r="H38" s="50" t="n"/>
      <c r="I38" s="50" t="n"/>
      <c r="J38" s="50" t="n"/>
    </row>
    <row r="39">
      <c r="A39" s="47">
        <f>IF(B39&lt;&gt;"",ROW()-4,"")</f>
        <v/>
      </c>
      <c r="B39" s="48" t="n"/>
      <c r="C39" s="49" t="n"/>
      <c r="D39" s="49" t="n"/>
      <c r="E39" s="50" t="n"/>
      <c r="F39" s="49" t="n"/>
      <c r="G39" s="49" t="n"/>
      <c r="H39" s="50" t="n"/>
      <c r="I39" s="50" t="n"/>
      <c r="J39" s="50" t="n"/>
    </row>
    <row r="40">
      <c r="A40" s="47">
        <f>IF(B40&lt;&gt;"",ROW()-4,"")</f>
        <v/>
      </c>
      <c r="B40" s="48" t="n"/>
      <c r="C40" s="49" t="n"/>
      <c r="D40" s="49" t="n"/>
      <c r="E40" s="50" t="n"/>
      <c r="F40" s="49" t="n"/>
      <c r="G40" s="49" t="n"/>
      <c r="H40" s="50" t="n"/>
      <c r="I40" s="50" t="n"/>
      <c r="J40" s="50" t="n"/>
    </row>
    <row r="41">
      <c r="A41" s="47">
        <f>IF(B41&lt;&gt;"",ROW()-4,"")</f>
        <v/>
      </c>
      <c r="B41" s="48" t="n"/>
      <c r="C41" s="49" t="n"/>
      <c r="D41" s="49" t="n"/>
      <c r="E41" s="50" t="n"/>
      <c r="F41" s="49" t="n"/>
      <c r="G41" s="49" t="n"/>
      <c r="H41" s="50" t="n"/>
      <c r="I41" s="50" t="n"/>
      <c r="J41" s="50" t="n"/>
    </row>
    <row r="42">
      <c r="A42" s="47">
        <f>IF(B42&lt;&gt;"",ROW()-4,"")</f>
        <v/>
      </c>
      <c r="B42" s="48" t="n"/>
      <c r="C42" s="49" t="n"/>
      <c r="D42" s="49" t="n"/>
      <c r="E42" s="50" t="n"/>
      <c r="F42" s="49" t="n"/>
      <c r="G42" s="49" t="n"/>
      <c r="H42" s="50" t="n"/>
      <c r="I42" s="50" t="n"/>
      <c r="J42" s="50" t="n"/>
    </row>
    <row r="43">
      <c r="A43" s="47">
        <f>IF(B43&lt;&gt;"",ROW()-4,"")</f>
        <v/>
      </c>
      <c r="B43" s="48" t="n"/>
      <c r="C43" s="49" t="n"/>
      <c r="D43" s="49" t="n"/>
      <c r="E43" s="50" t="n"/>
      <c r="F43" s="49" t="n"/>
      <c r="G43" s="49" t="n"/>
      <c r="H43" s="50" t="n"/>
      <c r="I43" s="50" t="n"/>
      <c r="J43" s="50" t="n"/>
    </row>
    <row r="44">
      <c r="A44" s="47">
        <f>IF(B44&lt;&gt;"",ROW()-4,"")</f>
        <v/>
      </c>
      <c r="B44" s="48" t="n"/>
      <c r="C44" s="49" t="n"/>
      <c r="D44" s="49" t="n"/>
      <c r="E44" s="50" t="n"/>
      <c r="F44" s="49" t="n"/>
      <c r="G44" s="49" t="n"/>
      <c r="H44" s="50" t="n"/>
      <c r="I44" s="50" t="n"/>
      <c r="J44" s="50" t="n"/>
    </row>
    <row r="45">
      <c r="A45" s="47">
        <f>IF(B45&lt;&gt;"",ROW()-4,"")</f>
        <v/>
      </c>
      <c r="B45" s="48" t="n"/>
      <c r="C45" s="49" t="n"/>
      <c r="D45" s="49" t="n"/>
      <c r="E45" s="50" t="n"/>
      <c r="F45" s="49" t="n"/>
      <c r="G45" s="49" t="n"/>
      <c r="H45" s="50" t="n"/>
      <c r="I45" s="50" t="n"/>
      <c r="J45" s="50" t="n"/>
    </row>
    <row r="46">
      <c r="A46" s="47">
        <f>IF(B46&lt;&gt;"",ROW()-4,"")</f>
        <v/>
      </c>
      <c r="B46" s="48" t="n"/>
      <c r="C46" s="49" t="n"/>
      <c r="D46" s="49" t="n"/>
      <c r="E46" s="50" t="n"/>
      <c r="F46" s="49" t="n"/>
      <c r="G46" s="49" t="n"/>
      <c r="H46" s="50" t="n"/>
      <c r="I46" s="50" t="n"/>
      <c r="J46" s="50" t="n"/>
    </row>
    <row r="47">
      <c r="A47" s="47">
        <f>IF(B47&lt;&gt;"",ROW()-4,"")</f>
        <v/>
      </c>
      <c r="B47" s="48" t="n"/>
      <c r="C47" s="49" t="n"/>
      <c r="D47" s="49" t="n"/>
      <c r="E47" s="50" t="n"/>
      <c r="F47" s="49" t="n"/>
      <c r="G47" s="49" t="n"/>
      <c r="H47" s="50" t="n"/>
      <c r="I47" s="50" t="n"/>
      <c r="J47" s="50" t="n"/>
    </row>
    <row r="48">
      <c r="A48" s="47">
        <f>IF(B48&lt;&gt;"",ROW()-4,"")</f>
        <v/>
      </c>
      <c r="B48" s="48" t="n"/>
      <c r="C48" s="49" t="n"/>
      <c r="D48" s="49" t="n"/>
      <c r="E48" s="50" t="n"/>
      <c r="F48" s="49" t="n"/>
      <c r="G48" s="49" t="n"/>
      <c r="H48" s="50" t="n"/>
      <c r="I48" s="50" t="n"/>
      <c r="J48" s="50" t="n"/>
    </row>
    <row r="49">
      <c r="A49" s="47">
        <f>IF(B49&lt;&gt;"",ROW()-4,"")</f>
        <v/>
      </c>
      <c r="B49" s="48" t="n"/>
      <c r="C49" s="49" t="n"/>
      <c r="D49" s="49" t="n"/>
      <c r="E49" s="50" t="n"/>
      <c r="F49" s="49" t="n"/>
      <c r="G49" s="49" t="n"/>
      <c r="H49" s="50" t="n"/>
      <c r="I49" s="50" t="n"/>
      <c r="J49" s="50" t="n"/>
    </row>
    <row r="50">
      <c r="A50" s="47">
        <f>IF(B50&lt;&gt;"",ROW()-4,"")</f>
        <v/>
      </c>
      <c r="B50" s="48" t="n"/>
      <c r="C50" s="49" t="n"/>
      <c r="D50" s="49" t="n"/>
      <c r="E50" s="50" t="n"/>
      <c r="F50" s="49" t="n"/>
      <c r="G50" s="49" t="n"/>
      <c r="H50" s="50" t="n"/>
      <c r="I50" s="50" t="n"/>
      <c r="J50" s="50" t="n"/>
    </row>
    <row r="51">
      <c r="A51" s="47">
        <f>IF(B51&lt;&gt;"",ROW()-4,"")</f>
        <v/>
      </c>
      <c r="B51" s="48" t="n"/>
      <c r="C51" s="49" t="n"/>
      <c r="D51" s="49" t="n"/>
      <c r="E51" s="50" t="n"/>
      <c r="F51" s="49" t="n"/>
      <c r="G51" s="49" t="n"/>
      <c r="H51" s="50" t="n"/>
      <c r="I51" s="50" t="n"/>
      <c r="J51" s="50" t="n"/>
    </row>
    <row r="52">
      <c r="A52" s="47">
        <f>IF(B52&lt;&gt;"",ROW()-4,"")</f>
        <v/>
      </c>
      <c r="B52" s="48" t="n"/>
      <c r="C52" s="49" t="n"/>
      <c r="D52" s="49" t="n"/>
      <c r="E52" s="50" t="n"/>
      <c r="F52" s="49" t="n"/>
      <c r="G52" s="49" t="n"/>
      <c r="H52" s="50" t="n"/>
      <c r="I52" s="50" t="n"/>
      <c r="J52" s="50" t="n"/>
    </row>
    <row r="53">
      <c r="A53" s="47">
        <f>IF(B53&lt;&gt;"",ROW()-4,"")</f>
        <v/>
      </c>
      <c r="B53" s="48" t="n"/>
      <c r="C53" s="49" t="n"/>
      <c r="D53" s="49" t="n"/>
      <c r="E53" s="50" t="n"/>
      <c r="F53" s="49" t="n"/>
      <c r="G53" s="49" t="n"/>
      <c r="H53" s="50" t="n"/>
      <c r="I53" s="50" t="n"/>
      <c r="J53" s="50" t="n"/>
    </row>
    <row r="54">
      <c r="A54" s="47">
        <f>IF(B54&lt;&gt;"",ROW()-4,"")</f>
        <v/>
      </c>
      <c r="B54" s="48" t="n"/>
      <c r="C54" s="49" t="n"/>
      <c r="D54" s="49" t="n"/>
      <c r="E54" s="50" t="n"/>
      <c r="F54" s="49" t="n"/>
      <c r="G54" s="49" t="n"/>
      <c r="H54" s="50" t="n"/>
      <c r="I54" s="50" t="n"/>
      <c r="J54" s="50" t="n"/>
    </row>
    <row r="55">
      <c r="A55" s="47">
        <f>IF(B55&lt;&gt;"",ROW()-4,"")</f>
        <v/>
      </c>
      <c r="B55" s="48" t="n"/>
      <c r="C55" s="49" t="n"/>
      <c r="D55" s="49" t="n"/>
      <c r="E55" s="50" t="n"/>
      <c r="F55" s="49" t="n"/>
      <c r="G55" s="49" t="n"/>
      <c r="H55" s="50" t="n"/>
      <c r="I55" s="50" t="n"/>
      <c r="J55" s="50" t="n"/>
    </row>
    <row r="56">
      <c r="A56" s="47">
        <f>IF(B56&lt;&gt;"",ROW()-4,"")</f>
        <v/>
      </c>
      <c r="B56" s="48" t="n"/>
      <c r="C56" s="49" t="n"/>
      <c r="D56" s="49" t="n"/>
      <c r="E56" s="50" t="n"/>
      <c r="F56" s="49" t="n"/>
      <c r="G56" s="49" t="n"/>
      <c r="H56" s="50" t="n"/>
      <c r="I56" s="50" t="n"/>
      <c r="J56" s="50" t="n"/>
    </row>
    <row r="57">
      <c r="A57" s="47">
        <f>IF(B57&lt;&gt;"",ROW()-4,"")</f>
        <v/>
      </c>
      <c r="B57" s="48" t="n"/>
      <c r="C57" s="49" t="n"/>
      <c r="D57" s="49" t="n"/>
      <c r="E57" s="50" t="n"/>
      <c r="F57" s="49" t="n"/>
      <c r="G57" s="49" t="n"/>
      <c r="H57" s="50" t="n"/>
      <c r="I57" s="50" t="n"/>
      <c r="J57" s="50" t="n"/>
    </row>
    <row r="58">
      <c r="A58" s="47">
        <f>IF(B58&lt;&gt;"",ROW()-4,"")</f>
        <v/>
      </c>
      <c r="B58" s="48" t="n"/>
      <c r="C58" s="49" t="n"/>
      <c r="D58" s="49" t="n"/>
      <c r="E58" s="50" t="n"/>
      <c r="F58" s="49" t="n"/>
      <c r="G58" s="49" t="n"/>
      <c r="H58" s="50" t="n"/>
      <c r="I58" s="50" t="n"/>
      <c r="J58" s="50" t="n"/>
    </row>
    <row r="59">
      <c r="A59" s="47">
        <f>IF(B59&lt;&gt;"",ROW()-4,"")</f>
        <v/>
      </c>
      <c r="B59" s="48" t="n"/>
      <c r="C59" s="49" t="n"/>
      <c r="D59" s="49" t="n"/>
      <c r="E59" s="50" t="n"/>
      <c r="F59" s="49" t="n"/>
      <c r="G59" s="49" t="n"/>
      <c r="H59" s="50" t="n"/>
      <c r="I59" s="50" t="n"/>
      <c r="J59" s="50" t="n"/>
    </row>
    <row r="60">
      <c r="A60" s="47">
        <f>IF(B60&lt;&gt;"",ROW()-4,"")</f>
        <v/>
      </c>
      <c r="B60" s="48" t="n"/>
      <c r="C60" s="49" t="n"/>
      <c r="D60" s="49" t="n"/>
      <c r="E60" s="50" t="n"/>
      <c r="F60" s="49" t="n"/>
      <c r="G60" s="49" t="n"/>
      <c r="H60" s="50" t="n"/>
      <c r="I60" s="50" t="n"/>
      <c r="J60" s="50" t="n"/>
    </row>
    <row r="61">
      <c r="A61" s="47">
        <f>IF(B61&lt;&gt;"",ROW()-4,"")</f>
        <v/>
      </c>
      <c r="B61" s="48" t="n"/>
      <c r="C61" s="49" t="n"/>
      <c r="D61" s="49" t="n"/>
      <c r="E61" s="50" t="n"/>
      <c r="F61" s="49" t="n"/>
      <c r="G61" s="49" t="n"/>
      <c r="H61" s="50" t="n"/>
      <c r="I61" s="50" t="n"/>
      <c r="J61" s="50" t="n"/>
    </row>
    <row r="62">
      <c r="A62" s="47">
        <f>IF(B62&lt;&gt;"",ROW()-4,"")</f>
        <v/>
      </c>
      <c r="B62" s="48" t="n"/>
      <c r="C62" s="49" t="n"/>
      <c r="D62" s="49" t="n"/>
      <c r="E62" s="50" t="n"/>
      <c r="F62" s="49" t="n"/>
      <c r="G62" s="49" t="n"/>
      <c r="H62" s="50" t="n"/>
      <c r="I62" s="50" t="n"/>
      <c r="J62" s="50" t="n"/>
    </row>
    <row r="63">
      <c r="A63" s="47">
        <f>IF(B63&lt;&gt;"",ROW()-4,"")</f>
        <v/>
      </c>
      <c r="B63" s="48" t="n"/>
      <c r="C63" s="49" t="n"/>
      <c r="D63" s="49" t="n"/>
      <c r="E63" s="50" t="n"/>
      <c r="F63" s="49" t="n"/>
      <c r="G63" s="49" t="n"/>
      <c r="H63" s="50" t="n"/>
      <c r="I63" s="50" t="n"/>
      <c r="J63" s="50" t="n"/>
    </row>
    <row r="64">
      <c r="A64" s="47">
        <f>IF(B64&lt;&gt;"",ROW()-4,"")</f>
        <v/>
      </c>
      <c r="B64" s="48" t="n"/>
      <c r="C64" s="49" t="n"/>
      <c r="D64" s="49" t="n"/>
      <c r="E64" s="50" t="n"/>
      <c r="F64" s="49" t="n"/>
      <c r="G64" s="49" t="n"/>
      <c r="H64" s="50" t="n"/>
      <c r="I64" s="50" t="n"/>
      <c r="J64" s="50" t="n"/>
    </row>
  </sheetData>
  <mergeCells count="3">
    <mergeCell ref="A1:I1"/>
    <mergeCell ref="E3:J3"/>
    <mergeCell ref="A3:D3"/>
  </mergeCells>
  <conditionalFormatting sqref="E3">
    <cfRule type="expression" priority="1" dxfId="3" stopIfTrue="1">
      <formula>(B2-D2-F2)&gt;0</formula>
    </cfRule>
    <cfRule type="expression" priority="2" dxfId="4" stopIfTrue="1">
      <formula>(B2-D2-F2)=0</formula>
    </cfRule>
  </conditionalFormatting>
  <conditionalFormatting sqref="A5:J204">
    <cfRule type="expression" priority="3" dxfId="1" stopIfTrue="0">
      <formula>$H5="Angenommen"</formula>
    </cfRule>
    <cfRule type="expression" priority="4" dxfId="2" stopIfTrue="0">
      <formula>$H5="Abgelehnt"</formula>
    </cfRule>
    <cfRule type="expression" priority="5" dxfId="5" stopIfTrue="0">
      <formula>AND($B5&lt;&gt;"",$H5="")</formula>
    </cfRule>
  </conditionalFormatting>
  <conditionalFormatting sqref="H5:H204">
    <cfRule type="cellIs" priority="6" operator="equal" dxfId="6" stopIfTrue="0">
      <formula>"Angenommen"</formula>
    </cfRule>
    <cfRule type="cellIs" priority="7" operator="equal" dxfId="7" stopIfTrue="0">
      <formula>"Abgelehnt"</formula>
    </cfRule>
  </conditionalFormatting>
  <conditionalFormatting sqref="A5:A204">
    <cfRule type="expression" priority="8" dxfId="8" stopIfTrue="0">
      <formula>AND($B5&lt;&gt;"",(TODAY()-$B5)&lt;=14)</formula>
    </cfRule>
  </conditionalFormatting>
  <conditionalFormatting sqref="C5:C204">
    <cfRule type="expression" priority="9" dxfId="9" stopIfTrue="1">
      <formula>AND($B5&lt;&gt;"",$C5="")</formula>
    </cfRule>
  </conditionalFormatting>
  <conditionalFormatting sqref="E5:E204">
    <cfRule type="expression" priority="10" dxfId="9" stopIfTrue="1">
      <formula>AND($B5&lt;&gt;"",$E5="")</formula>
    </cfRule>
  </conditionalFormatting>
  <conditionalFormatting sqref="G5:G204">
    <cfRule type="expression" priority="11" dxfId="9" stopIfTrue="1">
      <formula>AND($H5="Abgelehnt",$G5="")</formula>
    </cfRule>
  </conditionalFormatting>
  <dataValidations count="3">
    <dataValidation sqref="H5:H204" showDropDown="0" showInputMessage="0" showErrorMessage="0" allowBlank="1" errorTitle="Ungültiger Status" error="Bitte Angenommen oder Abgelehnt wählen" promptTitle="Entscheidung" prompt="Status auswählen" type="list">
      <formula1>"Angenommen,Abgelehnt"</formula1>
    </dataValidation>
    <dataValidation sqref="E5:E204" showDropDown="0" showInputMessage="0" showErrorMessage="0" allowBlank="1" promptTitle="Einbringender" prompt="Name auswählen" type="list">
      <formula1>=KVPNamenListe</formula1>
    </dataValidation>
    <dataValidation sqref="I5:I204" showDropDown="0" showInputMessage="0" showErrorMessage="0" allowBlank="1" promptTitle="Status" prompt="Umsetzungsstatus wählen" type="list">
      <formula1>"Offen,In Umsetzung,Umgesetzt"</formula1>
    </dataValidation>
  </dataValidations>
  <hyperlinks>
    <hyperlink xmlns:r="http://schemas.openxmlformats.org/officeDocument/2006/relationships" ref="J1" r:id="rId1"/>
    <hyperlink xmlns:r="http://schemas.openxmlformats.org/officeDocument/2006/relationships" ref="A3" r:id="rId2"/>
  </hyperlinks>
  <pageMargins left="0.4" right="0.4" top="0.6" bottom="0.6" header="0.3" footer="0.3"/>
  <pageSetup orientation="landscape" paperSize="9" fitToHeight="0" fitToWidth="1"/>
  <headerFooter>
    <oddHeader>&amp;C&amp;10 KVP - KVP 2024</oddHeader>
    <oddFooter>&amp;LWerksärztlicher Dienst Mercedes-Benz&amp;RSeite &amp;P von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9E9E9E"/>
    <outlinePr summaryBelow="1" summaryRight="1"/>
    <pageSetUpPr fitToPage="1"/>
  </sheetPr>
  <dimension ref="A1:J6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55" customWidth="1" min="3" max="3"/>
    <col width="28" customWidth="1" min="4" max="4"/>
    <col width="16" customWidth="1" min="5" max="5"/>
    <col width="28" customWidth="1" min="6" max="6"/>
    <col width="23" customWidth="1" min="7" max="7"/>
    <col width="14" customWidth="1" min="8" max="8"/>
    <col width="14" customWidth="1" min="9" max="9"/>
    <col width="16" customWidth="1" min="10" max="10"/>
  </cols>
  <sheetData>
    <row r="1" ht="38" customHeight="1">
      <c r="A1" s="38" t="inlineStr">
        <is>
          <t>KVP Themenliste - Werksärztlicher Dienst Rastatt/Kuppenheim - 2023</t>
        </is>
      </c>
      <c r="J1" s="39" t="inlineStr">
        <is>
          <t>← Dashboard</t>
        </is>
      </c>
    </row>
    <row r="2" ht="30" customHeight="1">
      <c r="A2" s="40" t="inlineStr">
        <is>
          <t>Vorschläge:</t>
        </is>
      </c>
      <c r="B2" s="41">
        <f>COUNTA(B5:B204)</f>
        <v/>
      </c>
      <c r="C2" s="40" t="inlineStr">
        <is>
          <t>Angenommen:</t>
        </is>
      </c>
      <c r="D2" s="42">
        <f>COUNTIF(H5:H204,"Angenommen")</f>
        <v/>
      </c>
      <c r="E2" s="40" t="inlineStr">
        <is>
          <t>Abgelehnt:</t>
        </is>
      </c>
      <c r="F2" s="43">
        <f>COUNTIF(H5:H204,"Abgelehnt")</f>
        <v/>
      </c>
      <c r="G2" s="40" t="inlineStr">
        <is>
          <t>Offen:</t>
        </is>
      </c>
      <c r="H2" s="44">
        <f>B2-D2-F2</f>
        <v/>
      </c>
    </row>
    <row r="3" ht="28" customHeight="1">
      <c r="A3" s="45" t="inlineStr">
        <is>
          <t>✉ Mail an KVP-Gremium (Putschler)</t>
        </is>
      </c>
      <c r="E3" s="46">
        <f>IF(B2-D2-F2&gt;0,"⚠ "&amp;B2-D2-F2&amp;" Vorschlag/Vorschläge ohne Entscheidung","✓ Alle Vorschläge entschieden")</f>
        <v/>
      </c>
    </row>
    <row r="4" ht="36" customHeight="1">
      <c r="A4" s="7" t="inlineStr">
        <is>
          <t>Nr.</t>
        </is>
      </c>
      <c r="B4" s="7" t="inlineStr">
        <is>
          <t>Datum</t>
        </is>
      </c>
      <c r="C4" s="7" t="inlineStr">
        <is>
          <t>Thema</t>
        </is>
      </c>
      <c r="D4" s="7" t="inlineStr">
        <is>
          <t>Ersparnis (Zeit, Geld, Kappa, u.s.w.)</t>
        </is>
      </c>
      <c r="E4" s="7" t="inlineStr">
        <is>
          <t>Einbringender</t>
        </is>
      </c>
      <c r="F4" s="7" t="inlineStr">
        <is>
          <t>Kommentar Bereichsverantwortlicher</t>
        </is>
      </c>
      <c r="G4" s="7" t="inlineStr">
        <is>
          <t>Kommentar vom Gremium</t>
        </is>
      </c>
      <c r="H4" s="7" t="inlineStr">
        <is>
          <t>Angenommen/
Abgelehnt</t>
        </is>
      </c>
      <c r="I4" s="7" t="inlineStr">
        <is>
          <t>Umsetzungs-
status</t>
        </is>
      </c>
      <c r="J4" s="7" t="inlineStr">
        <is>
          <t>Verantwortlich
für Umsetzung</t>
        </is>
      </c>
    </row>
    <row r="5" ht="28" customHeight="1">
      <c r="A5" s="47" t="n">
        <v>1</v>
      </c>
      <c r="B5" s="48" t="n">
        <v>44998</v>
      </c>
      <c r="C5" s="49" t="inlineStr">
        <is>
          <t>Tablets/iPads für Anamnese-Bogen</t>
        </is>
      </c>
      <c r="D5" s="49" t="inlineStr">
        <is>
          <t>Papierersparnis, Digitalisierung</t>
        </is>
      </c>
      <c r="E5" s="50" t="inlineStr">
        <is>
          <t>Team</t>
        </is>
      </c>
      <c r="F5" s="49" t="inlineStr"/>
      <c r="G5" s="49" t="inlineStr"/>
      <c r="H5" s="50" t="inlineStr">
        <is>
          <t>Abgelehnt</t>
        </is>
      </c>
      <c r="I5" s="50" t="inlineStr"/>
      <c r="J5" s="50" t="inlineStr"/>
    </row>
    <row r="6" ht="28" customHeight="1">
      <c r="A6" s="47" t="n">
        <v>2</v>
      </c>
      <c r="B6" s="48" t="n">
        <v>44998</v>
      </c>
      <c r="C6" s="49" t="inlineStr">
        <is>
          <t>Klingelknopf/Totmannmelder für Sani Nachtschicht</t>
        </is>
      </c>
      <c r="D6" s="49" t="inlineStr">
        <is>
          <t>Sicherheit</t>
        </is>
      </c>
      <c r="E6" s="50" t="inlineStr">
        <is>
          <t>Team</t>
        </is>
      </c>
      <c r="F6" s="49" t="inlineStr"/>
      <c r="G6" s="49" t="inlineStr"/>
      <c r="H6" s="50" t="inlineStr">
        <is>
          <t>Abgelehnt</t>
        </is>
      </c>
      <c r="I6" s="50" t="inlineStr"/>
      <c r="J6" s="50" t="inlineStr"/>
    </row>
    <row r="7" ht="28" customHeight="1">
      <c r="A7" s="47" t="n">
        <v>3</v>
      </c>
      <c r="B7" s="48" t="n">
        <v>45005</v>
      </c>
      <c r="C7" s="49" t="inlineStr">
        <is>
          <t>Kühlschrank im Ruheraum abschalten</t>
        </is>
      </c>
      <c r="D7" s="49" t="inlineStr">
        <is>
          <t>Strom</t>
        </is>
      </c>
      <c r="E7" s="50" t="inlineStr">
        <is>
          <t>Team</t>
        </is>
      </c>
      <c r="F7" s="49" t="inlineStr"/>
      <c r="G7" s="49" t="inlineStr"/>
      <c r="H7" s="50" t="inlineStr">
        <is>
          <t>Angenommen</t>
        </is>
      </c>
      <c r="I7" s="50" t="inlineStr"/>
      <c r="J7" s="50" t="inlineStr"/>
    </row>
    <row r="8" ht="28" customHeight="1">
      <c r="A8" s="47" t="n">
        <v>4</v>
      </c>
      <c r="B8" s="48" t="n">
        <v>45011</v>
      </c>
      <c r="C8" s="49" t="inlineStr">
        <is>
          <t>Druckinfusionsmanschette als Einmalprodukt</t>
        </is>
      </c>
      <c r="D8" s="49" t="inlineStr">
        <is>
          <t>Hygiene, Kosten</t>
        </is>
      </c>
      <c r="E8" s="50" t="inlineStr">
        <is>
          <t>Team</t>
        </is>
      </c>
      <c r="F8" s="49" t="inlineStr"/>
      <c r="G8" s="49" t="inlineStr"/>
      <c r="H8" s="50" t="inlineStr">
        <is>
          <t>Angenommen</t>
        </is>
      </c>
      <c r="I8" s="50" t="inlineStr"/>
      <c r="J8" s="50" t="inlineStr"/>
    </row>
    <row r="9" ht="28" customHeight="1">
      <c r="A9" s="47" t="n">
        <v>5</v>
      </c>
      <c r="B9" s="48" t="n">
        <v>45015</v>
      </c>
      <c r="C9" s="49" t="inlineStr">
        <is>
          <t>Telefone in Ambulanzen neu strukturieren</t>
        </is>
      </c>
      <c r="D9" s="49" t="inlineStr">
        <is>
          <t>Bessere Erreichbarkeit</t>
        </is>
      </c>
      <c r="E9" s="50" t="inlineStr">
        <is>
          <t>Team</t>
        </is>
      </c>
      <c r="F9" s="49" t="inlineStr"/>
      <c r="G9" s="49" t="inlineStr"/>
      <c r="H9" s="50" t="inlineStr">
        <is>
          <t>Angenommen</t>
        </is>
      </c>
      <c r="I9" s="50" t="inlineStr"/>
      <c r="J9" s="50" t="inlineStr"/>
    </row>
    <row r="10" ht="28" customHeight="1">
      <c r="A10" s="47" t="n">
        <v>6</v>
      </c>
      <c r="B10" s="48" t="n">
        <v>45016</v>
      </c>
      <c r="C10" s="49" t="inlineStr">
        <is>
          <t>Große Corpuls3 Taschen anschaffen</t>
        </is>
      </c>
      <c r="D10" s="49" t="inlineStr">
        <is>
          <t>Besserer Transport</t>
        </is>
      </c>
      <c r="E10" s="50" t="inlineStr">
        <is>
          <t>Team</t>
        </is>
      </c>
      <c r="F10" s="49" t="inlineStr"/>
      <c r="G10" s="49" t="inlineStr"/>
      <c r="H10" s="50" t="inlineStr">
        <is>
          <t>Angenommen</t>
        </is>
      </c>
      <c r="I10" s="50" t="inlineStr"/>
      <c r="J10" s="50" t="inlineStr"/>
    </row>
    <row r="11" ht="28" customHeight="1">
      <c r="A11" s="47" t="n">
        <v>7</v>
      </c>
      <c r="B11" s="48" t="n">
        <v>45016</v>
      </c>
      <c r="C11" s="49" t="inlineStr">
        <is>
          <t>Therapie-Stammkabel-Verlängerung Corpuls3</t>
        </is>
      </c>
      <c r="D11" s="49" t="inlineStr">
        <is>
          <t>Flexibilität</t>
        </is>
      </c>
      <c r="E11" s="50" t="inlineStr">
        <is>
          <t>Team</t>
        </is>
      </c>
      <c r="F11" s="49" t="inlineStr"/>
      <c r="G11" s="49" t="inlineStr"/>
      <c r="H11" s="50" t="inlineStr">
        <is>
          <t>Abgelehnt</t>
        </is>
      </c>
      <c r="I11" s="50" t="inlineStr"/>
      <c r="J11" s="50" t="inlineStr"/>
    </row>
    <row r="12" ht="28" customHeight="1">
      <c r="A12" s="47" t="n">
        <v>8</v>
      </c>
      <c r="B12" s="48" t="n">
        <v>45049</v>
      </c>
      <c r="C12" s="49" t="inlineStr">
        <is>
          <t>Beschriftung Notruftelefon erneuern</t>
        </is>
      </c>
      <c r="D12" s="49" t="inlineStr">
        <is>
          <t>Klarheit</t>
        </is>
      </c>
      <c r="E12" s="50" t="inlineStr">
        <is>
          <t>Team</t>
        </is>
      </c>
      <c r="F12" s="49" t="inlineStr"/>
      <c r="G12" s="49" t="inlineStr"/>
      <c r="H12" s="50" t="inlineStr">
        <is>
          <t>Angenommen</t>
        </is>
      </c>
      <c r="I12" s="50" t="inlineStr"/>
      <c r="J12" s="50" t="inlineStr"/>
    </row>
    <row r="13" ht="28" customHeight="1">
      <c r="A13" s="47" t="n">
        <v>9</v>
      </c>
      <c r="B13" s="48" t="n">
        <v>45077</v>
      </c>
      <c r="C13" s="49" t="inlineStr">
        <is>
          <t>Sichere Spritzenkennzeichnung nach ISO DIVI Standard</t>
        </is>
      </c>
      <c r="D13" s="49" t="inlineStr">
        <is>
          <t>Patientensicherheit</t>
        </is>
      </c>
      <c r="E13" s="50" t="inlineStr">
        <is>
          <t>Team</t>
        </is>
      </c>
      <c r="F13" s="49" t="inlineStr"/>
      <c r="G13" s="49" t="inlineStr"/>
      <c r="H13" s="50" t="inlineStr">
        <is>
          <t>Angenommen</t>
        </is>
      </c>
      <c r="I13" s="50" t="inlineStr"/>
      <c r="J13" s="50" t="inlineStr"/>
    </row>
    <row r="14" ht="28" customHeight="1">
      <c r="A14" s="47" t="n">
        <v>10</v>
      </c>
      <c r="B14" s="48" t="n">
        <v>45114</v>
      </c>
      <c r="C14" s="49" t="inlineStr">
        <is>
          <t>Briefkasten vor Arztzimmern</t>
        </is>
      </c>
      <c r="D14" s="49" t="inlineStr">
        <is>
          <t>Organisation</t>
        </is>
      </c>
      <c r="E14" s="50" t="inlineStr">
        <is>
          <t>Team</t>
        </is>
      </c>
      <c r="F14" s="49" t="inlineStr"/>
      <c r="G14" s="49" t="inlineStr"/>
      <c r="H14" s="50" t="inlineStr">
        <is>
          <t>Abgelehnt</t>
        </is>
      </c>
      <c r="I14" s="50" t="inlineStr"/>
      <c r="J14" s="50" t="inlineStr"/>
    </row>
    <row r="15" ht="28" customHeight="1">
      <c r="A15" s="47" t="n">
        <v>11</v>
      </c>
      <c r="B15" s="48" t="n">
        <v>45155</v>
      </c>
      <c r="C15" s="49" t="inlineStr">
        <is>
          <t>USB-Umschalter für Dokumentenscanner</t>
        </is>
      </c>
      <c r="D15" s="49" t="inlineStr">
        <is>
          <t>Effizienz</t>
        </is>
      </c>
      <c r="E15" s="50" t="inlineStr">
        <is>
          <t>Team</t>
        </is>
      </c>
      <c r="F15" s="49" t="inlineStr"/>
      <c r="G15" s="49" t="inlineStr"/>
      <c r="H15" s="50" t="inlineStr">
        <is>
          <t>Angenommen</t>
        </is>
      </c>
      <c r="I15" s="50" t="inlineStr"/>
      <c r="J15" s="50" t="inlineStr"/>
    </row>
    <row r="16">
      <c r="A16" s="47">
        <f>IF(B16&lt;&gt;"",ROW()-4,"")</f>
        <v/>
      </c>
      <c r="B16" s="48" t="n"/>
      <c r="C16" s="49" t="n"/>
      <c r="D16" s="49" t="n"/>
      <c r="E16" s="50" t="n"/>
      <c r="F16" s="49" t="n"/>
      <c r="G16" s="49" t="n"/>
      <c r="H16" s="50" t="n"/>
      <c r="I16" s="50" t="n"/>
      <c r="J16" s="50" t="n"/>
    </row>
    <row r="17">
      <c r="A17" s="47">
        <f>IF(B17&lt;&gt;"",ROW()-4,"")</f>
        <v/>
      </c>
      <c r="B17" s="48" t="n"/>
      <c r="C17" s="49" t="n"/>
      <c r="D17" s="49" t="n"/>
      <c r="E17" s="50" t="n"/>
      <c r="F17" s="49" t="n"/>
      <c r="G17" s="49" t="n"/>
      <c r="H17" s="50" t="n"/>
      <c r="I17" s="50" t="n"/>
      <c r="J17" s="50" t="n"/>
    </row>
    <row r="18">
      <c r="A18" s="47">
        <f>IF(B18&lt;&gt;"",ROW()-4,"")</f>
        <v/>
      </c>
      <c r="B18" s="48" t="n"/>
      <c r="C18" s="49" t="n"/>
      <c r="D18" s="49" t="n"/>
      <c r="E18" s="50" t="n"/>
      <c r="F18" s="49" t="n"/>
      <c r="G18" s="49" t="n"/>
      <c r="H18" s="50" t="n"/>
      <c r="I18" s="50" t="n"/>
      <c r="J18" s="50" t="n"/>
    </row>
    <row r="19">
      <c r="A19" s="47">
        <f>IF(B19&lt;&gt;"",ROW()-4,"")</f>
        <v/>
      </c>
      <c r="B19" s="48" t="n"/>
      <c r="C19" s="49" t="n"/>
      <c r="D19" s="49" t="n"/>
      <c r="E19" s="50" t="n"/>
      <c r="F19" s="49" t="n"/>
      <c r="G19" s="49" t="n"/>
      <c r="H19" s="50" t="n"/>
      <c r="I19" s="50" t="n"/>
      <c r="J19" s="50" t="n"/>
    </row>
    <row r="20">
      <c r="A20" s="47">
        <f>IF(B20&lt;&gt;"",ROW()-4,"")</f>
        <v/>
      </c>
      <c r="B20" s="48" t="n"/>
      <c r="C20" s="49" t="n"/>
      <c r="D20" s="49" t="n"/>
      <c r="E20" s="50" t="n"/>
      <c r="F20" s="49" t="n"/>
      <c r="G20" s="49" t="n"/>
      <c r="H20" s="50" t="n"/>
      <c r="I20" s="50" t="n"/>
      <c r="J20" s="50" t="n"/>
    </row>
    <row r="21">
      <c r="A21" s="47">
        <f>IF(B21&lt;&gt;"",ROW()-4,"")</f>
        <v/>
      </c>
      <c r="B21" s="48" t="n"/>
      <c r="C21" s="49" t="n"/>
      <c r="D21" s="49" t="n"/>
      <c r="E21" s="50" t="n"/>
      <c r="F21" s="49" t="n"/>
      <c r="G21" s="49" t="n"/>
      <c r="H21" s="50" t="n"/>
      <c r="I21" s="50" t="n"/>
      <c r="J21" s="50" t="n"/>
    </row>
    <row r="22">
      <c r="A22" s="47">
        <f>IF(B22&lt;&gt;"",ROW()-4,"")</f>
        <v/>
      </c>
      <c r="B22" s="48" t="n"/>
      <c r="C22" s="49" t="n"/>
      <c r="D22" s="49" t="n"/>
      <c r="E22" s="50" t="n"/>
      <c r="F22" s="49" t="n"/>
      <c r="G22" s="49" t="n"/>
      <c r="H22" s="50" t="n"/>
      <c r="I22" s="50" t="n"/>
      <c r="J22" s="50" t="n"/>
    </row>
    <row r="23">
      <c r="A23" s="47">
        <f>IF(B23&lt;&gt;"",ROW()-4,"")</f>
        <v/>
      </c>
      <c r="B23" s="48" t="n"/>
      <c r="C23" s="49" t="n"/>
      <c r="D23" s="49" t="n"/>
      <c r="E23" s="50" t="n"/>
      <c r="F23" s="49" t="n"/>
      <c r="G23" s="49" t="n"/>
      <c r="H23" s="50" t="n"/>
      <c r="I23" s="50" t="n"/>
      <c r="J23" s="50" t="n"/>
    </row>
    <row r="24">
      <c r="A24" s="47">
        <f>IF(B24&lt;&gt;"",ROW()-4,"")</f>
        <v/>
      </c>
      <c r="B24" s="48" t="n"/>
      <c r="C24" s="49" t="n"/>
      <c r="D24" s="49" t="n"/>
      <c r="E24" s="50" t="n"/>
      <c r="F24" s="49" t="n"/>
      <c r="G24" s="49" t="n"/>
      <c r="H24" s="50" t="n"/>
      <c r="I24" s="50" t="n"/>
      <c r="J24" s="50" t="n"/>
    </row>
    <row r="25">
      <c r="A25" s="47">
        <f>IF(B25&lt;&gt;"",ROW()-4,"")</f>
        <v/>
      </c>
      <c r="B25" s="48" t="n"/>
      <c r="C25" s="49" t="n"/>
      <c r="D25" s="49" t="n"/>
      <c r="E25" s="50" t="n"/>
      <c r="F25" s="49" t="n"/>
      <c r="G25" s="49" t="n"/>
      <c r="H25" s="50" t="n"/>
      <c r="I25" s="50" t="n"/>
      <c r="J25" s="50" t="n"/>
    </row>
    <row r="26">
      <c r="A26" s="47">
        <f>IF(B26&lt;&gt;"",ROW()-4,"")</f>
        <v/>
      </c>
      <c r="B26" s="48" t="n"/>
      <c r="C26" s="49" t="n"/>
      <c r="D26" s="49" t="n"/>
      <c r="E26" s="50" t="n"/>
      <c r="F26" s="49" t="n"/>
      <c r="G26" s="49" t="n"/>
      <c r="H26" s="50" t="n"/>
      <c r="I26" s="50" t="n"/>
      <c r="J26" s="50" t="n"/>
    </row>
    <row r="27">
      <c r="A27" s="47">
        <f>IF(B27&lt;&gt;"",ROW()-4,"")</f>
        <v/>
      </c>
      <c r="B27" s="48" t="n"/>
      <c r="C27" s="49" t="n"/>
      <c r="D27" s="49" t="n"/>
      <c r="E27" s="50" t="n"/>
      <c r="F27" s="49" t="n"/>
      <c r="G27" s="49" t="n"/>
      <c r="H27" s="50" t="n"/>
      <c r="I27" s="50" t="n"/>
      <c r="J27" s="50" t="n"/>
    </row>
    <row r="28">
      <c r="A28" s="47">
        <f>IF(B28&lt;&gt;"",ROW()-4,"")</f>
        <v/>
      </c>
      <c r="B28" s="48" t="n"/>
      <c r="C28" s="49" t="n"/>
      <c r="D28" s="49" t="n"/>
      <c r="E28" s="50" t="n"/>
      <c r="F28" s="49" t="n"/>
      <c r="G28" s="49" t="n"/>
      <c r="H28" s="50" t="n"/>
      <c r="I28" s="50" t="n"/>
      <c r="J28" s="50" t="n"/>
    </row>
    <row r="29">
      <c r="A29" s="47">
        <f>IF(B29&lt;&gt;"",ROW()-4,"")</f>
        <v/>
      </c>
      <c r="B29" s="48" t="n"/>
      <c r="C29" s="49" t="n"/>
      <c r="D29" s="49" t="n"/>
      <c r="E29" s="50" t="n"/>
      <c r="F29" s="49" t="n"/>
      <c r="G29" s="49" t="n"/>
      <c r="H29" s="50" t="n"/>
      <c r="I29" s="50" t="n"/>
      <c r="J29" s="50" t="n"/>
    </row>
    <row r="30">
      <c r="A30" s="47">
        <f>IF(B30&lt;&gt;"",ROW()-4,"")</f>
        <v/>
      </c>
      <c r="B30" s="48" t="n"/>
      <c r="C30" s="49" t="n"/>
      <c r="D30" s="49" t="n"/>
      <c r="E30" s="50" t="n"/>
      <c r="F30" s="49" t="n"/>
      <c r="G30" s="49" t="n"/>
      <c r="H30" s="50" t="n"/>
      <c r="I30" s="50" t="n"/>
      <c r="J30" s="50" t="n"/>
    </row>
    <row r="31">
      <c r="A31" s="47">
        <f>IF(B31&lt;&gt;"",ROW()-4,"")</f>
        <v/>
      </c>
      <c r="B31" s="48" t="n"/>
      <c r="C31" s="49" t="n"/>
      <c r="D31" s="49" t="n"/>
      <c r="E31" s="50" t="n"/>
      <c r="F31" s="49" t="n"/>
      <c r="G31" s="49" t="n"/>
      <c r="H31" s="50" t="n"/>
      <c r="I31" s="50" t="n"/>
      <c r="J31" s="50" t="n"/>
    </row>
    <row r="32">
      <c r="A32" s="47">
        <f>IF(B32&lt;&gt;"",ROW()-4,"")</f>
        <v/>
      </c>
      <c r="B32" s="48" t="n"/>
      <c r="C32" s="49" t="n"/>
      <c r="D32" s="49" t="n"/>
      <c r="E32" s="50" t="n"/>
      <c r="F32" s="49" t="n"/>
      <c r="G32" s="49" t="n"/>
      <c r="H32" s="50" t="n"/>
      <c r="I32" s="50" t="n"/>
      <c r="J32" s="50" t="n"/>
    </row>
    <row r="33">
      <c r="A33" s="47">
        <f>IF(B33&lt;&gt;"",ROW()-4,"")</f>
        <v/>
      </c>
      <c r="B33" s="48" t="n"/>
      <c r="C33" s="49" t="n"/>
      <c r="D33" s="49" t="n"/>
      <c r="E33" s="50" t="n"/>
      <c r="F33" s="49" t="n"/>
      <c r="G33" s="49" t="n"/>
      <c r="H33" s="50" t="n"/>
      <c r="I33" s="50" t="n"/>
      <c r="J33" s="50" t="n"/>
    </row>
    <row r="34">
      <c r="A34" s="47">
        <f>IF(B34&lt;&gt;"",ROW()-4,"")</f>
        <v/>
      </c>
      <c r="B34" s="48" t="n"/>
      <c r="C34" s="49" t="n"/>
      <c r="D34" s="49" t="n"/>
      <c r="E34" s="50" t="n"/>
      <c r="F34" s="49" t="n"/>
      <c r="G34" s="49" t="n"/>
      <c r="H34" s="50" t="n"/>
      <c r="I34" s="50" t="n"/>
      <c r="J34" s="50" t="n"/>
    </row>
    <row r="35">
      <c r="A35" s="47">
        <f>IF(B35&lt;&gt;"",ROW()-4,"")</f>
        <v/>
      </c>
      <c r="B35" s="48" t="n"/>
      <c r="C35" s="49" t="n"/>
      <c r="D35" s="49" t="n"/>
      <c r="E35" s="50" t="n"/>
      <c r="F35" s="49" t="n"/>
      <c r="G35" s="49" t="n"/>
      <c r="H35" s="50" t="n"/>
      <c r="I35" s="50" t="n"/>
      <c r="J35" s="50" t="n"/>
    </row>
    <row r="36">
      <c r="A36" s="47">
        <f>IF(B36&lt;&gt;"",ROW()-4,"")</f>
        <v/>
      </c>
      <c r="B36" s="48" t="n"/>
      <c r="C36" s="49" t="n"/>
      <c r="D36" s="49" t="n"/>
      <c r="E36" s="50" t="n"/>
      <c r="F36" s="49" t="n"/>
      <c r="G36" s="49" t="n"/>
      <c r="H36" s="50" t="n"/>
      <c r="I36" s="50" t="n"/>
      <c r="J36" s="50" t="n"/>
    </row>
    <row r="37">
      <c r="A37" s="47">
        <f>IF(B37&lt;&gt;"",ROW()-4,"")</f>
        <v/>
      </c>
      <c r="B37" s="48" t="n"/>
      <c r="C37" s="49" t="n"/>
      <c r="D37" s="49" t="n"/>
      <c r="E37" s="50" t="n"/>
      <c r="F37" s="49" t="n"/>
      <c r="G37" s="49" t="n"/>
      <c r="H37" s="50" t="n"/>
      <c r="I37" s="50" t="n"/>
      <c r="J37" s="50" t="n"/>
    </row>
    <row r="38">
      <c r="A38" s="47">
        <f>IF(B38&lt;&gt;"",ROW()-4,"")</f>
        <v/>
      </c>
      <c r="B38" s="48" t="n"/>
      <c r="C38" s="49" t="n"/>
      <c r="D38" s="49" t="n"/>
      <c r="E38" s="50" t="n"/>
      <c r="F38" s="49" t="n"/>
      <c r="G38" s="49" t="n"/>
      <c r="H38" s="50" t="n"/>
      <c r="I38" s="50" t="n"/>
      <c r="J38" s="50" t="n"/>
    </row>
    <row r="39">
      <c r="A39" s="47">
        <f>IF(B39&lt;&gt;"",ROW()-4,"")</f>
        <v/>
      </c>
      <c r="B39" s="48" t="n"/>
      <c r="C39" s="49" t="n"/>
      <c r="D39" s="49" t="n"/>
      <c r="E39" s="50" t="n"/>
      <c r="F39" s="49" t="n"/>
      <c r="G39" s="49" t="n"/>
      <c r="H39" s="50" t="n"/>
      <c r="I39" s="50" t="n"/>
      <c r="J39" s="50" t="n"/>
    </row>
    <row r="40">
      <c r="A40" s="47">
        <f>IF(B40&lt;&gt;"",ROW()-4,"")</f>
        <v/>
      </c>
      <c r="B40" s="48" t="n"/>
      <c r="C40" s="49" t="n"/>
      <c r="D40" s="49" t="n"/>
      <c r="E40" s="50" t="n"/>
      <c r="F40" s="49" t="n"/>
      <c r="G40" s="49" t="n"/>
      <c r="H40" s="50" t="n"/>
      <c r="I40" s="50" t="n"/>
      <c r="J40" s="50" t="n"/>
    </row>
    <row r="41">
      <c r="A41" s="47">
        <f>IF(B41&lt;&gt;"",ROW()-4,"")</f>
        <v/>
      </c>
      <c r="B41" s="48" t="n"/>
      <c r="C41" s="49" t="n"/>
      <c r="D41" s="49" t="n"/>
      <c r="E41" s="50" t="n"/>
      <c r="F41" s="49" t="n"/>
      <c r="G41" s="49" t="n"/>
      <c r="H41" s="50" t="n"/>
      <c r="I41" s="50" t="n"/>
      <c r="J41" s="50" t="n"/>
    </row>
    <row r="42">
      <c r="A42" s="47">
        <f>IF(B42&lt;&gt;"",ROW()-4,"")</f>
        <v/>
      </c>
      <c r="B42" s="48" t="n"/>
      <c r="C42" s="49" t="n"/>
      <c r="D42" s="49" t="n"/>
      <c r="E42" s="50" t="n"/>
      <c r="F42" s="49" t="n"/>
      <c r="G42" s="49" t="n"/>
      <c r="H42" s="50" t="n"/>
      <c r="I42" s="50" t="n"/>
      <c r="J42" s="50" t="n"/>
    </row>
    <row r="43">
      <c r="A43" s="47">
        <f>IF(B43&lt;&gt;"",ROW()-4,"")</f>
        <v/>
      </c>
      <c r="B43" s="48" t="n"/>
      <c r="C43" s="49" t="n"/>
      <c r="D43" s="49" t="n"/>
      <c r="E43" s="50" t="n"/>
      <c r="F43" s="49" t="n"/>
      <c r="G43" s="49" t="n"/>
      <c r="H43" s="50" t="n"/>
      <c r="I43" s="50" t="n"/>
      <c r="J43" s="50" t="n"/>
    </row>
    <row r="44">
      <c r="A44" s="47">
        <f>IF(B44&lt;&gt;"",ROW()-4,"")</f>
        <v/>
      </c>
      <c r="B44" s="48" t="n"/>
      <c r="C44" s="49" t="n"/>
      <c r="D44" s="49" t="n"/>
      <c r="E44" s="50" t="n"/>
      <c r="F44" s="49" t="n"/>
      <c r="G44" s="49" t="n"/>
      <c r="H44" s="50" t="n"/>
      <c r="I44" s="50" t="n"/>
      <c r="J44" s="50" t="n"/>
    </row>
    <row r="45">
      <c r="A45" s="47">
        <f>IF(B45&lt;&gt;"",ROW()-4,"")</f>
        <v/>
      </c>
      <c r="B45" s="48" t="n"/>
      <c r="C45" s="49" t="n"/>
      <c r="D45" s="49" t="n"/>
      <c r="E45" s="50" t="n"/>
      <c r="F45" s="49" t="n"/>
      <c r="G45" s="49" t="n"/>
      <c r="H45" s="50" t="n"/>
      <c r="I45" s="50" t="n"/>
      <c r="J45" s="50" t="n"/>
    </row>
    <row r="46">
      <c r="A46" s="47">
        <f>IF(B46&lt;&gt;"",ROW()-4,"")</f>
        <v/>
      </c>
      <c r="B46" s="48" t="n"/>
      <c r="C46" s="49" t="n"/>
      <c r="D46" s="49" t="n"/>
      <c r="E46" s="50" t="n"/>
      <c r="F46" s="49" t="n"/>
      <c r="G46" s="49" t="n"/>
      <c r="H46" s="50" t="n"/>
      <c r="I46" s="50" t="n"/>
      <c r="J46" s="50" t="n"/>
    </row>
    <row r="47">
      <c r="A47" s="47">
        <f>IF(B47&lt;&gt;"",ROW()-4,"")</f>
        <v/>
      </c>
      <c r="B47" s="48" t="n"/>
      <c r="C47" s="49" t="n"/>
      <c r="D47" s="49" t="n"/>
      <c r="E47" s="50" t="n"/>
      <c r="F47" s="49" t="n"/>
      <c r="G47" s="49" t="n"/>
      <c r="H47" s="50" t="n"/>
      <c r="I47" s="50" t="n"/>
      <c r="J47" s="50" t="n"/>
    </row>
    <row r="48">
      <c r="A48" s="47">
        <f>IF(B48&lt;&gt;"",ROW()-4,"")</f>
        <v/>
      </c>
      <c r="B48" s="48" t="n"/>
      <c r="C48" s="49" t="n"/>
      <c r="D48" s="49" t="n"/>
      <c r="E48" s="50" t="n"/>
      <c r="F48" s="49" t="n"/>
      <c r="G48" s="49" t="n"/>
      <c r="H48" s="50" t="n"/>
      <c r="I48" s="50" t="n"/>
      <c r="J48" s="50" t="n"/>
    </row>
    <row r="49">
      <c r="A49" s="47">
        <f>IF(B49&lt;&gt;"",ROW()-4,"")</f>
        <v/>
      </c>
      <c r="B49" s="48" t="n"/>
      <c r="C49" s="49" t="n"/>
      <c r="D49" s="49" t="n"/>
      <c r="E49" s="50" t="n"/>
      <c r="F49" s="49" t="n"/>
      <c r="G49" s="49" t="n"/>
      <c r="H49" s="50" t="n"/>
      <c r="I49" s="50" t="n"/>
      <c r="J49" s="50" t="n"/>
    </row>
    <row r="50">
      <c r="A50" s="47">
        <f>IF(B50&lt;&gt;"",ROW()-4,"")</f>
        <v/>
      </c>
      <c r="B50" s="48" t="n"/>
      <c r="C50" s="49" t="n"/>
      <c r="D50" s="49" t="n"/>
      <c r="E50" s="50" t="n"/>
      <c r="F50" s="49" t="n"/>
      <c r="G50" s="49" t="n"/>
      <c r="H50" s="50" t="n"/>
      <c r="I50" s="50" t="n"/>
      <c r="J50" s="50" t="n"/>
    </row>
    <row r="51">
      <c r="A51" s="47">
        <f>IF(B51&lt;&gt;"",ROW()-4,"")</f>
        <v/>
      </c>
      <c r="B51" s="48" t="n"/>
      <c r="C51" s="49" t="n"/>
      <c r="D51" s="49" t="n"/>
      <c r="E51" s="50" t="n"/>
      <c r="F51" s="49" t="n"/>
      <c r="G51" s="49" t="n"/>
      <c r="H51" s="50" t="n"/>
      <c r="I51" s="50" t="n"/>
      <c r="J51" s="50" t="n"/>
    </row>
    <row r="52">
      <c r="A52" s="47">
        <f>IF(B52&lt;&gt;"",ROW()-4,"")</f>
        <v/>
      </c>
      <c r="B52" s="48" t="n"/>
      <c r="C52" s="49" t="n"/>
      <c r="D52" s="49" t="n"/>
      <c r="E52" s="50" t="n"/>
      <c r="F52" s="49" t="n"/>
      <c r="G52" s="49" t="n"/>
      <c r="H52" s="50" t="n"/>
      <c r="I52" s="50" t="n"/>
      <c r="J52" s="50" t="n"/>
    </row>
    <row r="53">
      <c r="A53" s="47">
        <f>IF(B53&lt;&gt;"",ROW()-4,"")</f>
        <v/>
      </c>
      <c r="B53" s="48" t="n"/>
      <c r="C53" s="49" t="n"/>
      <c r="D53" s="49" t="n"/>
      <c r="E53" s="50" t="n"/>
      <c r="F53" s="49" t="n"/>
      <c r="G53" s="49" t="n"/>
      <c r="H53" s="50" t="n"/>
      <c r="I53" s="50" t="n"/>
      <c r="J53" s="50" t="n"/>
    </row>
    <row r="54">
      <c r="A54" s="47">
        <f>IF(B54&lt;&gt;"",ROW()-4,"")</f>
        <v/>
      </c>
      <c r="B54" s="48" t="n"/>
      <c r="C54" s="49" t="n"/>
      <c r="D54" s="49" t="n"/>
      <c r="E54" s="50" t="n"/>
      <c r="F54" s="49" t="n"/>
      <c r="G54" s="49" t="n"/>
      <c r="H54" s="50" t="n"/>
      <c r="I54" s="50" t="n"/>
      <c r="J54" s="50" t="n"/>
    </row>
    <row r="55">
      <c r="A55" s="47">
        <f>IF(B55&lt;&gt;"",ROW()-4,"")</f>
        <v/>
      </c>
      <c r="B55" s="48" t="n"/>
      <c r="C55" s="49" t="n"/>
      <c r="D55" s="49" t="n"/>
      <c r="E55" s="50" t="n"/>
      <c r="F55" s="49" t="n"/>
      <c r="G55" s="49" t="n"/>
      <c r="H55" s="50" t="n"/>
      <c r="I55" s="50" t="n"/>
      <c r="J55" s="50" t="n"/>
    </row>
    <row r="56">
      <c r="A56" s="47">
        <f>IF(B56&lt;&gt;"",ROW()-4,"")</f>
        <v/>
      </c>
      <c r="B56" s="48" t="n"/>
      <c r="C56" s="49" t="n"/>
      <c r="D56" s="49" t="n"/>
      <c r="E56" s="50" t="n"/>
      <c r="F56" s="49" t="n"/>
      <c r="G56" s="49" t="n"/>
      <c r="H56" s="50" t="n"/>
      <c r="I56" s="50" t="n"/>
      <c r="J56" s="50" t="n"/>
    </row>
    <row r="57">
      <c r="A57" s="47">
        <f>IF(B57&lt;&gt;"",ROW()-4,"")</f>
        <v/>
      </c>
      <c r="B57" s="48" t="n"/>
      <c r="C57" s="49" t="n"/>
      <c r="D57" s="49" t="n"/>
      <c r="E57" s="50" t="n"/>
      <c r="F57" s="49" t="n"/>
      <c r="G57" s="49" t="n"/>
      <c r="H57" s="50" t="n"/>
      <c r="I57" s="50" t="n"/>
      <c r="J57" s="50" t="n"/>
    </row>
    <row r="58">
      <c r="A58" s="47">
        <f>IF(B58&lt;&gt;"",ROW()-4,"")</f>
        <v/>
      </c>
      <c r="B58" s="48" t="n"/>
      <c r="C58" s="49" t="n"/>
      <c r="D58" s="49" t="n"/>
      <c r="E58" s="50" t="n"/>
      <c r="F58" s="49" t="n"/>
      <c r="G58" s="49" t="n"/>
      <c r="H58" s="50" t="n"/>
      <c r="I58" s="50" t="n"/>
      <c r="J58" s="50" t="n"/>
    </row>
    <row r="59">
      <c r="A59" s="47">
        <f>IF(B59&lt;&gt;"",ROW()-4,"")</f>
        <v/>
      </c>
      <c r="B59" s="48" t="n"/>
      <c r="C59" s="49" t="n"/>
      <c r="D59" s="49" t="n"/>
      <c r="E59" s="50" t="n"/>
      <c r="F59" s="49" t="n"/>
      <c r="G59" s="49" t="n"/>
      <c r="H59" s="50" t="n"/>
      <c r="I59" s="50" t="n"/>
      <c r="J59" s="50" t="n"/>
    </row>
    <row r="60">
      <c r="A60" s="47">
        <f>IF(B60&lt;&gt;"",ROW()-4,"")</f>
        <v/>
      </c>
      <c r="B60" s="48" t="n"/>
      <c r="C60" s="49" t="n"/>
      <c r="D60" s="49" t="n"/>
      <c r="E60" s="50" t="n"/>
      <c r="F60" s="49" t="n"/>
      <c r="G60" s="49" t="n"/>
      <c r="H60" s="50" t="n"/>
      <c r="I60" s="50" t="n"/>
      <c r="J60" s="50" t="n"/>
    </row>
    <row r="61">
      <c r="A61" s="47">
        <f>IF(B61&lt;&gt;"",ROW()-4,"")</f>
        <v/>
      </c>
      <c r="B61" s="48" t="n"/>
      <c r="C61" s="49" t="n"/>
      <c r="D61" s="49" t="n"/>
      <c r="E61" s="50" t="n"/>
      <c r="F61" s="49" t="n"/>
      <c r="G61" s="49" t="n"/>
      <c r="H61" s="50" t="n"/>
      <c r="I61" s="50" t="n"/>
      <c r="J61" s="50" t="n"/>
    </row>
    <row r="62">
      <c r="A62" s="47">
        <f>IF(B62&lt;&gt;"",ROW()-4,"")</f>
        <v/>
      </c>
      <c r="B62" s="48" t="n"/>
      <c r="C62" s="49" t="n"/>
      <c r="D62" s="49" t="n"/>
      <c r="E62" s="50" t="n"/>
      <c r="F62" s="49" t="n"/>
      <c r="G62" s="49" t="n"/>
      <c r="H62" s="50" t="n"/>
      <c r="I62" s="50" t="n"/>
      <c r="J62" s="50" t="n"/>
    </row>
    <row r="63">
      <c r="A63" s="47">
        <f>IF(B63&lt;&gt;"",ROW()-4,"")</f>
        <v/>
      </c>
      <c r="B63" s="48" t="n"/>
      <c r="C63" s="49" t="n"/>
      <c r="D63" s="49" t="n"/>
      <c r="E63" s="50" t="n"/>
      <c r="F63" s="49" t="n"/>
      <c r="G63" s="49" t="n"/>
      <c r="H63" s="50" t="n"/>
      <c r="I63" s="50" t="n"/>
      <c r="J63" s="50" t="n"/>
    </row>
    <row r="64">
      <c r="A64" s="47">
        <f>IF(B64&lt;&gt;"",ROW()-4,"")</f>
        <v/>
      </c>
      <c r="B64" s="48" t="n"/>
      <c r="C64" s="49" t="n"/>
      <c r="D64" s="49" t="n"/>
      <c r="E64" s="50" t="n"/>
      <c r="F64" s="49" t="n"/>
      <c r="G64" s="49" t="n"/>
      <c r="H64" s="50" t="n"/>
      <c r="I64" s="50" t="n"/>
      <c r="J64" s="50" t="n"/>
    </row>
    <row r="65">
      <c r="A65" s="47">
        <f>IF(B65&lt;&gt;"",ROW()-4,"")</f>
        <v/>
      </c>
      <c r="B65" s="48" t="n"/>
      <c r="C65" s="49" t="n"/>
      <c r="D65" s="49" t="n"/>
      <c r="E65" s="50" t="n"/>
      <c r="F65" s="49" t="n"/>
      <c r="G65" s="49" t="n"/>
      <c r="H65" s="50" t="n"/>
      <c r="I65" s="50" t="n"/>
      <c r="J65" s="50" t="n"/>
    </row>
  </sheetData>
  <mergeCells count="3">
    <mergeCell ref="A1:I1"/>
    <mergeCell ref="E3:J3"/>
    <mergeCell ref="A3:D3"/>
  </mergeCells>
  <conditionalFormatting sqref="E3">
    <cfRule type="expression" priority="1" dxfId="3" stopIfTrue="1">
      <formula>(B2-D2-F2)&gt;0</formula>
    </cfRule>
    <cfRule type="expression" priority="2" dxfId="4" stopIfTrue="1">
      <formula>(B2-D2-F2)=0</formula>
    </cfRule>
  </conditionalFormatting>
  <conditionalFormatting sqref="A5:J204">
    <cfRule type="expression" priority="3" dxfId="1" stopIfTrue="0">
      <formula>$H5="Angenommen"</formula>
    </cfRule>
    <cfRule type="expression" priority="4" dxfId="2" stopIfTrue="0">
      <formula>$H5="Abgelehnt"</formula>
    </cfRule>
    <cfRule type="expression" priority="5" dxfId="5" stopIfTrue="0">
      <formula>AND($B5&lt;&gt;"",$H5="")</formula>
    </cfRule>
  </conditionalFormatting>
  <conditionalFormatting sqref="H5:H204">
    <cfRule type="cellIs" priority="6" operator="equal" dxfId="6" stopIfTrue="0">
      <formula>"Angenommen"</formula>
    </cfRule>
    <cfRule type="cellIs" priority="7" operator="equal" dxfId="7" stopIfTrue="0">
      <formula>"Abgelehnt"</formula>
    </cfRule>
  </conditionalFormatting>
  <conditionalFormatting sqref="A5:A204">
    <cfRule type="expression" priority="8" dxfId="8" stopIfTrue="0">
      <formula>AND($B5&lt;&gt;"",(TODAY()-$B5)&lt;=14)</formula>
    </cfRule>
  </conditionalFormatting>
  <conditionalFormatting sqref="C5:C204">
    <cfRule type="expression" priority="9" dxfId="9" stopIfTrue="1">
      <formula>AND($B5&lt;&gt;"",$C5="")</formula>
    </cfRule>
  </conditionalFormatting>
  <conditionalFormatting sqref="E5:E204">
    <cfRule type="expression" priority="10" dxfId="9" stopIfTrue="1">
      <formula>AND($B5&lt;&gt;"",$E5="")</formula>
    </cfRule>
  </conditionalFormatting>
  <conditionalFormatting sqref="G5:G204">
    <cfRule type="expression" priority="11" dxfId="9" stopIfTrue="1">
      <formula>AND($H5="Abgelehnt",$G5="")</formula>
    </cfRule>
  </conditionalFormatting>
  <dataValidations count="3">
    <dataValidation sqref="H5:H204" showDropDown="0" showInputMessage="0" showErrorMessage="0" allowBlank="1" errorTitle="Ungültiger Status" error="Bitte Angenommen oder Abgelehnt wählen" promptTitle="Entscheidung" prompt="Status auswählen" type="list">
      <formula1>"Angenommen,Abgelehnt"</formula1>
    </dataValidation>
    <dataValidation sqref="E5:E204" showDropDown="0" showInputMessage="0" showErrorMessage="0" allowBlank="1" promptTitle="Einbringender" prompt="Name auswählen" type="list">
      <formula1>=KVPNamenListe</formula1>
    </dataValidation>
    <dataValidation sqref="I5:I204" showDropDown="0" showInputMessage="0" showErrorMessage="0" allowBlank="1" promptTitle="Status" prompt="Umsetzungsstatus wählen" type="list">
      <formula1>"Offen,In Umsetzung,Umgesetzt"</formula1>
    </dataValidation>
  </dataValidations>
  <hyperlinks>
    <hyperlink xmlns:r="http://schemas.openxmlformats.org/officeDocument/2006/relationships" ref="J1" r:id="rId1"/>
    <hyperlink xmlns:r="http://schemas.openxmlformats.org/officeDocument/2006/relationships" ref="A3" r:id="rId2"/>
  </hyperlinks>
  <pageMargins left="0.4" right="0.4" top="0.6" bottom="0.6" header="0.3" footer="0.3"/>
  <pageSetup orientation="landscape" paperSize="9" fitToHeight="0" fitToWidth="1"/>
  <headerFooter>
    <oddHeader>&amp;C&amp;10 KVP - KVP 2023</oddHeader>
    <oddFooter>&amp;LWerksärztlicher Dienst Mercedes-Benz&amp;RSeite &amp;P von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BDBDBD"/>
    <outlinePr summaryBelow="1" summaryRight="1"/>
    <pageSetUpPr fitToPage="1"/>
  </sheetPr>
  <dimension ref="A1:J6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55" customWidth="1" min="3" max="3"/>
    <col width="28" customWidth="1" min="4" max="4"/>
    <col width="16" customWidth="1" min="5" max="5"/>
    <col width="28" customWidth="1" min="6" max="6"/>
    <col width="23" customWidth="1" min="7" max="7"/>
    <col width="14" customWidth="1" min="8" max="8"/>
    <col width="14" customWidth="1" min="9" max="9"/>
    <col width="16" customWidth="1" min="10" max="10"/>
  </cols>
  <sheetData>
    <row r="1" ht="38" customHeight="1">
      <c r="A1" s="38" t="inlineStr">
        <is>
          <t>KVP Themenliste - Werksärztlicher Dienst Rastatt/Kuppenheim - 2022</t>
        </is>
      </c>
      <c r="J1" s="39" t="inlineStr">
        <is>
          <t>← Dashboard</t>
        </is>
      </c>
    </row>
    <row r="2" ht="30" customHeight="1">
      <c r="A2" s="40" t="inlineStr">
        <is>
          <t>Vorschläge:</t>
        </is>
      </c>
      <c r="B2" s="41">
        <f>COUNTA(B5:B204)</f>
        <v/>
      </c>
      <c r="C2" s="40" t="inlineStr">
        <is>
          <t>Angenommen:</t>
        </is>
      </c>
      <c r="D2" s="42">
        <f>COUNTIF(H5:H204,"Angenommen")</f>
        <v/>
      </c>
      <c r="E2" s="40" t="inlineStr">
        <is>
          <t>Abgelehnt:</t>
        </is>
      </c>
      <c r="F2" s="43">
        <f>COUNTIF(H5:H204,"Abgelehnt")</f>
        <v/>
      </c>
      <c r="G2" s="40" t="inlineStr">
        <is>
          <t>Offen:</t>
        </is>
      </c>
      <c r="H2" s="44">
        <f>B2-D2-F2</f>
        <v/>
      </c>
    </row>
    <row r="3" ht="28" customHeight="1">
      <c r="A3" s="45" t="inlineStr">
        <is>
          <t>✉ Mail an KVP-Gremium (Putschler)</t>
        </is>
      </c>
      <c r="E3" s="46">
        <f>IF(B2-D2-F2&gt;0,"⚠ "&amp;B2-D2-F2&amp;" Vorschlag/Vorschläge ohne Entscheidung","✓ Alle Vorschläge entschieden")</f>
        <v/>
      </c>
    </row>
    <row r="4" ht="36" customHeight="1">
      <c r="A4" s="7" t="inlineStr">
        <is>
          <t>Nr.</t>
        </is>
      </c>
      <c r="B4" s="7" t="inlineStr">
        <is>
          <t>Datum</t>
        </is>
      </c>
      <c r="C4" s="7" t="inlineStr">
        <is>
          <t>Thema</t>
        </is>
      </c>
      <c r="D4" s="7" t="inlineStr">
        <is>
          <t>Ersparnis (Zeit, Geld, Kappa, u.s.w.)</t>
        </is>
      </c>
      <c r="E4" s="7" t="inlineStr">
        <is>
          <t>Einbringender</t>
        </is>
      </c>
      <c r="F4" s="7" t="inlineStr">
        <is>
          <t>Kommentar Bereichsverantwortlicher</t>
        </is>
      </c>
      <c r="G4" s="7" t="inlineStr">
        <is>
          <t>Kommentar vom Gremium</t>
        </is>
      </c>
      <c r="H4" s="7" t="inlineStr">
        <is>
          <t>Angenommen/
Abgelehnt</t>
        </is>
      </c>
      <c r="I4" s="7" t="inlineStr">
        <is>
          <t>Umsetzungs-
status</t>
        </is>
      </c>
      <c r="J4" s="7" t="inlineStr">
        <is>
          <t>Verantwortlich
für Umsetzung</t>
        </is>
      </c>
    </row>
    <row r="5" ht="28" customHeight="1">
      <c r="A5" s="47" t="n">
        <v>1</v>
      </c>
      <c r="B5" s="48" t="n">
        <v>44748</v>
      </c>
      <c r="C5" s="49" t="inlineStr">
        <is>
          <t>Einwilligungserklärung ODIN archivieren - Datum auf Jahr 3000</t>
        </is>
      </c>
      <c r="D5" s="49" t="inlineStr">
        <is>
          <t>Verwaltungsaufwand reduziert</t>
        </is>
      </c>
      <c r="E5" s="50" t="inlineStr">
        <is>
          <t>Team</t>
        </is>
      </c>
      <c r="F5" s="49" t="inlineStr"/>
      <c r="G5" s="49" t="inlineStr"/>
      <c r="H5" s="50" t="inlineStr">
        <is>
          <t>Angenommen</t>
        </is>
      </c>
      <c r="I5" s="50" t="inlineStr"/>
      <c r="J5" s="50" t="inlineStr"/>
    </row>
    <row r="6" ht="28" customHeight="1">
      <c r="A6" s="47" t="n">
        <v>2</v>
      </c>
      <c r="B6" s="48" t="n">
        <v>44762</v>
      </c>
      <c r="C6" s="49" t="inlineStr">
        <is>
          <t>Nachtschichtersthelfer für EH-Auffrischungskurs</t>
        </is>
      </c>
      <c r="D6" s="49" t="inlineStr">
        <is>
          <t>Bessere Ausbildung</t>
        </is>
      </c>
      <c r="E6" s="50" t="inlineStr">
        <is>
          <t>Team</t>
        </is>
      </c>
      <c r="F6" s="49" t="inlineStr"/>
      <c r="G6" s="49" t="inlineStr"/>
      <c r="H6" s="50" t="inlineStr">
        <is>
          <t>Abgelehnt</t>
        </is>
      </c>
      <c r="I6" s="50" t="inlineStr"/>
      <c r="J6" s="50" t="inlineStr"/>
    </row>
    <row r="7" ht="28" customHeight="1">
      <c r="A7" s="47" t="n">
        <v>3</v>
      </c>
      <c r="B7" s="48" t="n">
        <v>44762</v>
      </c>
      <c r="C7" s="49" t="inlineStr">
        <is>
          <t>Heimlich-Manöver-Weste für EH-Kurs</t>
        </is>
      </c>
      <c r="D7" s="49" t="inlineStr">
        <is>
          <t>Besseres Training</t>
        </is>
      </c>
      <c r="E7" s="50" t="inlineStr">
        <is>
          <t>Team</t>
        </is>
      </c>
      <c r="F7" s="49" t="inlineStr"/>
      <c r="G7" s="49" t="inlineStr"/>
      <c r="H7" s="50" t="inlineStr">
        <is>
          <t>Angenommen</t>
        </is>
      </c>
      <c r="I7" s="50" t="inlineStr"/>
      <c r="J7" s="50" t="inlineStr"/>
    </row>
    <row r="8" ht="28" customHeight="1">
      <c r="A8" s="47" t="n">
        <v>4</v>
      </c>
      <c r="B8" s="48" t="n">
        <v>44762</v>
      </c>
      <c r="C8" s="49" t="inlineStr">
        <is>
          <t>Reduktion der Endotrachealtuben auf Größen 8,5+7,5+6,5</t>
        </is>
      </c>
      <c r="D8" s="49" t="inlineStr">
        <is>
          <t>Kosten, Übersicht</t>
        </is>
      </c>
      <c r="E8" s="50" t="inlineStr">
        <is>
          <t>Team</t>
        </is>
      </c>
      <c r="F8" s="49" t="inlineStr"/>
      <c r="G8" s="49" t="inlineStr"/>
      <c r="H8" s="50" t="inlineStr">
        <is>
          <t>Angenommen</t>
        </is>
      </c>
      <c r="I8" s="50" t="inlineStr"/>
      <c r="J8" s="50" t="inlineStr"/>
    </row>
    <row r="9" ht="28" customHeight="1">
      <c r="A9" s="47" t="n">
        <v>5</v>
      </c>
      <c r="B9" s="48" t="n">
        <v>44762</v>
      </c>
      <c r="C9" s="49" t="inlineStr">
        <is>
          <t>Verzicht auf Endotrachealtuben/Larynxtuben für Kinder</t>
        </is>
      </c>
      <c r="D9" s="49" t="inlineStr">
        <is>
          <t>Vereinfachung</t>
        </is>
      </c>
      <c r="E9" s="50" t="inlineStr">
        <is>
          <t>Team</t>
        </is>
      </c>
      <c r="F9" s="49" t="inlineStr"/>
      <c r="G9" s="49" t="inlineStr"/>
      <c r="H9" s="50" t="inlineStr">
        <is>
          <t>Angenommen</t>
        </is>
      </c>
      <c r="I9" s="50" t="inlineStr"/>
      <c r="J9" s="50" t="inlineStr"/>
    </row>
    <row r="10" ht="28" customHeight="1">
      <c r="A10" s="47" t="n">
        <v>6</v>
      </c>
      <c r="B10" s="48" t="n">
        <v>44762</v>
      </c>
      <c r="C10" s="49" t="inlineStr">
        <is>
          <t>Notfalltasche mit Pneumothorax-Punktionsnadeln</t>
        </is>
      </c>
      <c r="D10" s="49" t="inlineStr">
        <is>
          <t>Notfallbereitschaft</t>
        </is>
      </c>
      <c r="E10" s="50" t="inlineStr">
        <is>
          <t>Team</t>
        </is>
      </c>
      <c r="F10" s="49" t="inlineStr"/>
      <c r="G10" s="49" t="inlineStr"/>
      <c r="H10" s="50" t="inlineStr">
        <is>
          <t>Angenommen</t>
        </is>
      </c>
      <c r="I10" s="50" t="inlineStr"/>
      <c r="J10" s="50" t="inlineStr"/>
    </row>
    <row r="11" ht="28" customHeight="1">
      <c r="A11" s="47" t="n">
        <v>7</v>
      </c>
      <c r="B11" s="48" t="n">
        <v>44762</v>
      </c>
      <c r="C11" s="49" t="inlineStr">
        <is>
          <t>Notfalltasche mit Quick Clot Gauze und NAR-S Rolled Gauze</t>
        </is>
      </c>
      <c r="D11" s="49" t="inlineStr">
        <is>
          <t>Notfallbereitschaft</t>
        </is>
      </c>
      <c r="E11" s="50" t="inlineStr">
        <is>
          <t>Team</t>
        </is>
      </c>
      <c r="F11" s="49" t="inlineStr"/>
      <c r="G11" s="49" t="inlineStr"/>
      <c r="H11" s="50" t="inlineStr">
        <is>
          <t>Angenommen</t>
        </is>
      </c>
      <c r="I11" s="50" t="inlineStr"/>
      <c r="J11" s="50" t="inlineStr"/>
    </row>
    <row r="12" ht="28" customHeight="1">
      <c r="A12" s="47" t="n">
        <v>8</v>
      </c>
      <c r="B12" s="48" t="n"/>
      <c r="C12" s="49" t="inlineStr">
        <is>
          <t>Zahnrettungsboxen für RTW, Ambulanz, EH-Kurs</t>
        </is>
      </c>
      <c r="D12" s="49" t="inlineStr">
        <is>
          <t>Notfallbereitschaft</t>
        </is>
      </c>
      <c r="E12" s="50" t="inlineStr">
        <is>
          <t>Team</t>
        </is>
      </c>
      <c r="F12" s="49" t="inlineStr"/>
      <c r="G12" s="49" t="inlineStr"/>
      <c r="H12" s="50" t="inlineStr">
        <is>
          <t>Angenommen</t>
        </is>
      </c>
      <c r="I12" s="50" t="inlineStr"/>
      <c r="J12" s="50" t="inlineStr"/>
    </row>
    <row r="13" ht="28" customHeight="1">
      <c r="A13" s="47" t="n">
        <v>9</v>
      </c>
      <c r="B13" s="48" t="n">
        <v>44852</v>
      </c>
      <c r="C13" s="49" t="inlineStr">
        <is>
          <t>Halterung für Notfallrucksack am Notfallwagen</t>
        </is>
      </c>
      <c r="D13" s="49" t="inlineStr">
        <is>
          <t>Schnellerer Zugriff</t>
        </is>
      </c>
      <c r="E13" s="50" t="inlineStr">
        <is>
          <t>Team</t>
        </is>
      </c>
      <c r="F13" s="49" t="inlineStr"/>
      <c r="G13" s="49" t="inlineStr"/>
      <c r="H13" s="50" t="inlineStr">
        <is>
          <t>Angenommen</t>
        </is>
      </c>
      <c r="I13" s="50" t="inlineStr"/>
      <c r="J13" s="50" t="inlineStr"/>
    </row>
    <row r="14" ht="28" customHeight="1">
      <c r="A14" s="47" t="n">
        <v>10</v>
      </c>
      <c r="B14" s="48" t="n">
        <v>44881</v>
      </c>
      <c r="C14" s="49" t="inlineStr">
        <is>
          <t>Webcam in Kuppenheim für Teams-Patientenbeurteilung</t>
        </is>
      </c>
      <c r="D14" s="49" t="inlineStr">
        <is>
          <t>Telemedizin</t>
        </is>
      </c>
      <c r="E14" s="50" t="inlineStr">
        <is>
          <t>Team</t>
        </is>
      </c>
      <c r="F14" s="49" t="inlineStr"/>
      <c r="G14" s="49" t="inlineStr"/>
      <c r="H14" s="50" t="inlineStr">
        <is>
          <t>Abgelehnt</t>
        </is>
      </c>
      <c r="I14" s="50" t="inlineStr"/>
      <c r="J14" s="50" t="inlineStr"/>
    </row>
    <row r="15" ht="28" customHeight="1">
      <c r="A15" s="47" t="n">
        <v>11</v>
      </c>
      <c r="B15" s="48" t="n">
        <v>44893</v>
      </c>
      <c r="C15" s="49" t="inlineStr">
        <is>
          <t>Einsparung der Filterpatronen für Kaffeemaschine</t>
        </is>
      </c>
      <c r="D15" s="49" t="inlineStr">
        <is>
          <t>Geld</t>
        </is>
      </c>
      <c r="E15" s="50" t="inlineStr">
        <is>
          <t>Team</t>
        </is>
      </c>
      <c r="F15" s="49" t="inlineStr"/>
      <c r="G15" s="49" t="inlineStr"/>
      <c r="H15" s="50" t="inlineStr">
        <is>
          <t>Angenommen</t>
        </is>
      </c>
      <c r="I15" s="50" t="inlineStr"/>
      <c r="J15" s="50" t="inlineStr"/>
    </row>
    <row r="16">
      <c r="A16" s="47">
        <f>IF(B16&lt;&gt;"",ROW()-4,"")</f>
        <v/>
      </c>
      <c r="B16" s="48" t="n"/>
      <c r="C16" s="49" t="n"/>
      <c r="D16" s="49" t="n"/>
      <c r="E16" s="50" t="n"/>
      <c r="F16" s="49" t="n"/>
      <c r="G16" s="49" t="n"/>
      <c r="H16" s="50" t="n"/>
      <c r="I16" s="50" t="n"/>
      <c r="J16" s="50" t="n"/>
    </row>
    <row r="17">
      <c r="A17" s="47">
        <f>IF(B17&lt;&gt;"",ROW()-4,"")</f>
        <v/>
      </c>
      <c r="B17" s="48" t="n"/>
      <c r="C17" s="49" t="n"/>
      <c r="D17" s="49" t="n"/>
      <c r="E17" s="50" t="n"/>
      <c r="F17" s="49" t="n"/>
      <c r="G17" s="49" t="n"/>
      <c r="H17" s="50" t="n"/>
      <c r="I17" s="50" t="n"/>
      <c r="J17" s="50" t="n"/>
    </row>
    <row r="18">
      <c r="A18" s="47">
        <f>IF(B18&lt;&gt;"",ROW()-4,"")</f>
        <v/>
      </c>
      <c r="B18" s="48" t="n"/>
      <c r="C18" s="49" t="n"/>
      <c r="D18" s="49" t="n"/>
      <c r="E18" s="50" t="n"/>
      <c r="F18" s="49" t="n"/>
      <c r="G18" s="49" t="n"/>
      <c r="H18" s="50" t="n"/>
      <c r="I18" s="50" t="n"/>
      <c r="J18" s="50" t="n"/>
    </row>
    <row r="19">
      <c r="A19" s="47">
        <f>IF(B19&lt;&gt;"",ROW()-4,"")</f>
        <v/>
      </c>
      <c r="B19" s="48" t="n"/>
      <c r="C19" s="49" t="n"/>
      <c r="D19" s="49" t="n"/>
      <c r="E19" s="50" t="n"/>
      <c r="F19" s="49" t="n"/>
      <c r="G19" s="49" t="n"/>
      <c r="H19" s="50" t="n"/>
      <c r="I19" s="50" t="n"/>
      <c r="J19" s="50" t="n"/>
    </row>
    <row r="20">
      <c r="A20" s="47">
        <f>IF(B20&lt;&gt;"",ROW()-4,"")</f>
        <v/>
      </c>
      <c r="B20" s="48" t="n"/>
      <c r="C20" s="49" t="n"/>
      <c r="D20" s="49" t="n"/>
      <c r="E20" s="50" t="n"/>
      <c r="F20" s="49" t="n"/>
      <c r="G20" s="49" t="n"/>
      <c r="H20" s="50" t="n"/>
      <c r="I20" s="50" t="n"/>
      <c r="J20" s="50" t="n"/>
    </row>
    <row r="21">
      <c r="A21" s="47">
        <f>IF(B21&lt;&gt;"",ROW()-4,"")</f>
        <v/>
      </c>
      <c r="B21" s="48" t="n"/>
      <c r="C21" s="49" t="n"/>
      <c r="D21" s="49" t="n"/>
      <c r="E21" s="50" t="n"/>
      <c r="F21" s="49" t="n"/>
      <c r="G21" s="49" t="n"/>
      <c r="H21" s="50" t="n"/>
      <c r="I21" s="50" t="n"/>
      <c r="J21" s="50" t="n"/>
    </row>
    <row r="22">
      <c r="A22" s="47">
        <f>IF(B22&lt;&gt;"",ROW()-4,"")</f>
        <v/>
      </c>
      <c r="B22" s="48" t="n"/>
      <c r="C22" s="49" t="n"/>
      <c r="D22" s="49" t="n"/>
      <c r="E22" s="50" t="n"/>
      <c r="F22" s="49" t="n"/>
      <c r="G22" s="49" t="n"/>
      <c r="H22" s="50" t="n"/>
      <c r="I22" s="50" t="n"/>
      <c r="J22" s="50" t="n"/>
    </row>
    <row r="23">
      <c r="A23" s="47">
        <f>IF(B23&lt;&gt;"",ROW()-4,"")</f>
        <v/>
      </c>
      <c r="B23" s="48" t="n"/>
      <c r="C23" s="49" t="n"/>
      <c r="D23" s="49" t="n"/>
      <c r="E23" s="50" t="n"/>
      <c r="F23" s="49" t="n"/>
      <c r="G23" s="49" t="n"/>
      <c r="H23" s="50" t="n"/>
      <c r="I23" s="50" t="n"/>
      <c r="J23" s="50" t="n"/>
    </row>
    <row r="24">
      <c r="A24" s="47">
        <f>IF(B24&lt;&gt;"",ROW()-4,"")</f>
        <v/>
      </c>
      <c r="B24" s="48" t="n"/>
      <c r="C24" s="49" t="n"/>
      <c r="D24" s="49" t="n"/>
      <c r="E24" s="50" t="n"/>
      <c r="F24" s="49" t="n"/>
      <c r="G24" s="49" t="n"/>
      <c r="H24" s="50" t="n"/>
      <c r="I24" s="50" t="n"/>
      <c r="J24" s="50" t="n"/>
    </row>
    <row r="25">
      <c r="A25" s="47">
        <f>IF(B25&lt;&gt;"",ROW()-4,"")</f>
        <v/>
      </c>
      <c r="B25" s="48" t="n"/>
      <c r="C25" s="49" t="n"/>
      <c r="D25" s="49" t="n"/>
      <c r="E25" s="50" t="n"/>
      <c r="F25" s="49" t="n"/>
      <c r="G25" s="49" t="n"/>
      <c r="H25" s="50" t="n"/>
      <c r="I25" s="50" t="n"/>
      <c r="J25" s="50" t="n"/>
    </row>
    <row r="26">
      <c r="A26" s="47">
        <f>IF(B26&lt;&gt;"",ROW()-4,"")</f>
        <v/>
      </c>
      <c r="B26" s="48" t="n"/>
      <c r="C26" s="49" t="n"/>
      <c r="D26" s="49" t="n"/>
      <c r="E26" s="50" t="n"/>
      <c r="F26" s="49" t="n"/>
      <c r="G26" s="49" t="n"/>
      <c r="H26" s="50" t="n"/>
      <c r="I26" s="50" t="n"/>
      <c r="J26" s="50" t="n"/>
    </row>
    <row r="27">
      <c r="A27" s="47">
        <f>IF(B27&lt;&gt;"",ROW()-4,"")</f>
        <v/>
      </c>
      <c r="B27" s="48" t="n"/>
      <c r="C27" s="49" t="n"/>
      <c r="D27" s="49" t="n"/>
      <c r="E27" s="50" t="n"/>
      <c r="F27" s="49" t="n"/>
      <c r="G27" s="49" t="n"/>
      <c r="H27" s="50" t="n"/>
      <c r="I27" s="50" t="n"/>
      <c r="J27" s="50" t="n"/>
    </row>
    <row r="28">
      <c r="A28" s="47">
        <f>IF(B28&lt;&gt;"",ROW()-4,"")</f>
        <v/>
      </c>
      <c r="B28" s="48" t="n"/>
      <c r="C28" s="49" t="n"/>
      <c r="D28" s="49" t="n"/>
      <c r="E28" s="50" t="n"/>
      <c r="F28" s="49" t="n"/>
      <c r="G28" s="49" t="n"/>
      <c r="H28" s="50" t="n"/>
      <c r="I28" s="50" t="n"/>
      <c r="J28" s="50" t="n"/>
    </row>
    <row r="29">
      <c r="A29" s="47">
        <f>IF(B29&lt;&gt;"",ROW()-4,"")</f>
        <v/>
      </c>
      <c r="B29" s="48" t="n"/>
      <c r="C29" s="49" t="n"/>
      <c r="D29" s="49" t="n"/>
      <c r="E29" s="50" t="n"/>
      <c r="F29" s="49" t="n"/>
      <c r="G29" s="49" t="n"/>
      <c r="H29" s="50" t="n"/>
      <c r="I29" s="50" t="n"/>
      <c r="J29" s="50" t="n"/>
    </row>
    <row r="30">
      <c r="A30" s="47">
        <f>IF(B30&lt;&gt;"",ROW()-4,"")</f>
        <v/>
      </c>
      <c r="B30" s="48" t="n"/>
      <c r="C30" s="49" t="n"/>
      <c r="D30" s="49" t="n"/>
      <c r="E30" s="50" t="n"/>
      <c r="F30" s="49" t="n"/>
      <c r="G30" s="49" t="n"/>
      <c r="H30" s="50" t="n"/>
      <c r="I30" s="50" t="n"/>
      <c r="J30" s="50" t="n"/>
    </row>
    <row r="31">
      <c r="A31" s="47">
        <f>IF(B31&lt;&gt;"",ROW()-4,"")</f>
        <v/>
      </c>
      <c r="B31" s="48" t="n"/>
      <c r="C31" s="49" t="n"/>
      <c r="D31" s="49" t="n"/>
      <c r="E31" s="50" t="n"/>
      <c r="F31" s="49" t="n"/>
      <c r="G31" s="49" t="n"/>
      <c r="H31" s="50" t="n"/>
      <c r="I31" s="50" t="n"/>
      <c r="J31" s="50" t="n"/>
    </row>
    <row r="32">
      <c r="A32" s="47">
        <f>IF(B32&lt;&gt;"",ROW()-4,"")</f>
        <v/>
      </c>
      <c r="B32" s="48" t="n"/>
      <c r="C32" s="49" t="n"/>
      <c r="D32" s="49" t="n"/>
      <c r="E32" s="50" t="n"/>
      <c r="F32" s="49" t="n"/>
      <c r="G32" s="49" t="n"/>
      <c r="H32" s="50" t="n"/>
      <c r="I32" s="50" t="n"/>
      <c r="J32" s="50" t="n"/>
    </row>
    <row r="33">
      <c r="A33" s="47">
        <f>IF(B33&lt;&gt;"",ROW()-4,"")</f>
        <v/>
      </c>
      <c r="B33" s="48" t="n"/>
      <c r="C33" s="49" t="n"/>
      <c r="D33" s="49" t="n"/>
      <c r="E33" s="50" t="n"/>
      <c r="F33" s="49" t="n"/>
      <c r="G33" s="49" t="n"/>
      <c r="H33" s="50" t="n"/>
      <c r="I33" s="50" t="n"/>
      <c r="J33" s="50" t="n"/>
    </row>
    <row r="34">
      <c r="A34" s="47">
        <f>IF(B34&lt;&gt;"",ROW()-4,"")</f>
        <v/>
      </c>
      <c r="B34" s="48" t="n"/>
      <c r="C34" s="49" t="n"/>
      <c r="D34" s="49" t="n"/>
      <c r="E34" s="50" t="n"/>
      <c r="F34" s="49" t="n"/>
      <c r="G34" s="49" t="n"/>
      <c r="H34" s="50" t="n"/>
      <c r="I34" s="50" t="n"/>
      <c r="J34" s="50" t="n"/>
    </row>
    <row r="35">
      <c r="A35" s="47">
        <f>IF(B35&lt;&gt;"",ROW()-4,"")</f>
        <v/>
      </c>
      <c r="B35" s="48" t="n"/>
      <c r="C35" s="49" t="n"/>
      <c r="D35" s="49" t="n"/>
      <c r="E35" s="50" t="n"/>
      <c r="F35" s="49" t="n"/>
      <c r="G35" s="49" t="n"/>
      <c r="H35" s="50" t="n"/>
      <c r="I35" s="50" t="n"/>
      <c r="J35" s="50" t="n"/>
    </row>
    <row r="36">
      <c r="A36" s="47">
        <f>IF(B36&lt;&gt;"",ROW()-4,"")</f>
        <v/>
      </c>
      <c r="B36" s="48" t="n"/>
      <c r="C36" s="49" t="n"/>
      <c r="D36" s="49" t="n"/>
      <c r="E36" s="50" t="n"/>
      <c r="F36" s="49" t="n"/>
      <c r="G36" s="49" t="n"/>
      <c r="H36" s="50" t="n"/>
      <c r="I36" s="50" t="n"/>
      <c r="J36" s="50" t="n"/>
    </row>
    <row r="37">
      <c r="A37" s="47">
        <f>IF(B37&lt;&gt;"",ROW()-4,"")</f>
        <v/>
      </c>
      <c r="B37" s="48" t="n"/>
      <c r="C37" s="49" t="n"/>
      <c r="D37" s="49" t="n"/>
      <c r="E37" s="50" t="n"/>
      <c r="F37" s="49" t="n"/>
      <c r="G37" s="49" t="n"/>
      <c r="H37" s="50" t="n"/>
      <c r="I37" s="50" t="n"/>
      <c r="J37" s="50" t="n"/>
    </row>
    <row r="38">
      <c r="A38" s="47">
        <f>IF(B38&lt;&gt;"",ROW()-4,"")</f>
        <v/>
      </c>
      <c r="B38" s="48" t="n"/>
      <c r="C38" s="49" t="n"/>
      <c r="D38" s="49" t="n"/>
      <c r="E38" s="50" t="n"/>
      <c r="F38" s="49" t="n"/>
      <c r="G38" s="49" t="n"/>
      <c r="H38" s="50" t="n"/>
      <c r="I38" s="50" t="n"/>
      <c r="J38" s="50" t="n"/>
    </row>
    <row r="39">
      <c r="A39" s="47">
        <f>IF(B39&lt;&gt;"",ROW()-4,"")</f>
        <v/>
      </c>
      <c r="B39" s="48" t="n"/>
      <c r="C39" s="49" t="n"/>
      <c r="D39" s="49" t="n"/>
      <c r="E39" s="50" t="n"/>
      <c r="F39" s="49" t="n"/>
      <c r="G39" s="49" t="n"/>
      <c r="H39" s="50" t="n"/>
      <c r="I39" s="50" t="n"/>
      <c r="J39" s="50" t="n"/>
    </row>
    <row r="40">
      <c r="A40" s="47">
        <f>IF(B40&lt;&gt;"",ROW()-4,"")</f>
        <v/>
      </c>
      <c r="B40" s="48" t="n"/>
      <c r="C40" s="49" t="n"/>
      <c r="D40" s="49" t="n"/>
      <c r="E40" s="50" t="n"/>
      <c r="F40" s="49" t="n"/>
      <c r="G40" s="49" t="n"/>
      <c r="H40" s="50" t="n"/>
      <c r="I40" s="50" t="n"/>
      <c r="J40" s="50" t="n"/>
    </row>
    <row r="41">
      <c r="A41" s="47">
        <f>IF(B41&lt;&gt;"",ROW()-4,"")</f>
        <v/>
      </c>
      <c r="B41" s="48" t="n"/>
      <c r="C41" s="49" t="n"/>
      <c r="D41" s="49" t="n"/>
      <c r="E41" s="50" t="n"/>
      <c r="F41" s="49" t="n"/>
      <c r="G41" s="49" t="n"/>
      <c r="H41" s="50" t="n"/>
      <c r="I41" s="50" t="n"/>
      <c r="J41" s="50" t="n"/>
    </row>
    <row r="42">
      <c r="A42" s="47">
        <f>IF(B42&lt;&gt;"",ROW()-4,"")</f>
        <v/>
      </c>
      <c r="B42" s="48" t="n"/>
      <c r="C42" s="49" t="n"/>
      <c r="D42" s="49" t="n"/>
      <c r="E42" s="50" t="n"/>
      <c r="F42" s="49" t="n"/>
      <c r="G42" s="49" t="n"/>
      <c r="H42" s="50" t="n"/>
      <c r="I42" s="50" t="n"/>
      <c r="J42" s="50" t="n"/>
    </row>
    <row r="43">
      <c r="A43" s="47">
        <f>IF(B43&lt;&gt;"",ROW()-4,"")</f>
        <v/>
      </c>
      <c r="B43" s="48" t="n"/>
      <c r="C43" s="49" t="n"/>
      <c r="D43" s="49" t="n"/>
      <c r="E43" s="50" t="n"/>
      <c r="F43" s="49" t="n"/>
      <c r="G43" s="49" t="n"/>
      <c r="H43" s="50" t="n"/>
      <c r="I43" s="50" t="n"/>
      <c r="J43" s="50" t="n"/>
    </row>
    <row r="44">
      <c r="A44" s="47">
        <f>IF(B44&lt;&gt;"",ROW()-4,"")</f>
        <v/>
      </c>
      <c r="B44" s="48" t="n"/>
      <c r="C44" s="49" t="n"/>
      <c r="D44" s="49" t="n"/>
      <c r="E44" s="50" t="n"/>
      <c r="F44" s="49" t="n"/>
      <c r="G44" s="49" t="n"/>
      <c r="H44" s="50" t="n"/>
      <c r="I44" s="50" t="n"/>
      <c r="J44" s="50" t="n"/>
    </row>
    <row r="45">
      <c r="A45" s="47">
        <f>IF(B45&lt;&gt;"",ROW()-4,"")</f>
        <v/>
      </c>
      <c r="B45" s="48" t="n"/>
      <c r="C45" s="49" t="n"/>
      <c r="D45" s="49" t="n"/>
      <c r="E45" s="50" t="n"/>
      <c r="F45" s="49" t="n"/>
      <c r="G45" s="49" t="n"/>
      <c r="H45" s="50" t="n"/>
      <c r="I45" s="50" t="n"/>
      <c r="J45" s="50" t="n"/>
    </row>
    <row r="46">
      <c r="A46" s="47">
        <f>IF(B46&lt;&gt;"",ROW()-4,"")</f>
        <v/>
      </c>
      <c r="B46" s="48" t="n"/>
      <c r="C46" s="49" t="n"/>
      <c r="D46" s="49" t="n"/>
      <c r="E46" s="50" t="n"/>
      <c r="F46" s="49" t="n"/>
      <c r="G46" s="49" t="n"/>
      <c r="H46" s="50" t="n"/>
      <c r="I46" s="50" t="n"/>
      <c r="J46" s="50" t="n"/>
    </row>
    <row r="47">
      <c r="A47" s="47">
        <f>IF(B47&lt;&gt;"",ROW()-4,"")</f>
        <v/>
      </c>
      <c r="B47" s="48" t="n"/>
      <c r="C47" s="49" t="n"/>
      <c r="D47" s="49" t="n"/>
      <c r="E47" s="50" t="n"/>
      <c r="F47" s="49" t="n"/>
      <c r="G47" s="49" t="n"/>
      <c r="H47" s="50" t="n"/>
      <c r="I47" s="50" t="n"/>
      <c r="J47" s="50" t="n"/>
    </row>
    <row r="48">
      <c r="A48" s="47">
        <f>IF(B48&lt;&gt;"",ROW()-4,"")</f>
        <v/>
      </c>
      <c r="B48" s="48" t="n"/>
      <c r="C48" s="49" t="n"/>
      <c r="D48" s="49" t="n"/>
      <c r="E48" s="50" t="n"/>
      <c r="F48" s="49" t="n"/>
      <c r="G48" s="49" t="n"/>
      <c r="H48" s="50" t="n"/>
      <c r="I48" s="50" t="n"/>
      <c r="J48" s="50" t="n"/>
    </row>
    <row r="49">
      <c r="A49" s="47">
        <f>IF(B49&lt;&gt;"",ROW()-4,"")</f>
        <v/>
      </c>
      <c r="B49" s="48" t="n"/>
      <c r="C49" s="49" t="n"/>
      <c r="D49" s="49" t="n"/>
      <c r="E49" s="50" t="n"/>
      <c r="F49" s="49" t="n"/>
      <c r="G49" s="49" t="n"/>
      <c r="H49" s="50" t="n"/>
      <c r="I49" s="50" t="n"/>
      <c r="J49" s="50" t="n"/>
    </row>
    <row r="50">
      <c r="A50" s="47">
        <f>IF(B50&lt;&gt;"",ROW()-4,"")</f>
        <v/>
      </c>
      <c r="B50" s="48" t="n"/>
      <c r="C50" s="49" t="n"/>
      <c r="D50" s="49" t="n"/>
      <c r="E50" s="50" t="n"/>
      <c r="F50" s="49" t="n"/>
      <c r="G50" s="49" t="n"/>
      <c r="H50" s="50" t="n"/>
      <c r="I50" s="50" t="n"/>
      <c r="J50" s="50" t="n"/>
    </row>
    <row r="51">
      <c r="A51" s="47">
        <f>IF(B51&lt;&gt;"",ROW()-4,"")</f>
        <v/>
      </c>
      <c r="B51" s="48" t="n"/>
      <c r="C51" s="49" t="n"/>
      <c r="D51" s="49" t="n"/>
      <c r="E51" s="50" t="n"/>
      <c r="F51" s="49" t="n"/>
      <c r="G51" s="49" t="n"/>
      <c r="H51" s="50" t="n"/>
      <c r="I51" s="50" t="n"/>
      <c r="J51" s="50" t="n"/>
    </row>
    <row r="52">
      <c r="A52" s="47">
        <f>IF(B52&lt;&gt;"",ROW()-4,"")</f>
        <v/>
      </c>
      <c r="B52" s="48" t="n"/>
      <c r="C52" s="49" t="n"/>
      <c r="D52" s="49" t="n"/>
      <c r="E52" s="50" t="n"/>
      <c r="F52" s="49" t="n"/>
      <c r="G52" s="49" t="n"/>
      <c r="H52" s="50" t="n"/>
      <c r="I52" s="50" t="n"/>
      <c r="J52" s="50" t="n"/>
    </row>
    <row r="53">
      <c r="A53" s="47">
        <f>IF(B53&lt;&gt;"",ROW()-4,"")</f>
        <v/>
      </c>
      <c r="B53" s="48" t="n"/>
      <c r="C53" s="49" t="n"/>
      <c r="D53" s="49" t="n"/>
      <c r="E53" s="50" t="n"/>
      <c r="F53" s="49" t="n"/>
      <c r="G53" s="49" t="n"/>
      <c r="H53" s="50" t="n"/>
      <c r="I53" s="50" t="n"/>
      <c r="J53" s="50" t="n"/>
    </row>
    <row r="54">
      <c r="A54" s="47">
        <f>IF(B54&lt;&gt;"",ROW()-4,"")</f>
        <v/>
      </c>
      <c r="B54" s="48" t="n"/>
      <c r="C54" s="49" t="n"/>
      <c r="D54" s="49" t="n"/>
      <c r="E54" s="50" t="n"/>
      <c r="F54" s="49" t="n"/>
      <c r="G54" s="49" t="n"/>
      <c r="H54" s="50" t="n"/>
      <c r="I54" s="50" t="n"/>
      <c r="J54" s="50" t="n"/>
    </row>
    <row r="55">
      <c r="A55" s="47">
        <f>IF(B55&lt;&gt;"",ROW()-4,"")</f>
        <v/>
      </c>
      <c r="B55" s="48" t="n"/>
      <c r="C55" s="49" t="n"/>
      <c r="D55" s="49" t="n"/>
      <c r="E55" s="50" t="n"/>
      <c r="F55" s="49" t="n"/>
      <c r="G55" s="49" t="n"/>
      <c r="H55" s="50" t="n"/>
      <c r="I55" s="50" t="n"/>
      <c r="J55" s="50" t="n"/>
    </row>
    <row r="56">
      <c r="A56" s="47">
        <f>IF(B56&lt;&gt;"",ROW()-4,"")</f>
        <v/>
      </c>
      <c r="B56" s="48" t="n"/>
      <c r="C56" s="49" t="n"/>
      <c r="D56" s="49" t="n"/>
      <c r="E56" s="50" t="n"/>
      <c r="F56" s="49" t="n"/>
      <c r="G56" s="49" t="n"/>
      <c r="H56" s="50" t="n"/>
      <c r="I56" s="50" t="n"/>
      <c r="J56" s="50" t="n"/>
    </row>
    <row r="57">
      <c r="A57" s="47">
        <f>IF(B57&lt;&gt;"",ROW()-4,"")</f>
        <v/>
      </c>
      <c r="B57" s="48" t="n"/>
      <c r="C57" s="49" t="n"/>
      <c r="D57" s="49" t="n"/>
      <c r="E57" s="50" t="n"/>
      <c r="F57" s="49" t="n"/>
      <c r="G57" s="49" t="n"/>
      <c r="H57" s="50" t="n"/>
      <c r="I57" s="50" t="n"/>
      <c r="J57" s="50" t="n"/>
    </row>
    <row r="58">
      <c r="A58" s="47">
        <f>IF(B58&lt;&gt;"",ROW()-4,"")</f>
        <v/>
      </c>
      <c r="B58" s="48" t="n"/>
      <c r="C58" s="49" t="n"/>
      <c r="D58" s="49" t="n"/>
      <c r="E58" s="50" t="n"/>
      <c r="F58" s="49" t="n"/>
      <c r="G58" s="49" t="n"/>
      <c r="H58" s="50" t="n"/>
      <c r="I58" s="50" t="n"/>
      <c r="J58" s="50" t="n"/>
    </row>
    <row r="59">
      <c r="A59" s="47">
        <f>IF(B59&lt;&gt;"",ROW()-4,"")</f>
        <v/>
      </c>
      <c r="B59" s="48" t="n"/>
      <c r="C59" s="49" t="n"/>
      <c r="D59" s="49" t="n"/>
      <c r="E59" s="50" t="n"/>
      <c r="F59" s="49" t="n"/>
      <c r="G59" s="49" t="n"/>
      <c r="H59" s="50" t="n"/>
      <c r="I59" s="50" t="n"/>
      <c r="J59" s="50" t="n"/>
    </row>
    <row r="60">
      <c r="A60" s="47">
        <f>IF(B60&lt;&gt;"",ROW()-4,"")</f>
        <v/>
      </c>
      <c r="B60" s="48" t="n"/>
      <c r="C60" s="49" t="n"/>
      <c r="D60" s="49" t="n"/>
      <c r="E60" s="50" t="n"/>
      <c r="F60" s="49" t="n"/>
      <c r="G60" s="49" t="n"/>
      <c r="H60" s="50" t="n"/>
      <c r="I60" s="50" t="n"/>
      <c r="J60" s="50" t="n"/>
    </row>
    <row r="61">
      <c r="A61" s="47">
        <f>IF(B61&lt;&gt;"",ROW()-4,"")</f>
        <v/>
      </c>
      <c r="B61" s="48" t="n"/>
      <c r="C61" s="49" t="n"/>
      <c r="D61" s="49" t="n"/>
      <c r="E61" s="50" t="n"/>
      <c r="F61" s="49" t="n"/>
      <c r="G61" s="49" t="n"/>
      <c r="H61" s="50" t="n"/>
      <c r="I61" s="50" t="n"/>
      <c r="J61" s="50" t="n"/>
    </row>
    <row r="62">
      <c r="A62" s="47">
        <f>IF(B62&lt;&gt;"",ROW()-4,"")</f>
        <v/>
      </c>
      <c r="B62" s="48" t="n"/>
      <c r="C62" s="49" t="n"/>
      <c r="D62" s="49" t="n"/>
      <c r="E62" s="50" t="n"/>
      <c r="F62" s="49" t="n"/>
      <c r="G62" s="49" t="n"/>
      <c r="H62" s="50" t="n"/>
      <c r="I62" s="50" t="n"/>
      <c r="J62" s="50" t="n"/>
    </row>
    <row r="63">
      <c r="A63" s="47">
        <f>IF(B63&lt;&gt;"",ROW()-4,"")</f>
        <v/>
      </c>
      <c r="B63" s="48" t="n"/>
      <c r="C63" s="49" t="n"/>
      <c r="D63" s="49" t="n"/>
      <c r="E63" s="50" t="n"/>
      <c r="F63" s="49" t="n"/>
      <c r="G63" s="49" t="n"/>
      <c r="H63" s="50" t="n"/>
      <c r="I63" s="50" t="n"/>
      <c r="J63" s="50" t="n"/>
    </row>
    <row r="64">
      <c r="A64" s="47">
        <f>IF(B64&lt;&gt;"",ROW()-4,"")</f>
        <v/>
      </c>
      <c r="B64" s="48" t="n"/>
      <c r="C64" s="49" t="n"/>
      <c r="D64" s="49" t="n"/>
      <c r="E64" s="50" t="n"/>
      <c r="F64" s="49" t="n"/>
      <c r="G64" s="49" t="n"/>
      <c r="H64" s="50" t="n"/>
      <c r="I64" s="50" t="n"/>
      <c r="J64" s="50" t="n"/>
    </row>
    <row r="65">
      <c r="A65" s="47">
        <f>IF(B65&lt;&gt;"",ROW()-4,"")</f>
        <v/>
      </c>
      <c r="B65" s="48" t="n"/>
      <c r="C65" s="49" t="n"/>
      <c r="D65" s="49" t="n"/>
      <c r="E65" s="50" t="n"/>
      <c r="F65" s="49" t="n"/>
      <c r="G65" s="49" t="n"/>
      <c r="H65" s="50" t="n"/>
      <c r="I65" s="50" t="n"/>
      <c r="J65" s="50" t="n"/>
    </row>
  </sheetData>
  <mergeCells count="3">
    <mergeCell ref="A1:I1"/>
    <mergeCell ref="E3:J3"/>
    <mergeCell ref="A3:D3"/>
  </mergeCells>
  <conditionalFormatting sqref="E3">
    <cfRule type="expression" priority="1" dxfId="3" stopIfTrue="1">
      <formula>(B2-D2-F2)&gt;0</formula>
    </cfRule>
    <cfRule type="expression" priority="2" dxfId="4" stopIfTrue="1">
      <formula>(B2-D2-F2)=0</formula>
    </cfRule>
  </conditionalFormatting>
  <conditionalFormatting sqref="A5:J204">
    <cfRule type="expression" priority="3" dxfId="1" stopIfTrue="0">
      <formula>$H5="Angenommen"</formula>
    </cfRule>
    <cfRule type="expression" priority="4" dxfId="2" stopIfTrue="0">
      <formula>$H5="Abgelehnt"</formula>
    </cfRule>
    <cfRule type="expression" priority="5" dxfId="5" stopIfTrue="0">
      <formula>AND($B5&lt;&gt;"",$H5="")</formula>
    </cfRule>
  </conditionalFormatting>
  <conditionalFormatting sqref="H5:H204">
    <cfRule type="cellIs" priority="6" operator="equal" dxfId="6" stopIfTrue="0">
      <formula>"Angenommen"</formula>
    </cfRule>
    <cfRule type="cellIs" priority="7" operator="equal" dxfId="7" stopIfTrue="0">
      <formula>"Abgelehnt"</formula>
    </cfRule>
  </conditionalFormatting>
  <conditionalFormatting sqref="A5:A204">
    <cfRule type="expression" priority="8" dxfId="8" stopIfTrue="0">
      <formula>AND($B5&lt;&gt;"",(TODAY()-$B5)&lt;=14)</formula>
    </cfRule>
  </conditionalFormatting>
  <conditionalFormatting sqref="C5:C204">
    <cfRule type="expression" priority="9" dxfId="9" stopIfTrue="1">
      <formula>AND($B5&lt;&gt;"",$C5="")</formula>
    </cfRule>
  </conditionalFormatting>
  <conditionalFormatting sqref="E5:E204">
    <cfRule type="expression" priority="10" dxfId="9" stopIfTrue="1">
      <formula>AND($B5&lt;&gt;"",$E5="")</formula>
    </cfRule>
  </conditionalFormatting>
  <conditionalFormatting sqref="G5:G204">
    <cfRule type="expression" priority="11" dxfId="9" stopIfTrue="1">
      <formula>AND($H5="Abgelehnt",$G5="")</formula>
    </cfRule>
  </conditionalFormatting>
  <dataValidations count="3">
    <dataValidation sqref="H5:H204" showDropDown="0" showInputMessage="0" showErrorMessage="0" allowBlank="1" errorTitle="Ungültiger Status" error="Bitte Angenommen oder Abgelehnt wählen" promptTitle="Entscheidung" prompt="Status auswählen" type="list">
      <formula1>"Angenommen,Abgelehnt"</formula1>
    </dataValidation>
    <dataValidation sqref="E5:E204" showDropDown="0" showInputMessage="0" showErrorMessage="0" allowBlank="1" promptTitle="Einbringender" prompt="Name auswählen" type="list">
      <formula1>=KVPNamenListe</formula1>
    </dataValidation>
    <dataValidation sqref="I5:I204" showDropDown="0" showInputMessage="0" showErrorMessage="0" allowBlank="1" promptTitle="Status" prompt="Umsetzungsstatus wählen" type="list">
      <formula1>"Offen,In Umsetzung,Umgesetzt"</formula1>
    </dataValidation>
  </dataValidations>
  <hyperlinks>
    <hyperlink xmlns:r="http://schemas.openxmlformats.org/officeDocument/2006/relationships" ref="J1" r:id="rId1"/>
    <hyperlink xmlns:r="http://schemas.openxmlformats.org/officeDocument/2006/relationships" ref="A3" r:id="rId2"/>
  </hyperlinks>
  <pageMargins left="0.4" right="0.4" top="0.6" bottom="0.6" header="0.3" footer="0.3"/>
  <pageSetup orientation="landscape" paperSize="9" fitToHeight="0" fitToWidth="1"/>
  <headerFooter>
    <oddHeader>&amp;C&amp;10 KVP - KVP 2022</oddHeader>
    <oddFooter>&amp;LWerksärztlicher Dienst Mercedes-Benz&amp;RSeite &amp;P von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666666"/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51" t="inlineStr">
        <is>
          <t>Dropdown: Einbringender</t>
        </is>
      </c>
    </row>
    <row r="2">
      <c r="A2" s="37" t="inlineStr">
        <is>
          <t>Breig</t>
        </is>
      </c>
    </row>
    <row r="3">
      <c r="A3" s="37" t="inlineStr">
        <is>
          <t>Dr. Vitez</t>
        </is>
      </c>
    </row>
    <row r="4">
      <c r="A4" s="37" t="inlineStr">
        <is>
          <t>Dr.Frei</t>
        </is>
      </c>
    </row>
    <row r="5">
      <c r="A5" s="37" t="inlineStr">
        <is>
          <t>Dr.Schmidt</t>
        </is>
      </c>
    </row>
    <row r="6">
      <c r="A6" s="37" t="inlineStr">
        <is>
          <t>Göpfrich</t>
        </is>
      </c>
    </row>
    <row r="7">
      <c r="A7" s="37" t="inlineStr">
        <is>
          <t>Jochim</t>
        </is>
      </c>
    </row>
    <row r="8">
      <c r="A8" s="37" t="inlineStr">
        <is>
          <t>Krempl</t>
        </is>
      </c>
    </row>
    <row r="9">
      <c r="A9" s="37" t="inlineStr">
        <is>
          <t>Müller-Horn</t>
        </is>
      </c>
    </row>
    <row r="10">
      <c r="A10" s="37" t="inlineStr">
        <is>
          <t>Putschler</t>
        </is>
      </c>
    </row>
    <row r="11">
      <c r="A11" s="37" t="inlineStr">
        <is>
          <t>Radimersky</t>
        </is>
      </c>
    </row>
    <row r="12">
      <c r="A12" s="37" t="inlineStr">
        <is>
          <t>Schmidt</t>
        </is>
      </c>
    </row>
    <row r="13">
      <c r="A13" s="37" t="inlineStr">
        <is>
          <t>Siebert</t>
        </is>
      </c>
    </row>
    <row r="14">
      <c r="A14" s="37" t="inlineStr">
        <is>
          <t>Wunsch</t>
        </is>
      </c>
    </row>
    <row r="15">
      <c r="A15" s="37" t="inlineStr">
        <is>
          <t>Zeller</t>
        </is>
      </c>
    </row>
    <row r="16">
      <c r="A16" s="37" t="inlineStr">
        <is>
          <t>Zieger-Buchta</t>
        </is>
      </c>
    </row>
    <row r="17">
      <c r="A17" s="37" t="inlineStr">
        <is>
          <t>Zuber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2026-02-09T13:36:50Z</dcterms:created>
  <dcterms:modified xsi:type="dcterms:W3CDTF">2026-02-09T13:36:50Z</dcterms:modified>
</cp:coreProperties>
</file>