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fo" sheetId="2" state="visible" r:id="rId2"/>
    <sheet name="Sekretariat" sheetId="3" state="visible" r:id="rId3"/>
    <sheet name="EDV" sheetId="4" state="visible" r:id="rId4"/>
    <sheet name="Med.&amp;Verbr.-stoff" sheetId="5" state="visible" r:id="rId5"/>
    <sheet name="WD-Fzg &amp; Schutzkleidg" sheetId="6" state="visible" r:id="rId6"/>
    <sheet name="RTW &amp; MPG" sheetId="7" state="visible" r:id="rId7"/>
    <sheet name="Organisation Ambulanz" sheetId="8" state="visible" r:id="rId8"/>
    <sheet name="Ablauf&amp;Prozessprobleme" sheetId="9" state="visible" r:id="rId9"/>
    <sheet name="BGF" sheetId="10" state="visible" r:id="rId10"/>
    <sheet name="Hygiene" sheetId="11" state="visible" r:id="rId11"/>
    <sheet name="Fehlerkategorien" sheetId="12" state="visible" r:id="rId12"/>
    <sheet name="Hilfslisten" sheetId="13" state="visible" r:id="rId13"/>
  </sheets>
  <definedNames>
    <definedName name="NamenListe">Hilfslisten!$F$23:$F$38</definedName>
    <definedName name="REKOListe">Hilfslisten!$H$23:$H$42</definedName>
    <definedName name="KatListe">Hilfslisten!$J$23:$J$26</definedName>
    <definedName name="_xlnm._FilterDatabase" localSheetId="2" hidden="1">'Sekretariat'!$A$4:$L$54</definedName>
    <definedName name="_xlnm.Print_Titles" localSheetId="2">'Sekretariat'!$4:$4</definedName>
    <definedName name="_xlnm._FilterDatabase" localSheetId="3" hidden="1">'EDV'!$A$4:$L$54</definedName>
    <definedName name="_xlnm.Print_Titles" localSheetId="3">'EDV'!$4:$4</definedName>
    <definedName name="_xlnm._FilterDatabase" localSheetId="4" hidden="1">'Med.&amp;Verbr.-stoff'!$A$4:$L$54</definedName>
    <definedName name="_xlnm.Print_Titles" localSheetId="4">'Med.&amp;Verbr.-stoff'!$4:$4</definedName>
    <definedName name="_xlnm._FilterDatabase" localSheetId="5" hidden="1">'WD-Fzg &amp; Schutzkleidg'!$A$4:$L$54</definedName>
    <definedName name="_xlnm.Print_Titles" localSheetId="5">'WD-Fzg &amp; Schutzkleidg'!$4:$4</definedName>
    <definedName name="_xlnm._FilterDatabase" localSheetId="6" hidden="1">'RTW &amp; MPG'!$A$4:$L$54</definedName>
    <definedName name="_xlnm.Print_Titles" localSheetId="6">'RTW &amp; MPG'!$4:$4</definedName>
    <definedName name="_xlnm._FilterDatabase" localSheetId="7" hidden="1">'Organisation Ambulanz'!$A$4:$L$54</definedName>
    <definedName name="_xlnm.Print_Titles" localSheetId="7">'Organisation Ambulanz'!$4:$4</definedName>
    <definedName name="_xlnm._FilterDatabase" localSheetId="8" hidden="1">'Ablauf&amp;Prozessprobleme'!$A$4:$L$54</definedName>
    <definedName name="_xlnm.Print_Titles" localSheetId="8">'Ablauf&amp;Prozessprobleme'!$4:$4</definedName>
    <definedName name="_xlnm._FilterDatabase" localSheetId="9" hidden="1">'BGF'!$A$4:$L$54</definedName>
    <definedName name="_xlnm.Print_Titles" localSheetId="9">'BGF'!$4:$4</definedName>
    <definedName name="_xlnm._FilterDatabase" localSheetId="10" hidden="1">'Hygiene'!$A$4:$L$54</definedName>
    <definedName name="_xlnm.Print_Titles" localSheetId="10">'Hygiene'!$4:$4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23">
    <font>
      <name val="Calibri"/>
      <family val="2"/>
      <color theme="1"/>
      <sz val="11"/>
      <scheme val="minor"/>
    </font>
    <font>
      <name val="Calibri"/>
      <b val="1"/>
      <color rgb="000F3460"/>
      <sz val="18"/>
    </font>
    <font>
      <name val="Calibri"/>
      <b val="1"/>
      <color rgb="00333333"/>
      <sz val="13"/>
    </font>
    <font>
      <name val="Calibri"/>
      <b val="1"/>
      <color rgb="000F3460"/>
      <sz val="22"/>
    </font>
    <font>
      <name val="Calibri"/>
      <b val="1"/>
      <color rgb="0028A745"/>
      <sz val="22"/>
    </font>
    <font>
      <name val="Calibri"/>
      <b val="1"/>
      <color rgb="00DC3545"/>
      <sz val="22"/>
    </font>
    <font>
      <name val="Calibri"/>
      <b val="1"/>
      <color rgb="00FFFFFF"/>
      <sz val="11"/>
    </font>
    <font>
      <name val="Calibri"/>
      <b val="1"/>
      <color rgb="00333333"/>
      <sz val="10"/>
    </font>
    <font>
      <name val="Calibri"/>
      <b val="1"/>
      <color rgb="000F3460"/>
      <sz val="14"/>
    </font>
    <font>
      <name val="Calibri"/>
      <b val="1"/>
      <color rgb="0028A745"/>
      <sz val="14"/>
    </font>
    <font>
      <name val="Calibri"/>
      <b val="1"/>
      <color rgb="00DC3545"/>
      <sz val="14"/>
    </font>
    <font>
      <name val="Calibri"/>
      <color rgb="00333333"/>
      <sz val="10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i val="1"/>
      <color rgb="00666666"/>
      <sz val="11"/>
    </font>
    <font>
      <name val="Calibri"/>
      <b val="1"/>
      <color rgb="0028A745"/>
      <sz val="10"/>
    </font>
    <font>
      <name val="Calibri"/>
      <b val="1"/>
      <color rgb="00333333"/>
      <sz val="14"/>
    </font>
    <font>
      <name val="Calibri"/>
      <b val="1"/>
      <color rgb="000F3460"/>
      <sz val="10"/>
    </font>
    <font>
      <name val="Calibri"/>
      <b val="1"/>
      <color rgb="00DC3545"/>
      <sz val="10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FFFFFF"/>
      <sz val="11"/>
      <u val="single"/>
    </font>
    <font>
      <name val="Calibri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BDEFB"/>
        <bgColor rgb="00BBDEFB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FE0B2"/>
        <bgColor rgb="00FFE0B2"/>
      </patternFill>
    </fill>
    <fill>
      <patternFill patternType="solid">
        <fgColor rgb="00F8D7DA"/>
        <bgColor rgb="00F8D7DA"/>
      </patternFill>
    </fill>
    <fill>
      <patternFill patternType="solid">
        <fgColor rgb="00F0F0F0"/>
        <bgColor rgb="00F0F0F0"/>
      </patternFill>
    </fill>
    <fill>
      <patternFill patternType="solid">
        <fgColor rgb="0028A745"/>
        <bgColor rgb="0028A74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7" fillId="4" borderId="1" pivotButton="0" quotePrefix="0" xfId="0"/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11" fillId="4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pivotButton="0" quotePrefix="0" xfId="0"/>
    <xf numFmtId="0" fontId="13" fillId="0" borderId="0" pivotButton="0" quotePrefix="0" xfId="0"/>
    <xf numFmtId="0" fontId="0" fillId="5" borderId="1" pivotButton="0" quotePrefix="0" xfId="0"/>
    <xf numFmtId="0" fontId="7" fillId="0" borderId="1" pivotButton="0" quotePrefix="0" xfId="0"/>
    <xf numFmtId="0" fontId="11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9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0" fillId="13" borderId="0" applyAlignment="1" pivotButton="0" quotePrefix="0" xfId="0">
      <alignment vertical="top" wrapText="1"/>
    </xf>
    <xf numFmtId="0" fontId="21" fillId="14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1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1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1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1" fillId="3" borderId="1" pivotButton="0" quotePrefix="0" xfId="0"/>
    <xf numFmtId="0" fontId="11" fillId="3" borderId="1" applyAlignment="1" pivotButton="0" quotePrefix="0" xfId="0">
      <alignment vertical="top" wrapText="1"/>
    </xf>
    <xf numFmtId="0" fontId="11" fillId="4" borderId="1" pivotButton="0" quotePrefix="0" xfId="0"/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ont>
        <b val="1"/>
        <color rgb="00B71C1C"/>
      </font>
      <fill>
        <patternFill patternType="solid">
          <fgColor rgb="00F8D7DA"/>
          <bgColor rgb="00F8D7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8E1"/>
          <bgColor rgb="00FFF8E1"/>
        </patternFill>
      </fill>
    </dxf>
    <dxf>
      <font>
        <color rgb="00B71C1C"/>
      </font>
      <fill>
        <patternFill patternType="solid">
          <fgColor rgb="00FFCDD2"/>
          <bgColor rgb="00FFCDD2"/>
        </patternFill>
      </fill>
    </dxf>
    <dxf>
      <font>
        <b val="1"/>
        <color rgb="001565C0"/>
      </font>
      <fill>
        <patternFill patternType="solid">
          <fgColor rgb="00BBDEFB"/>
          <b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emily_kim.schmidt@mercedes-benz.com?subject=LARIS%20Meldung%20-%20Sekretariat&amp;bcc=walter.putschler@mercedes-benz.com&amp;body=Neue%20LARIS-Meldung%20im%20Bereich%3A%20Sekretariat%0A%0ABitte%20in%20LARIS%20pr%C3%BCfen%20und%20bearbeiten.%0A%0AMit%20freundlichen%20Gr%C3%BC%C3%9Fen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mailto:emanuel.siebert@mercedes-benz.com?subject=LARIS%20Meldung%20-%20EDV&amp;bcc=walter.putschler@mercedes-benz.com&amp;body=Neue%20LARIS-Meldung%20im%20Bereich%3A%20EDV%0A%0ABitte%20in%20LARIS%20pr%C3%BCfen%20und%20bearbeiten.%0A%0AMit%20freundlichen%20Gr%C3%BC%C3%9Fen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mailto:tobias_felix.zeller@mercedes-benz.com?subject=LARIS%20Meldung%20-%20Med.%26Verbr.-stoff&amp;bcc=walter.putschler@mercedes-benz.com&amp;body=Neue%20LARIS-Meldung%20im%20Bereich%3A%20Med.%26Verbr.-stoff%0A%0ABitte%20in%20LARIS%20pr%C3%BCfen%20und%20bearbeiten.%0A%0AMit%20freundlichen%20Gr%C3%BC%C3%9Fen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mailto:Fabian.Wunsch@mercedes-benz.com?subject=LARIS%20Meldung%20-%20WD-Fzg%20%26%20Schutzkleidg&amp;bcc=walter.putschler@mercedes-benz.com&amp;body=Neue%20LARIS-Meldung%20im%20Bereich%3A%20WD-Fzg%20%26%20Schutzkleidg%0A%0ABitte%20in%20LARIS%20pr%C3%BCfen%20und%20bearbeiten.%0A%0AMit%20freundlichen%20Gr%C3%BC%C3%9Fen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mailto:Markus.Goepfrich@mercedes-benz.com?subject=LARIS%20Meldung%20-%20RTW%20%26%20MPG&amp;bcc=walter.putschler@mercedes-benz.com&amp;body=Neue%20LARIS-Meldung%20im%20Bereich%3A%20RTW%20%26%20MPG%0A%0ABitte%20in%20LARIS%20pr%C3%BCfen%20und%20bearbeiten.%0A%0AMit%20freundlichen%20Gr%C3%BC%C3%9Fen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mailto:Fabian.Wunsch@mercedes-benz.com?subject=LARIS%20Meldung%20-%20Organisation%20Ambulanz&amp;bcc=walter.putschler@mercedes-benz.com&amp;body=Neue%20LARIS-Meldung%20im%20Bereich%3A%20Organisation%20Ambulanz%0A%0ABitte%20in%20LARIS%20pr%C3%BCfen%20und%20bearbeiten.%0A%0AMit%20freundlichen%20Gr%C3%BC%C3%9Fen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mailto:walter.putschler@mercedes-benz.com?subject=LARIS%20Meldung%20-%20Ablauf%26Prozessprobleme&amp;bcc=walter.putschler@mercedes-benz.com&amp;body=Neue%20LARIS-Meldung%20im%20Bereich%3A%20Ablauf%26Prozessprobleme%0A%0ABitte%20in%20LARIS%20pr%C3%BCfen%20und%20bearbeiten.%0A%0AMit%20freundlichen%20Gr%C3%BC%C3%9Fen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mailto:katrin.zieger-buchta@mercedes-benz.com?subject=LARIS%20Meldung%20-%20BGF&amp;bcc=walter.putschler@mercedes-benz.com&amp;body=Neue%20LARIS-Meldung%20im%20Bereich%3A%20BGF%0A%0ABitte%20in%20LARIS%20pr%C3%BCfen%20und%20bearbeiten.%0A%0AMit%20freundlichen%20Gr%C3%BC%C3%9Fen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mailto:Fabian.Wunsch@mercedes-benz.com?subject=LARIS%20Meldung%20-%20Hygiene&amp;bcc=walter.putschler@mercedes-benz.com&amp;body=Neue%20LARIS-Meldung%20im%20Bereich%3A%20Hygiene%0A%0ABitte%20in%20LARIS%20pr%C3%BCfen%20und%20bearbeiten.%0A%0AMit%20freundlichen%20Gr%C3%BC%C3%9Fen" TargetMode="External" Id="rId1" /></Relationships>
</file>

<file path=xl/worksheets/sheet1.xml><?xml version="1.0" encoding="utf-8"?>
<worksheet xmlns="http://schemas.openxmlformats.org/spreadsheetml/2006/main">
  <sheetPr>
    <tabColor rgb="0028A745"/>
    <outlinePr summaryBelow="1" summaryRight="1"/>
    <pageSetUpPr fitToPage="1"/>
  </sheetPr>
  <dimension ref="B1:L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5" customWidth="1" min="6" max="6"/>
    <col width="10" customWidth="1" min="7" max="7"/>
    <col width="10" customWidth="1" min="8" max="8"/>
    <col width="10" customWidth="1" min="9" max="9"/>
    <col width="10" customWidth="1" min="10" max="10"/>
    <col width="5" customWidth="1" min="11" max="11"/>
    <col width="22" customWidth="1" min="12" max="12"/>
  </cols>
  <sheetData>
    <row r="1" ht="25" customHeight="1">
      <c r="B1" s="1" t="inlineStr">
        <is>
          <t>LARIS Dashboard - Gesamtübersicht</t>
        </is>
      </c>
    </row>
    <row r="2" ht="25" customHeight="1"/>
    <row r="3" ht="8" customHeight="1"/>
    <row r="4" ht="35" customHeight="1">
      <c r="B4" s="2" t="inlineStr">
        <is>
          <t>Gesamt Meldungen:</t>
        </is>
      </c>
      <c r="D4" s="3">
        <f>C16</f>
        <v/>
      </c>
      <c r="E4" s="2" t="inlineStr">
        <is>
          <t>Erledigt:</t>
        </is>
      </c>
      <c r="G4" s="4">
        <f>D16</f>
        <v/>
      </c>
      <c r="H4" s="2" t="inlineStr">
        <is>
          <t>Offen:</t>
        </is>
      </c>
      <c r="J4" s="5">
        <f>E16</f>
        <v/>
      </c>
    </row>
    <row r="6" ht="30" customHeight="1">
      <c r="B6" s="6" t="inlineStr">
        <is>
          <t>Bereich</t>
        </is>
      </c>
      <c r="C6" s="6" t="inlineStr">
        <is>
          <t>Meldungen</t>
        </is>
      </c>
      <c r="D6" s="6" t="inlineStr">
        <is>
          <t>Erledigt</t>
        </is>
      </c>
      <c r="E6" s="6" t="inlineStr">
        <is>
          <t>Offen</t>
        </is>
      </c>
      <c r="F6" s="6" t="inlineStr"/>
      <c r="G6" s="6" t="inlineStr">
        <is>
          <t>Kat A</t>
        </is>
      </c>
      <c r="H6" s="6" t="inlineStr">
        <is>
          <t>Kat B</t>
        </is>
      </c>
      <c r="I6" s="6" t="inlineStr">
        <is>
          <t>Kat C</t>
        </is>
      </c>
      <c r="J6" s="6" t="inlineStr">
        <is>
          <t>Kat D</t>
        </is>
      </c>
      <c r="K6" s="6" t="inlineStr"/>
      <c r="L6" s="6" t="inlineStr">
        <is>
          <t>Leiter</t>
        </is>
      </c>
    </row>
    <row r="7">
      <c r="B7" s="7" t="inlineStr">
        <is>
          <t>Sekretariat</t>
        </is>
      </c>
      <c r="C7" s="8">
        <f>COUNTA('Sekretariat'!B5:B504)</f>
        <v/>
      </c>
      <c r="D7" s="9">
        <f>COUNTA('Sekretariat'!H5:H504)</f>
        <v/>
      </c>
      <c r="E7" s="10">
        <f>C7-D7</f>
        <v/>
      </c>
      <c r="F7" s="11" t="n"/>
      <c r="G7" s="12">
        <f>COUNTIF('Sekretariat'!J5:J504,"A")</f>
        <v/>
      </c>
      <c r="H7" s="12">
        <f>COUNTIF('Sekretariat'!J5:J504,"B")</f>
        <v/>
      </c>
      <c r="I7" s="12">
        <f>COUNTIF('Sekretariat'!J5:J504,"C")</f>
        <v/>
      </c>
      <c r="J7" s="12">
        <f>COUNTIF('Sekretariat'!J5:J504,"D")</f>
        <v/>
      </c>
      <c r="K7" s="11" t="n"/>
      <c r="L7" s="12" t="inlineStr">
        <is>
          <t>Emily Schmidt</t>
        </is>
      </c>
    </row>
    <row r="8">
      <c r="B8" s="13" t="inlineStr">
        <is>
          <t>EDV</t>
        </is>
      </c>
      <c r="C8" s="14">
        <f>COUNTA('EDV'!B5:B504)</f>
        <v/>
      </c>
      <c r="D8" s="15">
        <f>COUNTA('EDV'!H5:H504)</f>
        <v/>
      </c>
      <c r="E8" s="16">
        <f>C8-D8</f>
        <v/>
      </c>
      <c r="F8" s="17" t="n"/>
      <c r="G8" s="18">
        <f>COUNTIF('EDV'!J5:J504,"A")</f>
        <v/>
      </c>
      <c r="H8" s="18">
        <f>COUNTIF('EDV'!J5:J504,"B")</f>
        <v/>
      </c>
      <c r="I8" s="18">
        <f>COUNTIF('EDV'!J5:J504,"C")</f>
        <v/>
      </c>
      <c r="J8" s="18">
        <f>COUNTIF('EDV'!J5:J504,"D")</f>
        <v/>
      </c>
      <c r="K8" s="17" t="n"/>
      <c r="L8" s="18" t="inlineStr">
        <is>
          <t>Siebert</t>
        </is>
      </c>
    </row>
    <row r="9">
      <c r="B9" s="7" t="inlineStr">
        <is>
          <t>Med.&amp;Verbr.-stoff</t>
        </is>
      </c>
      <c r="C9" s="8">
        <f>COUNTA('Med.&amp;Verbr.-stoff'!B5:B504)</f>
        <v/>
      </c>
      <c r="D9" s="9">
        <f>COUNTA('Med.&amp;Verbr.-stoff'!H5:H504)</f>
        <v/>
      </c>
      <c r="E9" s="10">
        <f>C9-D9</f>
        <v/>
      </c>
      <c r="F9" s="11" t="n"/>
      <c r="G9" s="12">
        <f>COUNTIF('Med.&amp;Verbr.-stoff'!J5:J504,"A")</f>
        <v/>
      </c>
      <c r="H9" s="12">
        <f>COUNTIF('Med.&amp;Verbr.-stoff'!J5:J504,"B")</f>
        <v/>
      </c>
      <c r="I9" s="12">
        <f>COUNTIF('Med.&amp;Verbr.-stoff'!J5:J504,"C")</f>
        <v/>
      </c>
      <c r="J9" s="12">
        <f>COUNTIF('Med.&amp;Verbr.-stoff'!J5:J504,"D")</f>
        <v/>
      </c>
      <c r="K9" s="11" t="n"/>
      <c r="L9" s="12" t="inlineStr">
        <is>
          <t>Zeller</t>
        </is>
      </c>
    </row>
    <row r="10">
      <c r="B10" s="13" t="inlineStr">
        <is>
          <t>WD-Fzg &amp; Schutzkleidg</t>
        </is>
      </c>
      <c r="C10" s="14">
        <f>COUNTA('WD-Fzg &amp; Schutzkleidg'!B5:B504)</f>
        <v/>
      </c>
      <c r="D10" s="15">
        <f>COUNTA('WD-Fzg &amp; Schutzkleidg'!H5:H504)</f>
        <v/>
      </c>
      <c r="E10" s="16">
        <f>C10-D10</f>
        <v/>
      </c>
      <c r="F10" s="17" t="n"/>
      <c r="G10" s="18">
        <f>COUNTIF('WD-Fzg &amp; Schutzkleidg'!J5:J504,"A")</f>
        <v/>
      </c>
      <c r="H10" s="18">
        <f>COUNTIF('WD-Fzg &amp; Schutzkleidg'!J5:J504,"B")</f>
        <v/>
      </c>
      <c r="I10" s="18">
        <f>COUNTIF('WD-Fzg &amp; Schutzkleidg'!J5:J504,"C")</f>
        <v/>
      </c>
      <c r="J10" s="18">
        <f>COUNTIF('WD-Fzg &amp; Schutzkleidg'!J5:J504,"D")</f>
        <v/>
      </c>
      <c r="K10" s="17" t="n"/>
      <c r="L10" s="18" t="inlineStr">
        <is>
          <t>Wunsch</t>
        </is>
      </c>
    </row>
    <row r="11">
      <c r="B11" s="7" t="inlineStr">
        <is>
          <t>RTW &amp; MPG</t>
        </is>
      </c>
      <c r="C11" s="8">
        <f>COUNTA('RTW &amp; MPG'!B5:B504)</f>
        <v/>
      </c>
      <c r="D11" s="9">
        <f>COUNTA('RTW &amp; MPG'!H5:H504)</f>
        <v/>
      </c>
      <c r="E11" s="10">
        <f>C11-D11</f>
        <v/>
      </c>
      <c r="F11" s="11" t="n"/>
      <c r="G11" s="12">
        <f>COUNTIF('RTW &amp; MPG'!J5:J504,"A")</f>
        <v/>
      </c>
      <c r="H11" s="12">
        <f>COUNTIF('RTW &amp; MPG'!J5:J504,"B")</f>
        <v/>
      </c>
      <c r="I11" s="12">
        <f>COUNTIF('RTW &amp; MPG'!J5:J504,"C")</f>
        <v/>
      </c>
      <c r="J11" s="12">
        <f>COUNTIF('RTW &amp; MPG'!J5:J504,"D")</f>
        <v/>
      </c>
      <c r="K11" s="11" t="n"/>
      <c r="L11" s="12" t="inlineStr">
        <is>
          <t>Göpfrich</t>
        </is>
      </c>
    </row>
    <row r="12">
      <c r="B12" s="13" t="inlineStr">
        <is>
          <t>Organisation Ambulanz</t>
        </is>
      </c>
      <c r="C12" s="14">
        <f>COUNTA('Organisation Ambulanz'!B5:B504)</f>
        <v/>
      </c>
      <c r="D12" s="15">
        <f>COUNTA('Organisation Ambulanz'!H5:H504)</f>
        <v/>
      </c>
      <c r="E12" s="16">
        <f>C12-D12</f>
        <v/>
      </c>
      <c r="F12" s="17" t="n"/>
      <c r="G12" s="18">
        <f>COUNTIF('Organisation Ambulanz'!J5:J504,"A")</f>
        <v/>
      </c>
      <c r="H12" s="18">
        <f>COUNTIF('Organisation Ambulanz'!J5:J504,"B")</f>
        <v/>
      </c>
      <c r="I12" s="18">
        <f>COUNTIF('Organisation Ambulanz'!J5:J504,"C")</f>
        <v/>
      </c>
      <c r="J12" s="18">
        <f>COUNTIF('Organisation Ambulanz'!J5:J504,"D")</f>
        <v/>
      </c>
      <c r="K12" s="17" t="n"/>
      <c r="L12" s="18" t="inlineStr">
        <is>
          <t>Wunsch</t>
        </is>
      </c>
    </row>
    <row r="13">
      <c r="B13" s="7" t="inlineStr">
        <is>
          <t>Ablauf&amp;Prozessprobleme</t>
        </is>
      </c>
      <c r="C13" s="8">
        <f>COUNTA('Ablauf&amp;Prozessprobleme'!B5:B504)</f>
        <v/>
      </c>
      <c r="D13" s="9">
        <f>COUNTA('Ablauf&amp;Prozessprobleme'!H5:H504)</f>
        <v/>
      </c>
      <c r="E13" s="10">
        <f>C13-D13</f>
        <v/>
      </c>
      <c r="F13" s="11" t="n"/>
      <c r="G13" s="12">
        <f>COUNTIF('Ablauf&amp;Prozessprobleme'!J5:J504,"A")</f>
        <v/>
      </c>
      <c r="H13" s="12">
        <f>COUNTIF('Ablauf&amp;Prozessprobleme'!J5:J504,"B")</f>
        <v/>
      </c>
      <c r="I13" s="12">
        <f>COUNTIF('Ablauf&amp;Prozessprobleme'!J5:J504,"C")</f>
        <v/>
      </c>
      <c r="J13" s="12">
        <f>COUNTIF('Ablauf&amp;Prozessprobleme'!J5:J504,"D")</f>
        <v/>
      </c>
      <c r="K13" s="11" t="n"/>
      <c r="L13" s="12" t="inlineStr">
        <is>
          <t>Putschler</t>
        </is>
      </c>
    </row>
    <row r="14">
      <c r="B14" s="13" t="inlineStr">
        <is>
          <t>BGF</t>
        </is>
      </c>
      <c r="C14" s="14">
        <f>COUNTA('BGF'!B5:B504)</f>
        <v/>
      </c>
      <c r="D14" s="15">
        <f>COUNTA('BGF'!H5:H504)</f>
        <v/>
      </c>
      <c r="E14" s="16">
        <f>C14-D14</f>
        <v/>
      </c>
      <c r="F14" s="17" t="n"/>
      <c r="G14" s="18">
        <f>COUNTIF('BGF'!J5:J504,"A")</f>
        <v/>
      </c>
      <c r="H14" s="18">
        <f>COUNTIF('BGF'!J5:J504,"B")</f>
        <v/>
      </c>
      <c r="I14" s="18">
        <f>COUNTIF('BGF'!J5:J504,"C")</f>
        <v/>
      </c>
      <c r="J14" s="18">
        <f>COUNTIF('BGF'!J5:J504,"D")</f>
        <v/>
      </c>
      <c r="K14" s="17" t="n"/>
      <c r="L14" s="18" t="inlineStr">
        <is>
          <t>Zieger-Buchta</t>
        </is>
      </c>
    </row>
    <row r="15">
      <c r="B15" s="7" t="inlineStr">
        <is>
          <t>Hygiene</t>
        </is>
      </c>
      <c r="C15" s="8">
        <f>COUNTA('Hygiene'!B5:B504)</f>
        <v/>
      </c>
      <c r="D15" s="9">
        <f>COUNTA('Hygiene'!H5:H504)</f>
        <v/>
      </c>
      <c r="E15" s="10">
        <f>C15-D15</f>
        <v/>
      </c>
      <c r="F15" s="11" t="n"/>
      <c r="G15" s="12">
        <f>COUNTIF('Hygiene'!J5:J504,"A")</f>
        <v/>
      </c>
      <c r="H15" s="12">
        <f>COUNTIF('Hygiene'!J5:J504,"B")</f>
        <v/>
      </c>
      <c r="I15" s="12">
        <f>COUNTIF('Hygiene'!J5:J504,"C")</f>
        <v/>
      </c>
      <c r="J15" s="12">
        <f>COUNTIF('Hygiene'!J5:J504,"D")</f>
        <v/>
      </c>
      <c r="K15" s="11" t="n"/>
      <c r="L15" s="12" t="inlineStr">
        <is>
          <t>Wunsch</t>
        </is>
      </c>
    </row>
    <row r="16">
      <c r="B16" s="19" t="inlineStr">
        <is>
          <t>GESAMT</t>
        </is>
      </c>
      <c r="C16" s="19">
        <f>SUM(C7:C15)</f>
        <v/>
      </c>
      <c r="D16" s="19">
        <f>SUM(D7:D15)</f>
        <v/>
      </c>
      <c r="E16" s="19">
        <f>SUM(E7:E15)</f>
        <v/>
      </c>
      <c r="F16" s="20" t="n"/>
      <c r="G16" s="19">
        <f>SUM(G7:G15)</f>
        <v/>
      </c>
      <c r="H16" s="19">
        <f>SUM(H7:H15)</f>
        <v/>
      </c>
      <c r="I16" s="19">
        <f>SUM(I7:I15)</f>
        <v/>
      </c>
      <c r="J16" s="19">
        <f>SUM(J7:J15)</f>
        <v/>
      </c>
      <c r="K16" s="20" t="n"/>
      <c r="L16" s="21" t="n"/>
    </row>
    <row r="18">
      <c r="B18" s="22" t="inlineStr">
        <is>
          <t>Legende Farbmarkierungen in den Bereichs-Sheets:</t>
        </is>
      </c>
    </row>
    <row r="19">
      <c r="B19" s="23" t="n"/>
      <c r="C19" s="24" t="inlineStr">
        <is>
          <t>Nr.-Spalte blau</t>
        </is>
      </c>
      <c r="D19" s="25" t="inlineStr">
        <is>
          <t>Neue Meldung (letzte 7 Tage)</t>
        </is>
      </c>
    </row>
    <row r="20">
      <c r="B20" s="26" t="n"/>
      <c r="C20" s="24" t="inlineStr">
        <is>
          <t>Zeile gelb</t>
        </is>
      </c>
      <c r="D20" s="25" t="inlineStr">
        <is>
          <t>Meldung offen (noch nicht erledigt)</t>
        </is>
      </c>
    </row>
    <row r="21">
      <c r="B21" s="27" t="n"/>
      <c r="C21" s="24" t="inlineStr">
        <is>
          <t>Zeile grün</t>
        </is>
      </c>
      <c r="D21" s="25" t="inlineStr">
        <is>
          <t>Meldung erledigt</t>
        </is>
      </c>
    </row>
    <row r="22">
      <c r="B22" s="28" t="n"/>
      <c r="C22" s="24" t="inlineStr">
        <is>
          <t>Zeile rot</t>
        </is>
      </c>
      <c r="D22" s="25" t="inlineStr">
        <is>
          <t>Überfällig (&gt;14 Tage ohne Kenntnisnahme)</t>
        </is>
      </c>
    </row>
    <row r="23">
      <c r="B23" s="29" t="n"/>
      <c r="C23" s="24" t="inlineStr">
        <is>
          <t>Kategorie A</t>
        </is>
      </c>
      <c r="D23" s="25" t="inlineStr">
        <is>
          <t>Unsichere Handlung</t>
        </is>
      </c>
    </row>
    <row r="24">
      <c r="B24" s="30" t="n"/>
      <c r="C24" s="24" t="inlineStr">
        <is>
          <t>Kategorie B</t>
        </is>
      </c>
      <c r="D24" s="25" t="inlineStr">
        <is>
          <t>Beinahefehler ohne Folgen</t>
        </is>
      </c>
    </row>
    <row r="25">
      <c r="B25" s="31" t="n"/>
      <c r="C25" s="24" t="inlineStr">
        <is>
          <t>Kategorie C</t>
        </is>
      </c>
      <c r="D25" s="25" t="inlineStr">
        <is>
          <t>Fehler mit leichten bis mittelschweren Folgen</t>
        </is>
      </c>
    </row>
    <row r="26">
      <c r="B26" s="32" t="n"/>
      <c r="C26" s="24" t="inlineStr">
        <is>
          <t>Kategorie D</t>
        </is>
      </c>
      <c r="D26" s="25" t="inlineStr">
        <is>
          <t>Fehler mit gravierenden Folgen</t>
        </is>
      </c>
    </row>
  </sheetData>
  <mergeCells count="13">
    <mergeCell ref="E4:F4"/>
    <mergeCell ref="B18:E18"/>
    <mergeCell ref="D19:F19"/>
    <mergeCell ref="B1:J2"/>
    <mergeCell ref="D23:F23"/>
    <mergeCell ref="D22:F22"/>
    <mergeCell ref="D26:F26"/>
    <mergeCell ref="H4:I4"/>
    <mergeCell ref="D21:F21"/>
    <mergeCell ref="D25:F25"/>
    <mergeCell ref="D20:F20"/>
    <mergeCell ref="B4:C4"/>
    <mergeCell ref="D24:F24"/>
  </mergeCells>
  <conditionalFormatting sqref="E7:E15">
    <cfRule type="cellIs" priority="1" operator="greaterThan" dxfId="0" stopIfTrue="0">
      <formula>0</formula>
    </cfRule>
  </conditionalFormatting>
  <conditionalFormatting sqref="J7:J15">
    <cfRule type="cellIs" priority="2" operator="greaterThan" dxfId="1" stopIfTrue="0">
      <formula>0</formula>
    </cfRule>
    <cfRule type="cellIs" priority="6" operator="greaterThan" dxfId="2" stopIfTrue="0">
      <formula>0</formula>
    </cfRule>
  </conditionalFormatting>
  <conditionalFormatting sqref="G7:G15">
    <cfRule type="cellIs" priority="3" operator="greaterThan" dxfId="3" stopIfTrue="0">
      <formula>0</formula>
    </cfRule>
  </conditionalFormatting>
  <conditionalFormatting sqref="H7:H15">
    <cfRule type="cellIs" priority="4" operator="greaterThan" dxfId="4" stopIfTrue="0">
      <formula>0</formula>
    </cfRule>
  </conditionalFormatting>
  <conditionalFormatting sqref="I7:I15">
    <cfRule type="cellIs" priority="5" operator="greaterThan" dxfId="5" stopIfTrue="0">
      <formula>0</formula>
    </cfRule>
  </conditionalFormatting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B1:G50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55" customWidth="1" min="3" max="3"/>
    <col width="20" customWidth="1" min="4" max="4"/>
    <col width="5" customWidth="1" min="5" max="5"/>
    <col width="20" customWidth="1" min="6" max="6"/>
  </cols>
  <sheetData>
    <row r="1">
      <c r="B1" s="1" t="inlineStr">
        <is>
          <t>LARIS - Lernende Abweichungs-, Risiko- und Informationssammlung</t>
        </is>
      </c>
    </row>
    <row r="2"/>
    <row r="3">
      <c r="B3" s="33" t="inlineStr">
        <is>
          <t>Werksärztlicher Dienst Mercedes-Benz Rastatt/Kuppenheim</t>
        </is>
      </c>
    </row>
    <row r="4">
      <c r="B4" s="34" t="inlineStr">
        <is>
          <t>Version 2026 - Ohne Makros &amp; Blattschutz</t>
        </is>
      </c>
    </row>
    <row r="6">
      <c r="B6" s="35" t="inlineStr">
        <is>
          <t>Die Liste dient zur Meldung von:</t>
        </is>
      </c>
    </row>
    <row r="7">
      <c r="B7" s="36" t="inlineStr">
        <is>
          <t>●</t>
        </is>
      </c>
      <c r="C7" s="37" t="inlineStr">
        <is>
          <t>Vorkommnissen</t>
        </is>
      </c>
    </row>
    <row r="8">
      <c r="B8" s="36" t="inlineStr">
        <is>
          <t>●</t>
        </is>
      </c>
      <c r="C8" s="37" t="inlineStr">
        <is>
          <t>fehlendem oder fehlerhaftem Material</t>
        </is>
      </c>
    </row>
    <row r="9">
      <c r="B9" s="36" t="inlineStr">
        <is>
          <t>●</t>
        </is>
      </c>
      <c r="C9" s="37" t="inlineStr">
        <is>
          <t>Administrationsbedarf im Bereich</t>
        </is>
      </c>
    </row>
    <row r="10">
      <c r="C10" s="38" t="inlineStr">
        <is>
          <t>an den jeweiligen Bereichsleiter!</t>
        </is>
      </c>
    </row>
    <row r="12">
      <c r="B12" s="39" t="inlineStr">
        <is>
          <t>Informationen die alle betreffen müssen über E-Mail kommuniziert werden!</t>
        </is>
      </c>
    </row>
    <row r="14">
      <c r="B14" s="35" t="inlineStr">
        <is>
          <t>Erstellen einer Meldung</t>
        </is>
      </c>
    </row>
    <row r="15">
      <c r="B15" s="36" t="inlineStr">
        <is>
          <t>●</t>
        </is>
      </c>
      <c r="C15" s="37" t="inlineStr">
        <is>
          <t>Unten den entsprechenden Reiter für den Bereich auswählen</t>
        </is>
      </c>
    </row>
    <row r="16">
      <c r="B16" s="36" t="inlineStr">
        <is>
          <t>●</t>
        </is>
      </c>
      <c r="C16" s="37" t="inlineStr">
        <is>
          <t>Im Feld "Meldung durch" den eigenen Namen auswählen (Dropdown)</t>
        </is>
      </c>
    </row>
    <row r="17">
      <c r="B17" s="36" t="inlineStr">
        <is>
          <t>●</t>
        </is>
      </c>
      <c r="C17" s="37" t="inlineStr">
        <is>
          <t>Datum im Feld "Meldung am" eintragen (Format: TT.MM.JJJJ)</t>
        </is>
      </c>
    </row>
    <row r="18">
      <c r="B18" s="36" t="inlineStr">
        <is>
          <t>●</t>
        </is>
      </c>
      <c r="C18" s="37" t="inlineStr">
        <is>
          <t>Info bei "Thema" eintragen</t>
        </is>
      </c>
    </row>
    <row r="19">
      <c r="B19" s="36" t="inlineStr">
        <is>
          <t>●</t>
        </is>
      </c>
      <c r="C19" s="37" t="inlineStr">
        <is>
          <t>Auf den grünen "Mail an Bereichsleiter"-Link klicken (öffnet Outlook automatisch)</t>
        </is>
      </c>
    </row>
    <row r="20">
      <c r="B20" s="36" t="inlineStr">
        <is>
          <t>●</t>
        </is>
      </c>
      <c r="C20" s="37" t="inlineStr">
        <is>
          <t>Speichern</t>
        </is>
      </c>
    </row>
    <row r="22">
      <c r="B22" s="35" t="inlineStr">
        <is>
          <t>Abarbeiten einer Meldung durch den Bereichsleiter</t>
        </is>
      </c>
    </row>
    <row r="23">
      <c r="B23" s="36" t="inlineStr">
        <is>
          <t>●</t>
        </is>
      </c>
      <c r="C23" s="37" t="inlineStr">
        <is>
          <t>Bei Kenntnisnahme im Feld "Kenntnisnahme durch" eigenen Namen auswählen und Datum eintragen</t>
        </is>
      </c>
    </row>
    <row r="24">
      <c r="B24" s="36" t="inlineStr">
        <is>
          <t>●</t>
        </is>
      </c>
      <c r="C24" s="37" t="inlineStr">
        <is>
          <t>Massnahmen im entsprechenden Feld dokumentieren</t>
        </is>
      </c>
    </row>
    <row r="25">
      <c r="B25" s="36" t="inlineStr">
        <is>
          <t>●</t>
        </is>
      </c>
      <c r="C25" s="37" t="inlineStr">
        <is>
          <t>Nach Erledigung im Feld "Erledigt durch" eigenen Namen auswählen und Datum eintragen</t>
        </is>
      </c>
    </row>
    <row r="26">
      <c r="B26" s="36" t="inlineStr">
        <is>
          <t>●</t>
        </is>
      </c>
      <c r="C26" s="37" t="inlineStr">
        <is>
          <t>Evtl. weitere Infos im entsprechenden Feld eintragen</t>
        </is>
      </c>
    </row>
    <row r="27">
      <c r="B27" s="36" t="inlineStr">
        <is>
          <t>●</t>
        </is>
      </c>
      <c r="C27" s="37" t="inlineStr">
        <is>
          <t>In Spalte "In REKO..." auswählen wie besprochen wurde</t>
        </is>
      </c>
    </row>
    <row r="29">
      <c r="B29" s="35" t="inlineStr">
        <is>
          <t>Hinweise zur neuen Version</t>
        </is>
      </c>
    </row>
    <row r="30">
      <c r="B30" s="40" t="inlineStr">
        <is>
          <t>✓</t>
        </is>
      </c>
      <c r="C30" s="37" t="inlineStr">
        <is>
          <t>Kein Blattschutz - alle Zellen sind frei editierbar</t>
        </is>
      </c>
    </row>
    <row r="31">
      <c r="B31" s="40" t="inlineStr">
        <is>
          <t>✓</t>
        </is>
      </c>
      <c r="C31" s="37" t="inlineStr">
        <is>
          <t>Keine Makros/ActiveX - kein Hängen, keine Sicherheitswarnungen</t>
        </is>
      </c>
    </row>
    <row r="32">
      <c r="B32" s="40" t="inlineStr">
        <is>
          <t>✓</t>
        </is>
      </c>
      <c r="C32" s="37" t="inlineStr">
        <is>
          <t>Dropdown-Listen für Namen und Kategorien (Klick auf die Zelle)</t>
        </is>
      </c>
    </row>
    <row r="33">
      <c r="B33" s="40" t="inlineStr">
        <is>
          <t>✓</t>
        </is>
      </c>
      <c r="C33" s="37" t="inlineStr">
        <is>
          <t>Datumsfelder manuell ausfüllen (Format: TT.MM.JJJJ HH:MM)</t>
        </is>
      </c>
    </row>
    <row r="34">
      <c r="B34" s="40" t="inlineStr">
        <is>
          <t>✓</t>
        </is>
      </c>
      <c r="C34" s="37" t="inlineStr">
        <is>
          <t>Meldungs- und Erledigungszähler werden automatisch berechnet (Formeln)</t>
        </is>
      </c>
    </row>
    <row r="35">
      <c r="B35" s="40" t="inlineStr">
        <is>
          <t>✓</t>
        </is>
      </c>
      <c r="C35" s="37" t="inlineStr">
        <is>
          <t>Mail-Versand per klickbarem Link (öffnet Outlook mit Empfänger + Betreff + BCC)</t>
        </is>
      </c>
    </row>
    <row r="36">
      <c r="B36" s="40" t="inlineStr">
        <is>
          <t>✓</t>
        </is>
      </c>
      <c r="C36" s="37" t="inlineStr">
        <is>
          <t>Dashboard-Reiter zeigt Gesamtübersicht aller Bereiche auf einen Blick</t>
        </is>
      </c>
    </row>
    <row r="37">
      <c r="B37" s="40" t="inlineStr">
        <is>
          <t>✓</t>
        </is>
      </c>
      <c r="C37" s="37" t="inlineStr">
        <is>
          <t>Farbige Zeilen: Grün=Erledigt, Gelb=Offen, Rot=Überfällig (&gt;14 Tage)</t>
        </is>
      </c>
    </row>
    <row r="38">
      <c r="B38" s="40" t="inlineStr">
        <is>
          <t>✓</t>
        </is>
      </c>
      <c r="C38" s="37" t="inlineStr">
        <is>
          <t>Neue Meldungen (letzte 7 Tage) werden in der Nr.-Spalte blau markiert</t>
        </is>
      </c>
    </row>
    <row r="39">
      <c r="B39" s="40" t="inlineStr">
        <is>
          <t>✓</t>
        </is>
      </c>
      <c r="C39" s="37" t="inlineStr">
        <is>
          <t>Druckoptimiert: Querformat A4, Kopfzeile wiederholt sich automatisch</t>
        </is>
      </c>
    </row>
    <row r="41">
      <c r="B41" s="41" t="inlineStr">
        <is>
          <t>Bereich</t>
        </is>
      </c>
      <c r="C41" s="42" t="n"/>
      <c r="D41" s="41" t="inlineStr">
        <is>
          <t>Leiter</t>
        </is>
      </c>
      <c r="E41" s="42" t="n"/>
      <c r="F41" s="41" t="inlineStr">
        <is>
          <t>Stellvertreter</t>
        </is>
      </c>
      <c r="G41" s="41" t="inlineStr"/>
    </row>
    <row r="42">
      <c r="B42" s="25" t="inlineStr">
        <is>
          <t>Sekretariat</t>
        </is>
      </c>
      <c r="D42" s="25" t="inlineStr">
        <is>
          <t>Emily Schmidt</t>
        </is>
      </c>
      <c r="F42" s="25" t="inlineStr">
        <is>
          <t>Larissa Radimersky</t>
        </is>
      </c>
    </row>
    <row r="43">
      <c r="B43" s="25" t="inlineStr">
        <is>
          <t>EDV</t>
        </is>
      </c>
      <c r="D43" s="25" t="inlineStr">
        <is>
          <t>Siebert</t>
        </is>
      </c>
      <c r="F43" s="25" t="inlineStr"/>
    </row>
    <row r="44">
      <c r="B44" s="25" t="inlineStr">
        <is>
          <t>Med.&amp;Verbr.-stoff</t>
        </is>
      </c>
      <c r="D44" s="25" t="inlineStr">
        <is>
          <t>Zeller</t>
        </is>
      </c>
      <c r="F44" s="25" t="inlineStr">
        <is>
          <t>Breig</t>
        </is>
      </c>
    </row>
    <row r="45">
      <c r="B45" s="25" t="inlineStr">
        <is>
          <t>WD-Fzg &amp; Schutzkleidg</t>
        </is>
      </c>
      <c r="D45" s="25" t="inlineStr">
        <is>
          <t>Wunsch</t>
        </is>
      </c>
      <c r="F45" s="25" t="inlineStr"/>
    </row>
    <row r="46">
      <c r="B46" s="25" t="inlineStr">
        <is>
          <t>RTW &amp; MPG</t>
        </is>
      </c>
      <c r="D46" s="25" t="inlineStr">
        <is>
          <t>Göpfrich</t>
        </is>
      </c>
      <c r="F46" s="25" t="inlineStr"/>
    </row>
    <row r="47">
      <c r="B47" s="25" t="inlineStr">
        <is>
          <t>Organisation Ambulanz</t>
        </is>
      </c>
      <c r="D47" s="25" t="inlineStr">
        <is>
          <t>Wunsch</t>
        </is>
      </c>
      <c r="F47" s="25" t="inlineStr"/>
    </row>
    <row r="48">
      <c r="B48" s="25" t="inlineStr">
        <is>
          <t>Ablauf&amp;Prozessprobleme</t>
        </is>
      </c>
      <c r="D48" s="25" t="inlineStr">
        <is>
          <t>Putschler</t>
        </is>
      </c>
      <c r="F48" s="25" t="inlineStr"/>
    </row>
    <row r="49">
      <c r="B49" s="25" t="inlineStr">
        <is>
          <t>BGF</t>
        </is>
      </c>
      <c r="D49" s="25" t="inlineStr">
        <is>
          <t>Zieger-Buchta</t>
        </is>
      </c>
      <c r="F49" s="25" t="inlineStr">
        <is>
          <t>Müller-Horn</t>
        </is>
      </c>
    </row>
    <row r="50">
      <c r="B50" s="25" t="inlineStr">
        <is>
          <t>Hygiene</t>
        </is>
      </c>
      <c r="D50" s="25" t="inlineStr">
        <is>
          <t>Wunsch</t>
        </is>
      </c>
      <c r="F50" s="25" t="inlineStr"/>
    </row>
  </sheetData>
  <mergeCells count="53">
    <mergeCell ref="B4:F4"/>
    <mergeCell ref="B47:C47"/>
    <mergeCell ref="C17:F17"/>
    <mergeCell ref="C23:F23"/>
    <mergeCell ref="C39:F39"/>
    <mergeCell ref="C8:F8"/>
    <mergeCell ref="B3:F3"/>
    <mergeCell ref="B46:C46"/>
    <mergeCell ref="B1:F2"/>
    <mergeCell ref="C7:F7"/>
    <mergeCell ref="C38:F38"/>
    <mergeCell ref="D46:E46"/>
    <mergeCell ref="B22:F22"/>
    <mergeCell ref="C32:F32"/>
    <mergeCell ref="D50:E50"/>
    <mergeCell ref="C19:F19"/>
    <mergeCell ref="C37:F37"/>
    <mergeCell ref="D45:E45"/>
    <mergeCell ref="B43:C43"/>
    <mergeCell ref="C18:F18"/>
    <mergeCell ref="B12:F12"/>
    <mergeCell ref="B48:C48"/>
    <mergeCell ref="D49:E49"/>
    <mergeCell ref="C34:F34"/>
    <mergeCell ref="B42:C42"/>
    <mergeCell ref="C30:F30"/>
    <mergeCell ref="C15:F15"/>
    <mergeCell ref="C33:F33"/>
    <mergeCell ref="B14:F14"/>
    <mergeCell ref="C24:F24"/>
    <mergeCell ref="D41:E41"/>
    <mergeCell ref="D48:E48"/>
    <mergeCell ref="D47:E47"/>
    <mergeCell ref="B29:F29"/>
    <mergeCell ref="B44:C44"/>
    <mergeCell ref="C35:F35"/>
    <mergeCell ref="D43:E43"/>
    <mergeCell ref="C20:F20"/>
    <mergeCell ref="C26:F26"/>
    <mergeCell ref="B41:C41"/>
    <mergeCell ref="C16:F16"/>
    <mergeCell ref="C25:F25"/>
    <mergeCell ref="C10:F10"/>
    <mergeCell ref="B49:C49"/>
    <mergeCell ref="C9:F9"/>
    <mergeCell ref="C31:F31"/>
    <mergeCell ref="B6:F6"/>
    <mergeCell ref="D42:E42"/>
    <mergeCell ref="B45:C45"/>
    <mergeCell ref="B50:C50"/>
    <mergeCell ref="C27:F27"/>
    <mergeCell ref="D44:E44"/>
    <mergeCell ref="C36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Sekretariat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Emily Schmidt (emily_kim.schmidt@mercedes-benz.com)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Sekretariat</oddHeader>
    <oddFooter>&amp;LWerksärztlicher Dienst Mercedes-Benz&amp;RSeite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EDV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Siebert (emanuel.siebert@mercedes-benz.com)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EDV</oddHeader>
    <oddFooter>&amp;LWerksärztlicher Dienst Mercedes-Benz&amp;RSeite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Med.&amp;Verbr.-stoff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Zeller (tobias_felix.zeller@mercedes-benz.com)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Med.&amp;Verbr.-stoff</oddHeader>
    <oddFooter>&amp;LWerksärztlicher Dienst Mercedes-Benz&amp;RSeite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WD-Fzg &amp; Schutzkleidg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Wunsch (Fabian.Wunsch@mercedes-benz.com)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WD-Fzg &amp; Schutzkleidg</oddHeader>
    <oddFooter>&amp;LWerksärztlicher Dienst Mercedes-Benz&amp;RSeite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RTW &amp; MPG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Göpfrich (Markus.Goepfrich@mercedes-benz.com)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RTW &amp; MPG</oddHeader>
    <oddFooter>&amp;LWerksärztlicher Dienst Mercedes-Benz&amp;RSeite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Organisation Ambulanz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Wunsch (Fabian.Wunsch@mercedes-benz.com)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Organisation Ambulanz</oddHeader>
    <oddFooter>&amp;LWerksärztlicher Dienst Mercedes-Benz&amp;RSeite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Ablauf&amp;Prozessprobleme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Putschler (walter.putschler@mercedes-benz.com)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Ablauf&amp;Prozessprobleme</oddHeader>
    <oddFooter>&amp;LWerksärztlicher Dienst Mercedes-Benz&amp;RSeite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BGF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Zieger-Buchta (katrin.zieger-buchta@mercedes-benz.com)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BGF</oddHeader>
    <oddFooter>&amp;LWerksärztlicher Dienst Mercedes-Benz&amp;RSeite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L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55" customWidth="1" min="4" max="4"/>
    <col width="18" customWidth="1" min="5" max="5"/>
    <col width="17" customWidth="1" min="6" max="6"/>
    <col width="55" customWidth="1" min="7" max="7"/>
    <col width="18" customWidth="1" min="8" max="8"/>
    <col width="15" customWidth="1" min="9" max="9"/>
    <col width="11" customWidth="1" min="10" max="10"/>
    <col width="40" customWidth="1" min="11" max="11"/>
    <col width="28" customWidth="1" min="12" max="12"/>
  </cols>
  <sheetData>
    <row r="1" ht="35" customHeight="1">
      <c r="A1" s="43" t="inlineStr">
        <is>
          <t>Hygiene</t>
        </is>
      </c>
    </row>
    <row r="2" ht="55" customHeight="1">
      <c r="A2" s="44" t="inlineStr">
        <is>
          <t>Meldungen:</t>
        </is>
      </c>
      <c r="B2" s="45">
        <f>COUNTA(B5:B504)</f>
        <v/>
      </c>
      <c r="C2" s="44" t="inlineStr">
        <is>
          <t>Erledigt:</t>
        </is>
      </c>
      <c r="D2" s="46">
        <f>COUNTA(H5:H504)</f>
        <v/>
      </c>
      <c r="E2" s="44" t="inlineStr">
        <is>
          <t>Offen:</t>
        </is>
      </c>
      <c r="F2" s="47">
        <f>B2-D2</f>
        <v/>
      </c>
      <c r="H2" s="48" t="inlineStr">
        <is>
          <t>A = unsichere Handlung
B = Beinahefehler ohne Folgen
C = Fehler mit leichten bis mittelschweren Folgen
D = Fehler mit gravierenden Folgen</t>
        </is>
      </c>
    </row>
    <row r="3" ht="30" customHeight="1">
      <c r="A3" s="49" t="inlineStr">
        <is>
          <t>✉ Mail an Bereichsleiter: Wunsch (Fabian.Wunsch@mercedes-benz.com)</t>
        </is>
      </c>
      <c r="H3" s="50" t="inlineStr">
        <is>
          <t>BCC an: Putschler (walter.putschler@mercedes-benz.com)</t>
        </is>
      </c>
    </row>
    <row r="4" ht="32" customHeight="1">
      <c r="A4" s="6" t="inlineStr">
        <is>
          <t>Nr.</t>
        </is>
      </c>
      <c r="B4" s="6" t="inlineStr">
        <is>
          <t>Meldung am</t>
        </is>
      </c>
      <c r="C4" s="6" t="inlineStr">
        <is>
          <t>Meldung durch</t>
        </is>
      </c>
      <c r="D4" s="6" t="inlineStr">
        <is>
          <t>Thema</t>
        </is>
      </c>
      <c r="E4" s="6" t="inlineStr">
        <is>
          <t>Kenntnisnahme am</t>
        </is>
      </c>
      <c r="F4" s="6" t="inlineStr">
        <is>
          <t>Kenntnisnahme durch</t>
        </is>
      </c>
      <c r="G4" s="6" t="inlineStr">
        <is>
          <t>Massnahme</t>
        </is>
      </c>
      <c r="H4" s="6" t="inlineStr">
        <is>
          <t>Erledigt am</t>
        </is>
      </c>
      <c r="I4" s="6" t="inlineStr">
        <is>
          <t>Erledigt durch</t>
        </is>
      </c>
      <c r="J4" s="6" t="inlineStr">
        <is>
          <t>Kategorie</t>
        </is>
      </c>
      <c r="K4" s="6" t="inlineStr">
        <is>
          <t>Info</t>
        </is>
      </c>
      <c r="L4" s="6" t="inlineStr">
        <is>
          <t>In REKO oder Persönlich besprochen?</t>
        </is>
      </c>
    </row>
    <row r="5">
      <c r="A5" s="51">
        <f>IF(B5&lt;&gt;"",ROW()-4,"")</f>
        <v/>
      </c>
      <c r="B5" s="52" t="n"/>
      <c r="C5" s="51" t="n"/>
      <c r="D5" s="53" t="n"/>
      <c r="E5" s="52" t="n"/>
      <c r="F5" s="51" t="n"/>
      <c r="G5" s="53" t="n"/>
      <c r="H5" s="52" t="n"/>
      <c r="I5" s="51" t="n"/>
      <c r="J5" s="51" t="n"/>
      <c r="K5" s="53" t="n"/>
      <c r="L5" s="53" t="n"/>
    </row>
    <row r="6">
      <c r="A6" s="51">
        <f>IF(B6&lt;&gt;"",ROW()-4,"")</f>
        <v/>
      </c>
      <c r="B6" s="52" t="n"/>
      <c r="C6" s="51" t="n"/>
      <c r="D6" s="53" t="n"/>
      <c r="E6" s="52" t="n"/>
      <c r="F6" s="51" t="n"/>
      <c r="G6" s="53" t="n"/>
      <c r="H6" s="52" t="n"/>
      <c r="I6" s="51" t="n"/>
      <c r="J6" s="51" t="n"/>
      <c r="K6" s="53" t="n"/>
      <c r="L6" s="53" t="n"/>
    </row>
    <row r="7">
      <c r="A7" s="51">
        <f>IF(B7&lt;&gt;"",ROW()-4,"")</f>
        <v/>
      </c>
      <c r="B7" s="52" t="n"/>
      <c r="C7" s="51" t="n"/>
      <c r="D7" s="53" t="n"/>
      <c r="E7" s="52" t="n"/>
      <c r="F7" s="51" t="n"/>
      <c r="G7" s="53" t="n"/>
      <c r="H7" s="52" t="n"/>
      <c r="I7" s="51" t="n"/>
      <c r="J7" s="51" t="n"/>
      <c r="K7" s="53" t="n"/>
      <c r="L7" s="53" t="n"/>
    </row>
    <row r="8">
      <c r="A8" s="51">
        <f>IF(B8&lt;&gt;"",ROW()-4,"")</f>
        <v/>
      </c>
      <c r="B8" s="52" t="n"/>
      <c r="C8" s="51" t="n"/>
      <c r="D8" s="53" t="n"/>
      <c r="E8" s="52" t="n"/>
      <c r="F8" s="51" t="n"/>
      <c r="G8" s="53" t="n"/>
      <c r="H8" s="52" t="n"/>
      <c r="I8" s="51" t="n"/>
      <c r="J8" s="51" t="n"/>
      <c r="K8" s="53" t="n"/>
      <c r="L8" s="53" t="n"/>
    </row>
    <row r="9">
      <c r="A9" s="51">
        <f>IF(B9&lt;&gt;"",ROW()-4,"")</f>
        <v/>
      </c>
      <c r="B9" s="52" t="n"/>
      <c r="C9" s="51" t="n"/>
      <c r="D9" s="53" t="n"/>
      <c r="E9" s="52" t="n"/>
      <c r="F9" s="51" t="n"/>
      <c r="G9" s="53" t="n"/>
      <c r="H9" s="52" t="n"/>
      <c r="I9" s="51" t="n"/>
      <c r="J9" s="51" t="n"/>
      <c r="K9" s="53" t="n"/>
      <c r="L9" s="53" t="n"/>
    </row>
    <row r="10">
      <c r="A10" s="51">
        <f>IF(B10&lt;&gt;"",ROW()-4,"")</f>
        <v/>
      </c>
      <c r="B10" s="52" t="n"/>
      <c r="C10" s="51" t="n"/>
      <c r="D10" s="53" t="n"/>
      <c r="E10" s="52" t="n"/>
      <c r="F10" s="51" t="n"/>
      <c r="G10" s="53" t="n"/>
      <c r="H10" s="52" t="n"/>
      <c r="I10" s="51" t="n"/>
      <c r="J10" s="51" t="n"/>
      <c r="K10" s="53" t="n"/>
      <c r="L10" s="53" t="n"/>
    </row>
    <row r="11">
      <c r="A11" s="51">
        <f>IF(B11&lt;&gt;"",ROW()-4,"")</f>
        <v/>
      </c>
      <c r="B11" s="52" t="n"/>
      <c r="C11" s="51" t="n"/>
      <c r="D11" s="53" t="n"/>
      <c r="E11" s="52" t="n"/>
      <c r="F11" s="51" t="n"/>
      <c r="G11" s="53" t="n"/>
      <c r="H11" s="52" t="n"/>
      <c r="I11" s="51" t="n"/>
      <c r="J11" s="51" t="n"/>
      <c r="K11" s="53" t="n"/>
      <c r="L11" s="53" t="n"/>
    </row>
    <row r="12">
      <c r="A12" s="51">
        <f>IF(B12&lt;&gt;"",ROW()-4,"")</f>
        <v/>
      </c>
      <c r="B12" s="52" t="n"/>
      <c r="C12" s="51" t="n"/>
      <c r="D12" s="53" t="n"/>
      <c r="E12" s="52" t="n"/>
      <c r="F12" s="51" t="n"/>
      <c r="G12" s="53" t="n"/>
      <c r="H12" s="52" t="n"/>
      <c r="I12" s="51" t="n"/>
      <c r="J12" s="51" t="n"/>
      <c r="K12" s="53" t="n"/>
      <c r="L12" s="53" t="n"/>
    </row>
    <row r="13">
      <c r="A13" s="51">
        <f>IF(B13&lt;&gt;"",ROW()-4,"")</f>
        <v/>
      </c>
      <c r="B13" s="52" t="n"/>
      <c r="C13" s="51" t="n"/>
      <c r="D13" s="53" t="n"/>
      <c r="E13" s="52" t="n"/>
      <c r="F13" s="51" t="n"/>
      <c r="G13" s="53" t="n"/>
      <c r="H13" s="52" t="n"/>
      <c r="I13" s="51" t="n"/>
      <c r="J13" s="51" t="n"/>
      <c r="K13" s="53" t="n"/>
      <c r="L13" s="53" t="n"/>
    </row>
    <row r="14">
      <c r="A14" s="51">
        <f>IF(B14&lt;&gt;"",ROW()-4,"")</f>
        <v/>
      </c>
      <c r="B14" s="52" t="n"/>
      <c r="C14" s="51" t="n"/>
      <c r="D14" s="53" t="n"/>
      <c r="E14" s="52" t="n"/>
      <c r="F14" s="51" t="n"/>
      <c r="G14" s="53" t="n"/>
      <c r="H14" s="52" t="n"/>
      <c r="I14" s="51" t="n"/>
      <c r="J14" s="51" t="n"/>
      <c r="K14" s="53" t="n"/>
      <c r="L14" s="53" t="n"/>
    </row>
    <row r="15">
      <c r="A15" s="51">
        <f>IF(B15&lt;&gt;"",ROW()-4,"")</f>
        <v/>
      </c>
      <c r="B15" s="52" t="n"/>
      <c r="C15" s="51" t="n"/>
      <c r="D15" s="53" t="n"/>
      <c r="E15" s="52" t="n"/>
      <c r="F15" s="51" t="n"/>
      <c r="G15" s="53" t="n"/>
      <c r="H15" s="52" t="n"/>
      <c r="I15" s="51" t="n"/>
      <c r="J15" s="51" t="n"/>
      <c r="K15" s="53" t="n"/>
      <c r="L15" s="53" t="n"/>
    </row>
    <row r="16">
      <c r="A16" s="51">
        <f>IF(B16&lt;&gt;"",ROW()-4,"")</f>
        <v/>
      </c>
      <c r="B16" s="52" t="n"/>
      <c r="C16" s="51" t="n"/>
      <c r="D16" s="53" t="n"/>
      <c r="E16" s="52" t="n"/>
      <c r="F16" s="51" t="n"/>
      <c r="G16" s="53" t="n"/>
      <c r="H16" s="52" t="n"/>
      <c r="I16" s="51" t="n"/>
      <c r="J16" s="51" t="n"/>
      <c r="K16" s="53" t="n"/>
      <c r="L16" s="53" t="n"/>
    </row>
    <row r="17">
      <c r="A17" s="51">
        <f>IF(B17&lt;&gt;"",ROW()-4,"")</f>
        <v/>
      </c>
      <c r="B17" s="52" t="n"/>
      <c r="C17" s="51" t="n"/>
      <c r="D17" s="53" t="n"/>
      <c r="E17" s="52" t="n"/>
      <c r="F17" s="51" t="n"/>
      <c r="G17" s="53" t="n"/>
      <c r="H17" s="52" t="n"/>
      <c r="I17" s="51" t="n"/>
      <c r="J17" s="51" t="n"/>
      <c r="K17" s="53" t="n"/>
      <c r="L17" s="53" t="n"/>
    </row>
    <row r="18">
      <c r="A18" s="51">
        <f>IF(B18&lt;&gt;"",ROW()-4,"")</f>
        <v/>
      </c>
      <c r="B18" s="52" t="n"/>
      <c r="C18" s="51" t="n"/>
      <c r="D18" s="53" t="n"/>
      <c r="E18" s="52" t="n"/>
      <c r="F18" s="51" t="n"/>
      <c r="G18" s="53" t="n"/>
      <c r="H18" s="52" t="n"/>
      <c r="I18" s="51" t="n"/>
      <c r="J18" s="51" t="n"/>
      <c r="K18" s="53" t="n"/>
      <c r="L18" s="53" t="n"/>
    </row>
    <row r="19">
      <c r="A19" s="51">
        <f>IF(B19&lt;&gt;"",ROW()-4,"")</f>
        <v/>
      </c>
      <c r="B19" s="52" t="n"/>
      <c r="C19" s="51" t="n"/>
      <c r="D19" s="53" t="n"/>
      <c r="E19" s="52" t="n"/>
      <c r="F19" s="51" t="n"/>
      <c r="G19" s="53" t="n"/>
      <c r="H19" s="52" t="n"/>
      <c r="I19" s="51" t="n"/>
      <c r="J19" s="51" t="n"/>
      <c r="K19" s="53" t="n"/>
      <c r="L19" s="53" t="n"/>
    </row>
    <row r="20">
      <c r="A20" s="51">
        <f>IF(B20&lt;&gt;"",ROW()-4,"")</f>
        <v/>
      </c>
      <c r="B20" s="52" t="n"/>
      <c r="C20" s="51" t="n"/>
      <c r="D20" s="53" t="n"/>
      <c r="E20" s="52" t="n"/>
      <c r="F20" s="51" t="n"/>
      <c r="G20" s="53" t="n"/>
      <c r="H20" s="52" t="n"/>
      <c r="I20" s="51" t="n"/>
      <c r="J20" s="51" t="n"/>
      <c r="K20" s="53" t="n"/>
      <c r="L20" s="53" t="n"/>
    </row>
    <row r="21">
      <c r="A21" s="51">
        <f>IF(B21&lt;&gt;"",ROW()-4,"")</f>
        <v/>
      </c>
      <c r="B21" s="52" t="n"/>
      <c r="C21" s="51" t="n"/>
      <c r="D21" s="53" t="n"/>
      <c r="E21" s="52" t="n"/>
      <c r="F21" s="51" t="n"/>
      <c r="G21" s="53" t="n"/>
      <c r="H21" s="52" t="n"/>
      <c r="I21" s="51" t="n"/>
      <c r="J21" s="51" t="n"/>
      <c r="K21" s="53" t="n"/>
      <c r="L21" s="53" t="n"/>
    </row>
    <row r="22">
      <c r="A22" s="51">
        <f>IF(B22&lt;&gt;"",ROW()-4,"")</f>
        <v/>
      </c>
      <c r="B22" s="52" t="n"/>
      <c r="C22" s="51" t="n"/>
      <c r="D22" s="53" t="n"/>
      <c r="E22" s="52" t="n"/>
      <c r="F22" s="51" t="n"/>
      <c r="G22" s="53" t="n"/>
      <c r="H22" s="52" t="n"/>
      <c r="I22" s="51" t="n"/>
      <c r="J22" s="51" t="n"/>
      <c r="K22" s="53" t="n"/>
      <c r="L22" s="53" t="n"/>
    </row>
    <row r="23">
      <c r="A23" s="51">
        <f>IF(B23&lt;&gt;"",ROW()-4,"")</f>
        <v/>
      </c>
      <c r="B23" s="52" t="n"/>
      <c r="C23" s="51" t="n"/>
      <c r="D23" s="53" t="n"/>
      <c r="E23" s="52" t="n"/>
      <c r="F23" s="51" t="n"/>
      <c r="G23" s="53" t="n"/>
      <c r="H23" s="52" t="n"/>
      <c r="I23" s="51" t="n"/>
      <c r="J23" s="51" t="n"/>
      <c r="K23" s="53" t="n"/>
      <c r="L23" s="53" t="n"/>
    </row>
    <row r="24">
      <c r="A24" s="51">
        <f>IF(B24&lt;&gt;"",ROW()-4,"")</f>
        <v/>
      </c>
      <c r="B24" s="52" t="n"/>
      <c r="C24" s="51" t="n"/>
      <c r="D24" s="53" t="n"/>
      <c r="E24" s="52" t="n"/>
      <c r="F24" s="51" t="n"/>
      <c r="G24" s="53" t="n"/>
      <c r="H24" s="52" t="n"/>
      <c r="I24" s="51" t="n"/>
      <c r="J24" s="51" t="n"/>
      <c r="K24" s="53" t="n"/>
      <c r="L24" s="53" t="n"/>
    </row>
    <row r="25">
      <c r="A25" s="51">
        <f>IF(B25&lt;&gt;"",ROW()-4,"")</f>
        <v/>
      </c>
      <c r="B25" s="52" t="n"/>
      <c r="C25" s="51" t="n"/>
      <c r="D25" s="53" t="n"/>
      <c r="E25" s="52" t="n"/>
      <c r="F25" s="51" t="n"/>
      <c r="G25" s="53" t="n"/>
      <c r="H25" s="52" t="n"/>
      <c r="I25" s="51" t="n"/>
      <c r="J25" s="51" t="n"/>
      <c r="K25" s="53" t="n"/>
      <c r="L25" s="53" t="n"/>
    </row>
    <row r="26">
      <c r="A26" s="51">
        <f>IF(B26&lt;&gt;"",ROW()-4,"")</f>
        <v/>
      </c>
      <c r="B26" s="52" t="n"/>
      <c r="C26" s="51" t="n"/>
      <c r="D26" s="53" t="n"/>
      <c r="E26" s="52" t="n"/>
      <c r="F26" s="51" t="n"/>
      <c r="G26" s="53" t="n"/>
      <c r="H26" s="52" t="n"/>
      <c r="I26" s="51" t="n"/>
      <c r="J26" s="51" t="n"/>
      <c r="K26" s="53" t="n"/>
      <c r="L26" s="53" t="n"/>
    </row>
    <row r="27">
      <c r="A27" s="51">
        <f>IF(B27&lt;&gt;"",ROW()-4,"")</f>
        <v/>
      </c>
      <c r="B27" s="52" t="n"/>
      <c r="C27" s="51" t="n"/>
      <c r="D27" s="53" t="n"/>
      <c r="E27" s="52" t="n"/>
      <c r="F27" s="51" t="n"/>
      <c r="G27" s="53" t="n"/>
      <c r="H27" s="52" t="n"/>
      <c r="I27" s="51" t="n"/>
      <c r="J27" s="51" t="n"/>
      <c r="K27" s="53" t="n"/>
      <c r="L27" s="53" t="n"/>
    </row>
    <row r="28">
      <c r="A28" s="51">
        <f>IF(B28&lt;&gt;"",ROW()-4,"")</f>
        <v/>
      </c>
      <c r="B28" s="52" t="n"/>
      <c r="C28" s="51" t="n"/>
      <c r="D28" s="53" t="n"/>
      <c r="E28" s="52" t="n"/>
      <c r="F28" s="51" t="n"/>
      <c r="G28" s="53" t="n"/>
      <c r="H28" s="52" t="n"/>
      <c r="I28" s="51" t="n"/>
      <c r="J28" s="51" t="n"/>
      <c r="K28" s="53" t="n"/>
      <c r="L28" s="53" t="n"/>
    </row>
    <row r="29">
      <c r="A29" s="51">
        <f>IF(B29&lt;&gt;"",ROW()-4,"")</f>
        <v/>
      </c>
      <c r="B29" s="52" t="n"/>
      <c r="C29" s="51" t="n"/>
      <c r="D29" s="53" t="n"/>
      <c r="E29" s="52" t="n"/>
      <c r="F29" s="51" t="n"/>
      <c r="G29" s="53" t="n"/>
      <c r="H29" s="52" t="n"/>
      <c r="I29" s="51" t="n"/>
      <c r="J29" s="51" t="n"/>
      <c r="K29" s="53" t="n"/>
      <c r="L29" s="53" t="n"/>
    </row>
    <row r="30">
      <c r="A30" s="51">
        <f>IF(B30&lt;&gt;"",ROW()-4,"")</f>
        <v/>
      </c>
      <c r="B30" s="52" t="n"/>
      <c r="C30" s="51" t="n"/>
      <c r="D30" s="53" t="n"/>
      <c r="E30" s="52" t="n"/>
      <c r="F30" s="51" t="n"/>
      <c r="G30" s="53" t="n"/>
      <c r="H30" s="52" t="n"/>
      <c r="I30" s="51" t="n"/>
      <c r="J30" s="51" t="n"/>
      <c r="K30" s="53" t="n"/>
      <c r="L30" s="53" t="n"/>
    </row>
    <row r="31">
      <c r="A31" s="51">
        <f>IF(B31&lt;&gt;"",ROW()-4,"")</f>
        <v/>
      </c>
      <c r="B31" s="52" t="n"/>
      <c r="C31" s="51" t="n"/>
      <c r="D31" s="53" t="n"/>
      <c r="E31" s="52" t="n"/>
      <c r="F31" s="51" t="n"/>
      <c r="G31" s="53" t="n"/>
      <c r="H31" s="52" t="n"/>
      <c r="I31" s="51" t="n"/>
      <c r="J31" s="51" t="n"/>
      <c r="K31" s="53" t="n"/>
      <c r="L31" s="53" t="n"/>
    </row>
    <row r="32">
      <c r="A32" s="51">
        <f>IF(B32&lt;&gt;"",ROW()-4,"")</f>
        <v/>
      </c>
      <c r="B32" s="52" t="n"/>
      <c r="C32" s="51" t="n"/>
      <c r="D32" s="53" t="n"/>
      <c r="E32" s="52" t="n"/>
      <c r="F32" s="51" t="n"/>
      <c r="G32" s="53" t="n"/>
      <c r="H32" s="52" t="n"/>
      <c r="I32" s="51" t="n"/>
      <c r="J32" s="51" t="n"/>
      <c r="K32" s="53" t="n"/>
      <c r="L32" s="53" t="n"/>
    </row>
    <row r="33">
      <c r="A33" s="51">
        <f>IF(B33&lt;&gt;"",ROW()-4,"")</f>
        <v/>
      </c>
      <c r="B33" s="52" t="n"/>
      <c r="C33" s="51" t="n"/>
      <c r="D33" s="53" t="n"/>
      <c r="E33" s="52" t="n"/>
      <c r="F33" s="51" t="n"/>
      <c r="G33" s="53" t="n"/>
      <c r="H33" s="52" t="n"/>
      <c r="I33" s="51" t="n"/>
      <c r="J33" s="51" t="n"/>
      <c r="K33" s="53" t="n"/>
      <c r="L33" s="53" t="n"/>
    </row>
    <row r="34">
      <c r="A34" s="51">
        <f>IF(B34&lt;&gt;"",ROW()-4,"")</f>
        <v/>
      </c>
      <c r="B34" s="52" t="n"/>
      <c r="C34" s="51" t="n"/>
      <c r="D34" s="53" t="n"/>
      <c r="E34" s="52" t="n"/>
      <c r="F34" s="51" t="n"/>
      <c r="G34" s="53" t="n"/>
      <c r="H34" s="52" t="n"/>
      <c r="I34" s="51" t="n"/>
      <c r="J34" s="51" t="n"/>
      <c r="K34" s="53" t="n"/>
      <c r="L34" s="53" t="n"/>
    </row>
    <row r="35">
      <c r="A35" s="51">
        <f>IF(B35&lt;&gt;"",ROW()-4,"")</f>
        <v/>
      </c>
      <c r="B35" s="52" t="n"/>
      <c r="C35" s="51" t="n"/>
      <c r="D35" s="53" t="n"/>
      <c r="E35" s="52" t="n"/>
      <c r="F35" s="51" t="n"/>
      <c r="G35" s="53" t="n"/>
      <c r="H35" s="52" t="n"/>
      <c r="I35" s="51" t="n"/>
      <c r="J35" s="51" t="n"/>
      <c r="K35" s="53" t="n"/>
      <c r="L35" s="53" t="n"/>
    </row>
    <row r="36">
      <c r="A36" s="51">
        <f>IF(B36&lt;&gt;"",ROW()-4,"")</f>
        <v/>
      </c>
      <c r="B36" s="52" t="n"/>
      <c r="C36" s="51" t="n"/>
      <c r="D36" s="53" t="n"/>
      <c r="E36" s="52" t="n"/>
      <c r="F36" s="51" t="n"/>
      <c r="G36" s="53" t="n"/>
      <c r="H36" s="52" t="n"/>
      <c r="I36" s="51" t="n"/>
      <c r="J36" s="51" t="n"/>
      <c r="K36" s="53" t="n"/>
      <c r="L36" s="53" t="n"/>
    </row>
    <row r="37">
      <c r="A37" s="51">
        <f>IF(B37&lt;&gt;"",ROW()-4,"")</f>
        <v/>
      </c>
      <c r="B37" s="52" t="n"/>
      <c r="C37" s="51" t="n"/>
      <c r="D37" s="53" t="n"/>
      <c r="E37" s="52" t="n"/>
      <c r="F37" s="51" t="n"/>
      <c r="G37" s="53" t="n"/>
      <c r="H37" s="52" t="n"/>
      <c r="I37" s="51" t="n"/>
      <c r="J37" s="51" t="n"/>
      <c r="K37" s="53" t="n"/>
      <c r="L37" s="53" t="n"/>
    </row>
    <row r="38">
      <c r="A38" s="51">
        <f>IF(B38&lt;&gt;"",ROW()-4,"")</f>
        <v/>
      </c>
      <c r="B38" s="52" t="n"/>
      <c r="C38" s="51" t="n"/>
      <c r="D38" s="53" t="n"/>
      <c r="E38" s="52" t="n"/>
      <c r="F38" s="51" t="n"/>
      <c r="G38" s="53" t="n"/>
      <c r="H38" s="52" t="n"/>
      <c r="I38" s="51" t="n"/>
      <c r="J38" s="51" t="n"/>
      <c r="K38" s="53" t="n"/>
      <c r="L38" s="53" t="n"/>
    </row>
    <row r="39">
      <c r="A39" s="51">
        <f>IF(B39&lt;&gt;"",ROW()-4,"")</f>
        <v/>
      </c>
      <c r="B39" s="52" t="n"/>
      <c r="C39" s="51" t="n"/>
      <c r="D39" s="53" t="n"/>
      <c r="E39" s="52" t="n"/>
      <c r="F39" s="51" t="n"/>
      <c r="G39" s="53" t="n"/>
      <c r="H39" s="52" t="n"/>
      <c r="I39" s="51" t="n"/>
      <c r="J39" s="51" t="n"/>
      <c r="K39" s="53" t="n"/>
      <c r="L39" s="53" t="n"/>
    </row>
    <row r="40">
      <c r="A40" s="51">
        <f>IF(B40&lt;&gt;"",ROW()-4,"")</f>
        <v/>
      </c>
      <c r="B40" s="52" t="n"/>
      <c r="C40" s="51" t="n"/>
      <c r="D40" s="53" t="n"/>
      <c r="E40" s="52" t="n"/>
      <c r="F40" s="51" t="n"/>
      <c r="G40" s="53" t="n"/>
      <c r="H40" s="52" t="n"/>
      <c r="I40" s="51" t="n"/>
      <c r="J40" s="51" t="n"/>
      <c r="K40" s="53" t="n"/>
      <c r="L40" s="53" t="n"/>
    </row>
    <row r="41">
      <c r="A41" s="51">
        <f>IF(B41&lt;&gt;"",ROW()-4,"")</f>
        <v/>
      </c>
      <c r="B41" s="52" t="n"/>
      <c r="C41" s="51" t="n"/>
      <c r="D41" s="53" t="n"/>
      <c r="E41" s="52" t="n"/>
      <c r="F41" s="51" t="n"/>
      <c r="G41" s="53" t="n"/>
      <c r="H41" s="52" t="n"/>
      <c r="I41" s="51" t="n"/>
      <c r="J41" s="51" t="n"/>
      <c r="K41" s="53" t="n"/>
      <c r="L41" s="53" t="n"/>
    </row>
    <row r="42">
      <c r="A42" s="51">
        <f>IF(B42&lt;&gt;"",ROW()-4,"")</f>
        <v/>
      </c>
      <c r="B42" s="52" t="n"/>
      <c r="C42" s="51" t="n"/>
      <c r="D42" s="53" t="n"/>
      <c r="E42" s="52" t="n"/>
      <c r="F42" s="51" t="n"/>
      <c r="G42" s="53" t="n"/>
      <c r="H42" s="52" t="n"/>
      <c r="I42" s="51" t="n"/>
      <c r="J42" s="51" t="n"/>
      <c r="K42" s="53" t="n"/>
      <c r="L42" s="53" t="n"/>
    </row>
    <row r="43">
      <c r="A43" s="51">
        <f>IF(B43&lt;&gt;"",ROW()-4,"")</f>
        <v/>
      </c>
      <c r="B43" s="52" t="n"/>
      <c r="C43" s="51" t="n"/>
      <c r="D43" s="53" t="n"/>
      <c r="E43" s="52" t="n"/>
      <c r="F43" s="51" t="n"/>
      <c r="G43" s="53" t="n"/>
      <c r="H43" s="52" t="n"/>
      <c r="I43" s="51" t="n"/>
      <c r="J43" s="51" t="n"/>
      <c r="K43" s="53" t="n"/>
      <c r="L43" s="53" t="n"/>
    </row>
    <row r="44">
      <c r="A44" s="51">
        <f>IF(B44&lt;&gt;"",ROW()-4,"")</f>
        <v/>
      </c>
      <c r="B44" s="52" t="n"/>
      <c r="C44" s="51" t="n"/>
      <c r="D44" s="53" t="n"/>
      <c r="E44" s="52" t="n"/>
      <c r="F44" s="51" t="n"/>
      <c r="G44" s="53" t="n"/>
      <c r="H44" s="52" t="n"/>
      <c r="I44" s="51" t="n"/>
      <c r="J44" s="51" t="n"/>
      <c r="K44" s="53" t="n"/>
      <c r="L44" s="53" t="n"/>
    </row>
    <row r="45">
      <c r="A45" s="51">
        <f>IF(B45&lt;&gt;"",ROW()-4,"")</f>
        <v/>
      </c>
      <c r="B45" s="52" t="n"/>
      <c r="C45" s="51" t="n"/>
      <c r="D45" s="53" t="n"/>
      <c r="E45" s="52" t="n"/>
      <c r="F45" s="51" t="n"/>
      <c r="G45" s="53" t="n"/>
      <c r="H45" s="52" t="n"/>
      <c r="I45" s="51" t="n"/>
      <c r="J45" s="51" t="n"/>
      <c r="K45" s="53" t="n"/>
      <c r="L45" s="53" t="n"/>
    </row>
    <row r="46">
      <c r="A46" s="51">
        <f>IF(B46&lt;&gt;"",ROW()-4,"")</f>
        <v/>
      </c>
      <c r="B46" s="52" t="n"/>
      <c r="C46" s="51" t="n"/>
      <c r="D46" s="53" t="n"/>
      <c r="E46" s="52" t="n"/>
      <c r="F46" s="51" t="n"/>
      <c r="G46" s="53" t="n"/>
      <c r="H46" s="52" t="n"/>
      <c r="I46" s="51" t="n"/>
      <c r="J46" s="51" t="n"/>
      <c r="K46" s="53" t="n"/>
      <c r="L46" s="53" t="n"/>
    </row>
    <row r="47">
      <c r="A47" s="51">
        <f>IF(B47&lt;&gt;"",ROW()-4,"")</f>
        <v/>
      </c>
      <c r="B47" s="52" t="n"/>
      <c r="C47" s="51" t="n"/>
      <c r="D47" s="53" t="n"/>
      <c r="E47" s="52" t="n"/>
      <c r="F47" s="51" t="n"/>
      <c r="G47" s="53" t="n"/>
      <c r="H47" s="52" t="n"/>
      <c r="I47" s="51" t="n"/>
      <c r="J47" s="51" t="n"/>
      <c r="K47" s="53" t="n"/>
      <c r="L47" s="53" t="n"/>
    </row>
    <row r="48">
      <c r="A48" s="51">
        <f>IF(B48&lt;&gt;"",ROW()-4,"")</f>
        <v/>
      </c>
      <c r="B48" s="52" t="n"/>
      <c r="C48" s="51" t="n"/>
      <c r="D48" s="53" t="n"/>
      <c r="E48" s="52" t="n"/>
      <c r="F48" s="51" t="n"/>
      <c r="G48" s="53" t="n"/>
      <c r="H48" s="52" t="n"/>
      <c r="I48" s="51" t="n"/>
      <c r="J48" s="51" t="n"/>
      <c r="K48" s="53" t="n"/>
      <c r="L48" s="53" t="n"/>
    </row>
    <row r="49">
      <c r="A49" s="51">
        <f>IF(B49&lt;&gt;"",ROW()-4,"")</f>
        <v/>
      </c>
      <c r="B49" s="52" t="n"/>
      <c r="C49" s="51" t="n"/>
      <c r="D49" s="53" t="n"/>
      <c r="E49" s="52" t="n"/>
      <c r="F49" s="51" t="n"/>
      <c r="G49" s="53" t="n"/>
      <c r="H49" s="52" t="n"/>
      <c r="I49" s="51" t="n"/>
      <c r="J49" s="51" t="n"/>
      <c r="K49" s="53" t="n"/>
      <c r="L49" s="53" t="n"/>
    </row>
    <row r="50">
      <c r="A50" s="51">
        <f>IF(B50&lt;&gt;"",ROW()-4,"")</f>
        <v/>
      </c>
      <c r="B50" s="52" t="n"/>
      <c r="C50" s="51" t="n"/>
      <c r="D50" s="53" t="n"/>
      <c r="E50" s="52" t="n"/>
      <c r="F50" s="51" t="n"/>
      <c r="G50" s="53" t="n"/>
      <c r="H50" s="52" t="n"/>
      <c r="I50" s="51" t="n"/>
      <c r="J50" s="51" t="n"/>
      <c r="K50" s="53" t="n"/>
      <c r="L50" s="53" t="n"/>
    </row>
    <row r="51">
      <c r="A51" s="51">
        <f>IF(B51&lt;&gt;"",ROW()-4,"")</f>
        <v/>
      </c>
      <c r="B51" s="52" t="n"/>
      <c r="C51" s="51" t="n"/>
      <c r="D51" s="53" t="n"/>
      <c r="E51" s="52" t="n"/>
      <c r="F51" s="51" t="n"/>
      <c r="G51" s="53" t="n"/>
      <c r="H51" s="52" t="n"/>
      <c r="I51" s="51" t="n"/>
      <c r="J51" s="51" t="n"/>
      <c r="K51" s="53" t="n"/>
      <c r="L51" s="53" t="n"/>
    </row>
    <row r="52">
      <c r="A52" s="51">
        <f>IF(B52&lt;&gt;"",ROW()-4,"")</f>
        <v/>
      </c>
      <c r="B52" s="52" t="n"/>
      <c r="C52" s="51" t="n"/>
      <c r="D52" s="53" t="n"/>
      <c r="E52" s="52" t="n"/>
      <c r="F52" s="51" t="n"/>
      <c r="G52" s="53" t="n"/>
      <c r="H52" s="52" t="n"/>
      <c r="I52" s="51" t="n"/>
      <c r="J52" s="51" t="n"/>
      <c r="K52" s="53" t="n"/>
      <c r="L52" s="53" t="n"/>
    </row>
    <row r="53">
      <c r="A53" s="51">
        <f>IF(B53&lt;&gt;"",ROW()-4,"")</f>
        <v/>
      </c>
      <c r="B53" s="52" t="n"/>
      <c r="C53" s="51" t="n"/>
      <c r="D53" s="53" t="n"/>
      <c r="E53" s="52" t="n"/>
      <c r="F53" s="51" t="n"/>
      <c r="G53" s="53" t="n"/>
      <c r="H53" s="52" t="n"/>
      <c r="I53" s="51" t="n"/>
      <c r="J53" s="51" t="n"/>
      <c r="K53" s="53" t="n"/>
      <c r="L53" s="53" t="n"/>
    </row>
    <row r="54">
      <c r="A54" s="51">
        <f>IF(B54&lt;&gt;"",ROW()-4,"")</f>
        <v/>
      </c>
      <c r="B54" s="52" t="n"/>
      <c r="C54" s="51" t="n"/>
      <c r="D54" s="53" t="n"/>
      <c r="E54" s="52" t="n"/>
      <c r="F54" s="51" t="n"/>
      <c r="G54" s="53" t="n"/>
      <c r="H54" s="52" t="n"/>
      <c r="I54" s="51" t="n"/>
      <c r="J54" s="51" t="n"/>
      <c r="K54" s="53" t="n"/>
      <c r="L54" s="53" t="n"/>
    </row>
  </sheetData>
  <autoFilter ref="A4:L54"/>
  <mergeCells count="4">
    <mergeCell ref="H2:L2"/>
    <mergeCell ref="H3:L3"/>
    <mergeCell ref="A1:L1"/>
    <mergeCell ref="A3:G3"/>
  </mergeCells>
  <conditionalFormatting sqref="J5:J504">
    <cfRule type="cellIs" priority="1" operator="equal" dxfId="3" stopIfTrue="1">
      <formula>"A"</formula>
    </cfRule>
    <cfRule type="cellIs" priority="2" operator="equal" dxfId="4" stopIfTrue="1">
      <formula>"B"</formula>
    </cfRule>
    <cfRule type="cellIs" priority="3" operator="equal" dxfId="5" stopIfTrue="1">
      <formula>"C"</formula>
    </cfRule>
    <cfRule type="cellIs" priority="4" operator="equal" dxfId="2" stopIfTrue="1">
      <formula>"D"</formula>
    </cfRule>
  </conditionalFormatting>
  <conditionalFormatting sqref="A5:L504">
    <cfRule type="expression" priority="5" dxfId="6" stopIfTrue="0">
      <formula>AND($B5&lt;&gt;"",$H5&lt;&gt;"")</formula>
    </cfRule>
    <cfRule type="expression" priority="6" dxfId="7" stopIfTrue="0">
      <formula>AND($B5&lt;&gt;"",$H5="")</formula>
    </cfRule>
    <cfRule type="expression" priority="7" dxfId="8" stopIfTrue="1">
      <formula>AND($B5&lt;&gt;"",$E5="",(TODAY()-$B5)&gt;14)</formula>
    </cfRule>
  </conditionalFormatting>
  <conditionalFormatting sqref="A5:A504">
    <cfRule type="expression" priority="8" dxfId="9" stopIfTrue="0">
      <formula>AND($B5&lt;&gt;"",(TODAY()-$B5)&lt;=7)</formula>
    </cfRule>
  </conditionalFormatting>
  <dataValidations count="3">
    <dataValidation sqref="C5:C504 F5:F504 I5:I504" showDropDown="0" showInputMessage="0" showErrorMessage="0" allowBlank="1" errorTitle="Ungültiger Name" error="Bitte einen Namen aus der Liste wählen" promptTitle="Mitarbeiter" prompt="Name auswählen" type="list">
      <formula1>=NamenListe</formula1>
    </dataValidation>
    <dataValidation sqref="J5:J504" showDropDown="0" showInputMessage="0" showErrorMessage="0" allowBlank="1" errorTitle="Ungültige Kategorie" error="Bitte A, B, C oder D wählen" promptTitle="Fehlerkategorie" prompt="Kategorie wählen (A-D)" type="list">
      <formula1>=KatListe</formula1>
    </dataValidation>
    <dataValidation sqref="L5:L504" showDropDown="0" showInputMessage="0" showErrorMessage="0" allowBlank="1" errorTitle="Ungültige Auswahl" error="Bitte aus der Liste wählen" promptTitle="REKO / Besprochen" prompt="Besprechungsart wählen" type="list">
      <formula1>=REKOListe</formula1>
    </dataValidation>
  </dataValidations>
  <hyperlinks>
    <hyperlink xmlns:r="http://schemas.openxmlformats.org/officeDocument/2006/relationships" ref="A3" r:id="rId1"/>
  </hyperlinks>
  <pageMargins left="0.4" right="0.4" top="0.6" bottom="0.6" header="0.3" footer="0.3"/>
  <pageSetup orientation="landscape" paperSize="9" fitToHeight="0" fitToWidth="1"/>
  <headerFooter>
    <oddHeader>&amp;C&amp;10 LARIS - Hygiene</oddHeader>
    <oddFooter>&amp;LWerksärztlicher Dienst Mercedes-Benz&amp;RSeite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DC3545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50" customWidth="1" min="4" max="4"/>
  </cols>
  <sheetData>
    <row r="1" ht="30" customHeight="1">
      <c r="A1" s="6" t="inlineStr">
        <is>
          <t>Kategorie</t>
        </is>
      </c>
      <c r="B1" s="6" t="inlineStr">
        <is>
          <t>Beschreibung</t>
        </is>
      </c>
      <c r="C1" s="6" t="inlineStr">
        <is>
          <t>Details</t>
        </is>
      </c>
      <c r="D1" s="6" t="inlineStr">
        <is>
          <t>Beispiele</t>
        </is>
      </c>
    </row>
    <row r="2" ht="60" customHeight="1">
      <c r="A2" s="54" t="inlineStr">
        <is>
          <t>D</t>
        </is>
      </c>
      <c r="B2" s="55" t="inlineStr">
        <is>
          <t>Fehler mit gravierenden Folgen</t>
        </is>
      </c>
      <c r="C2" s="56" t="inlineStr">
        <is>
          <t>daraus resultierende schwere Gesundheitsschäden, wesentliche finanzielle Nachteile oder ein erheblicher Imageverlust</t>
        </is>
      </c>
      <c r="D2" s="56" t="inlineStr">
        <is>
          <t>gesetzl. vorgeschriebene Unterweisungen oder Überprüfungen liegen nicht vor, Behandlungsfehler mit Konsequenzen, Defekte von Notfallgeräten</t>
        </is>
      </c>
    </row>
    <row r="3" ht="60" customHeight="1">
      <c r="A3" s="57" t="inlineStr">
        <is>
          <t>C</t>
        </is>
      </c>
      <c r="B3" s="58" t="inlineStr">
        <is>
          <t>Fehler mit leichten bis mittelschweren Folgen</t>
        </is>
      </c>
      <c r="C3" s="59" t="inlineStr">
        <is>
          <t>Fehler mit Gesundheitsschäden, Einsatzfähigkeit HSM gefährdet, Fehler führte zu externer Kundenbeschwerde, Vorgegebener Standard wird nicht durchgeführt</t>
        </is>
      </c>
      <c r="D3" s="59" t="inlineStr">
        <is>
          <t>Behandlungsfehler ohne Konsequenzen, Termin- oder Materialkonflikt nicht rechtzeitig erkannt, Ausgang von Medikamenten, NADOK Protokolle nicht vollständig ausgefüllt</t>
        </is>
      </c>
    </row>
    <row r="4" ht="60" customHeight="1">
      <c r="A4" s="60" t="inlineStr">
        <is>
          <t>B</t>
        </is>
      </c>
      <c r="B4" s="61" t="inlineStr">
        <is>
          <t>Beinahefehler ohne Folgen</t>
        </is>
      </c>
      <c r="C4" s="62" t="inlineStr">
        <is>
          <t>ein Fehler wurde noch vor seinem wirksamen Eintreten erkannt, bzw. durch Gegenmaßnahmen können Folgen noch abgefangen werden</t>
        </is>
      </c>
      <c r="D4" s="62" t="inlineStr">
        <is>
          <t>Termin- oder Materialkonflikt gerade noch rechtzeitig erkannt und behoben</t>
        </is>
      </c>
    </row>
    <row r="5" ht="60" customHeight="1">
      <c r="A5" s="63" t="inlineStr">
        <is>
          <t>A</t>
        </is>
      </c>
      <c r="B5" s="64" t="inlineStr">
        <is>
          <t>unsichere Handlung</t>
        </is>
      </c>
      <c r="C5" s="65" t="inlineStr">
        <is>
          <t>es wird unsauber gearbeitet, aber es entsteht kein Schaden</t>
        </is>
      </c>
      <c r="D5" s="65" t="inlineStr">
        <is>
          <t>Vorgaben werden nicht eingehalten, z.B. Eintrag der RTW Checks in FB 260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66666"/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25" customWidth="1" min="4" max="4"/>
    <col width="22" customWidth="1" min="6" max="6"/>
    <col width="30" customWidth="1" min="8" max="8"/>
    <col width="18" customWidth="1" min="10" max="10"/>
  </cols>
  <sheetData>
    <row r="1" ht="30" customHeight="1">
      <c r="A1" s="45" t="inlineStr">
        <is>
          <t>Mitarbeiterliste &amp; E-Mail-Adressen</t>
        </is>
      </c>
    </row>
    <row r="2">
      <c r="A2" s="6" t="inlineStr">
        <is>
          <t>Name</t>
        </is>
      </c>
      <c r="B2" s="6" t="inlineStr">
        <is>
          <t>E-Mail</t>
        </is>
      </c>
      <c r="C2" s="6" t="inlineStr">
        <is>
          <t>Funktion/Bereich</t>
        </is>
      </c>
      <c r="D2" s="6" t="inlineStr">
        <is>
          <t>Notiz</t>
        </is>
      </c>
    </row>
    <row r="3">
      <c r="A3" s="66" t="inlineStr">
        <is>
          <t>Dr. Markus Frei</t>
        </is>
      </c>
      <c r="B3" s="66" t="inlineStr">
        <is>
          <t>markus.frei@mercedes-benz.com</t>
        </is>
      </c>
      <c r="C3" s="67" t="inlineStr">
        <is>
          <t>Arzt</t>
        </is>
      </c>
      <c r="D3" s="66" t="inlineStr"/>
    </row>
    <row r="4">
      <c r="A4" s="68" t="inlineStr">
        <is>
          <t>Dr. Sabine Schmidt</t>
        </is>
      </c>
      <c r="B4" s="68" t="inlineStr">
        <is>
          <t>sabine.m.schmidt@mercedes-benz.com</t>
        </is>
      </c>
      <c r="C4" s="69" t="inlineStr">
        <is>
          <t>Ärztin</t>
        </is>
      </c>
      <c r="D4" s="68" t="inlineStr"/>
    </row>
    <row r="5">
      <c r="A5" s="66" t="inlineStr">
        <is>
          <t>Dr. Lilla Vitez</t>
        </is>
      </c>
      <c r="B5" s="66" t="inlineStr">
        <is>
          <t>lilla.vitez@mercedes-benz.com</t>
        </is>
      </c>
      <c r="C5" s="67" t="inlineStr">
        <is>
          <t>Ärztin</t>
        </is>
      </c>
      <c r="D5" s="66" t="inlineStr"/>
    </row>
    <row r="6">
      <c r="A6" s="68" t="inlineStr">
        <is>
          <t>Bernd Breig</t>
        </is>
      </c>
      <c r="B6" s="68" t="inlineStr">
        <is>
          <t>bernd.breig@mercedes-benz.com</t>
        </is>
      </c>
      <c r="C6" s="69" t="inlineStr">
        <is>
          <t>Stv. Med.&amp;Verbr.-stoff</t>
        </is>
      </c>
      <c r="D6" s="68" t="inlineStr"/>
    </row>
    <row r="7">
      <c r="A7" s="66" t="inlineStr">
        <is>
          <t>Elke Krempl</t>
        </is>
      </c>
      <c r="B7" s="66" t="inlineStr">
        <is>
          <t>elke.krempl@mercedes-benz.com</t>
        </is>
      </c>
      <c r="C7" s="67" t="inlineStr">
        <is>
          <t>Mitarbeiterin</t>
        </is>
      </c>
      <c r="D7" s="66" t="inlineStr"/>
    </row>
    <row r="8">
      <c r="A8" s="68" t="inlineStr">
        <is>
          <t>Emanuel Siebert</t>
        </is>
      </c>
      <c r="B8" s="68" t="inlineStr">
        <is>
          <t>emanuel.siebert@mercedes-benz.com</t>
        </is>
      </c>
      <c r="C8" s="69" t="inlineStr">
        <is>
          <t>Leiter EDV</t>
        </is>
      </c>
      <c r="D8" s="68" t="inlineStr"/>
    </row>
    <row r="9">
      <c r="A9" s="66" t="inlineStr">
        <is>
          <t>Walter Putschler</t>
        </is>
      </c>
      <c r="B9" s="66" t="inlineStr">
        <is>
          <t>walter.putschler@mercedes-benz.com</t>
        </is>
      </c>
      <c r="C9" s="67" t="inlineStr">
        <is>
          <t>Leiter Ablauf&amp;Prozessprobleme</t>
        </is>
      </c>
      <c r="D9" s="66" t="inlineStr">
        <is>
          <t>BCC-Empfänger</t>
        </is>
      </c>
    </row>
    <row r="10">
      <c r="A10" s="68" t="inlineStr">
        <is>
          <t>Benjamin Jochim</t>
        </is>
      </c>
      <c r="B10" s="68" t="inlineStr">
        <is>
          <t>benjamin.jochim@mercedes-benz.com</t>
        </is>
      </c>
      <c r="C10" s="69" t="inlineStr">
        <is>
          <t>Mitarbeiter</t>
        </is>
      </c>
      <c r="D10" s="68" t="inlineStr"/>
    </row>
    <row r="11">
      <c r="A11" s="66" t="inlineStr">
        <is>
          <t>Harry Zuber</t>
        </is>
      </c>
      <c r="B11" s="66" t="inlineStr">
        <is>
          <t>harry.zuber@mercedes-benz.com</t>
        </is>
      </c>
      <c r="C11" s="67" t="inlineStr">
        <is>
          <t>Mitarbeiter</t>
        </is>
      </c>
      <c r="D11" s="66" t="inlineStr"/>
    </row>
    <row r="12">
      <c r="A12" s="68" t="inlineStr">
        <is>
          <t>Markus Göpfrich</t>
        </is>
      </c>
      <c r="B12" s="68" t="inlineStr">
        <is>
          <t>Markus.Goepfrich@mercedes-benz.com</t>
        </is>
      </c>
      <c r="C12" s="69" t="inlineStr">
        <is>
          <t>Leiter RTW &amp; MPG</t>
        </is>
      </c>
      <c r="D12" s="68" t="inlineStr">
        <is>
          <t>Name im Dropdown: Göpfrich</t>
        </is>
      </c>
    </row>
    <row r="13">
      <c r="A13" s="66" t="inlineStr">
        <is>
          <t>Tobias Zeller</t>
        </is>
      </c>
      <c r="B13" s="66" t="inlineStr">
        <is>
          <t>tobias_felix.zeller@mercedes-benz.com</t>
        </is>
      </c>
      <c r="C13" s="67" t="inlineStr">
        <is>
          <t>Leiter Med.&amp;Verbr.-stoff</t>
        </is>
      </c>
      <c r="D13" s="66" t="inlineStr"/>
    </row>
    <row r="14">
      <c r="A14" s="68" t="inlineStr">
        <is>
          <t>Emily Kim Schmidt</t>
        </is>
      </c>
      <c r="B14" s="68" t="inlineStr">
        <is>
          <t>emily_kim.schmidt@mercedes-benz.com</t>
        </is>
      </c>
      <c r="C14" s="69" t="inlineStr">
        <is>
          <t>Leiterin Sekretariat</t>
        </is>
      </c>
      <c r="D14" s="68" t="inlineStr"/>
    </row>
    <row r="15">
      <c r="A15" s="66" t="inlineStr">
        <is>
          <t>Katrin Zieger-Buchta</t>
        </is>
      </c>
      <c r="B15" s="66" t="inlineStr">
        <is>
          <t>katrin.zieger-buchta@mercedes-benz.com</t>
        </is>
      </c>
      <c r="C15" s="67" t="inlineStr">
        <is>
          <t>Leiterin BGF</t>
        </is>
      </c>
      <c r="D15" s="66" t="inlineStr"/>
    </row>
    <row r="16">
      <c r="A16" s="68" t="inlineStr">
        <is>
          <t>Susanne Müller-Horn</t>
        </is>
      </c>
      <c r="B16" s="68" t="inlineStr">
        <is>
          <t>Susanne.Mueller-Horn@mercedes-benz.com</t>
        </is>
      </c>
      <c r="C16" s="69" t="inlineStr">
        <is>
          <t>Stv. BGF</t>
        </is>
      </c>
      <c r="D16" s="68" t="inlineStr"/>
    </row>
    <row r="17">
      <c r="A17" s="66" t="inlineStr">
        <is>
          <t>Larissa Radimersky</t>
        </is>
      </c>
      <c r="B17" s="66" t="inlineStr">
        <is>
          <t>larissa.radimersky@mercedes-benz.com</t>
        </is>
      </c>
      <c r="C17" s="67" t="inlineStr">
        <is>
          <t>Stv. Sekretariat</t>
        </is>
      </c>
      <c r="D17" s="66" t="inlineStr"/>
    </row>
    <row r="18">
      <c r="A18" s="68" t="inlineStr">
        <is>
          <t>Fabian Wunsch</t>
        </is>
      </c>
      <c r="B18" s="68" t="inlineStr">
        <is>
          <t>Fabian.Wunsch@mercedes-benz.com</t>
        </is>
      </c>
      <c r="C18" s="69" t="inlineStr">
        <is>
          <t>Leiter WD-Fzg, Org. Ambulanz, Hygiene</t>
        </is>
      </c>
      <c r="D18" s="68" t="inlineStr"/>
    </row>
    <row r="22">
      <c r="F22" s="38" t="inlineStr">
        <is>
          <t>Dropdown: Namen</t>
        </is>
      </c>
      <c r="H22" s="38" t="inlineStr">
        <is>
          <t>Dropdown: REKO</t>
        </is>
      </c>
      <c r="J22" s="38" t="inlineStr">
        <is>
          <t>Dropdown: Kategorie</t>
        </is>
      </c>
    </row>
    <row r="23">
      <c r="F23" s="37" t="inlineStr">
        <is>
          <t>Breig</t>
        </is>
      </c>
      <c r="H23" s="37" t="inlineStr">
        <is>
          <t>REKO</t>
        </is>
      </c>
      <c r="J23" s="37" t="inlineStr">
        <is>
          <t>A</t>
        </is>
      </c>
    </row>
    <row r="24">
      <c r="F24" s="37" t="inlineStr">
        <is>
          <t>Dr. Vitez</t>
        </is>
      </c>
      <c r="H24" s="37" t="inlineStr">
        <is>
          <t>Nicht erforderlich</t>
        </is>
      </c>
      <c r="J24" s="37" t="inlineStr">
        <is>
          <t>B</t>
        </is>
      </c>
    </row>
    <row r="25">
      <c r="F25" s="37" t="inlineStr">
        <is>
          <t>Dr.Frei</t>
        </is>
      </c>
      <c r="H25" s="37" t="inlineStr">
        <is>
          <t>Besprochen mit  Dr.Frei</t>
        </is>
      </c>
      <c r="J25" s="37" t="inlineStr">
        <is>
          <t>C</t>
        </is>
      </c>
    </row>
    <row r="26">
      <c r="F26" s="37" t="inlineStr">
        <is>
          <t>Dr.Schmidt</t>
        </is>
      </c>
      <c r="H26" s="37" t="inlineStr">
        <is>
          <t>Besprochen mit  Dr.Schmidt</t>
        </is>
      </c>
      <c r="J26" s="37" t="inlineStr">
        <is>
          <t>D</t>
        </is>
      </c>
    </row>
    <row r="27">
      <c r="F27" s="37" t="inlineStr">
        <is>
          <t>Göpfrich</t>
        </is>
      </c>
      <c r="H27" s="37" t="inlineStr">
        <is>
          <t>Besprochen mit  Dr. Vitez</t>
        </is>
      </c>
    </row>
    <row r="28">
      <c r="F28" s="37" t="inlineStr">
        <is>
          <t>Jochim</t>
        </is>
      </c>
      <c r="H28" s="37" t="inlineStr">
        <is>
          <t>Besprochen mit  Breig</t>
        </is>
      </c>
    </row>
    <row r="29">
      <c r="F29" s="37" t="inlineStr">
        <is>
          <t>Krempl</t>
        </is>
      </c>
      <c r="H29" s="37" t="inlineStr">
        <is>
          <t>Besprochen mit  Krempl</t>
        </is>
      </c>
    </row>
    <row r="30">
      <c r="F30" s="37" t="inlineStr">
        <is>
          <t>Müller-Horn</t>
        </is>
      </c>
      <c r="H30" s="37" t="inlineStr">
        <is>
          <t>Besprochen mit  Siebert</t>
        </is>
      </c>
    </row>
    <row r="31">
      <c r="F31" s="37" t="inlineStr">
        <is>
          <t>Putschler</t>
        </is>
      </c>
      <c r="H31" s="37" t="inlineStr">
        <is>
          <t>Besprochen mit  Putschler</t>
        </is>
      </c>
    </row>
    <row r="32">
      <c r="F32" s="37" t="inlineStr">
        <is>
          <t>Radimersky</t>
        </is>
      </c>
      <c r="H32" s="37" t="inlineStr">
        <is>
          <t>Besprochen mit  Jochim</t>
        </is>
      </c>
    </row>
    <row r="33">
      <c r="F33" s="37" t="inlineStr">
        <is>
          <t>Schmidt</t>
        </is>
      </c>
      <c r="H33" s="37" t="inlineStr">
        <is>
          <t>Besprochen mit  Zuber</t>
        </is>
      </c>
    </row>
    <row r="34">
      <c r="F34" s="37" t="inlineStr">
        <is>
          <t>Siebert</t>
        </is>
      </c>
      <c r="H34" s="37" t="inlineStr">
        <is>
          <t>Besprochen mit  Göpfrich</t>
        </is>
      </c>
    </row>
    <row r="35">
      <c r="F35" s="37" t="inlineStr">
        <is>
          <t>Wunsch</t>
        </is>
      </c>
      <c r="H35" s="37" t="inlineStr">
        <is>
          <t>Besprochen mit  Jochim</t>
        </is>
      </c>
    </row>
    <row r="36">
      <c r="F36" s="37" t="inlineStr">
        <is>
          <t>Zeller</t>
        </is>
      </c>
      <c r="H36" s="37" t="inlineStr">
        <is>
          <t>Besprochen mit  Wunsch</t>
        </is>
      </c>
    </row>
    <row r="37">
      <c r="F37" s="37" t="inlineStr">
        <is>
          <t>Zieger-Buchta</t>
        </is>
      </c>
      <c r="H37" s="37" t="inlineStr">
        <is>
          <t>Besprochen mit  Zeller</t>
        </is>
      </c>
    </row>
    <row r="38">
      <c r="F38" s="37" t="inlineStr">
        <is>
          <t>Zuber</t>
        </is>
      </c>
      <c r="H38" s="37" t="inlineStr">
        <is>
          <t>Besprochen mit  Schmidt</t>
        </is>
      </c>
    </row>
    <row r="39">
      <c r="H39" s="37" t="inlineStr">
        <is>
          <t>Besprochen mit  Zieger-Buchta</t>
        </is>
      </c>
    </row>
    <row r="40">
      <c r="H40" s="37" t="inlineStr">
        <is>
          <t>Besprochen mit  Müller-Horn</t>
        </is>
      </c>
    </row>
    <row r="41">
      <c r="H41" s="37" t="inlineStr">
        <is>
          <t>Besprochen mit  Radimersky</t>
        </is>
      </c>
    </row>
    <row r="42">
      <c r="H42" s="37" t="inlineStr">
        <is>
          <t>Besprochen mit  Wunsch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2026-02-08T23:05:31Z</dcterms:created>
  <dcterms:modified xsi:type="dcterms:W3CDTF">2026-02-08T23:05:32Z</dcterms:modified>
</cp:coreProperties>
</file>