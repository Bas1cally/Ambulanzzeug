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fo" sheetId="2" state="visible" r:id="rId2"/>
    <sheet name="Sekretariat" sheetId="3" state="visible" r:id="rId3"/>
    <sheet name="EDV" sheetId="4" state="visible" r:id="rId4"/>
    <sheet name="Med.&amp;Verbr.-stoff" sheetId="5" state="visible" r:id="rId5"/>
    <sheet name="WD-Fzg &amp; Schutzkleidg" sheetId="6" state="visible" r:id="rId6"/>
    <sheet name="RTW &amp; MPG" sheetId="7" state="visible" r:id="rId7"/>
    <sheet name="Organisation Ambulanz" sheetId="8" state="visible" r:id="rId8"/>
    <sheet name="Ablauf&amp;Prozessprobleme" sheetId="9" state="visible" r:id="rId9"/>
    <sheet name="BGF" sheetId="10" state="visible" r:id="rId10"/>
    <sheet name="Hygiene" sheetId="11" state="visible" r:id="rId11"/>
    <sheet name="Fehlerkategorien" sheetId="12" state="visible" r:id="rId12"/>
    <sheet name="Hilfslisten" sheetId="13" state="visible" r:id="rId13"/>
  </sheets>
  <definedNames>
    <definedName name="NamenListe">Hilfslisten!$F$23:$F$38</definedName>
    <definedName name="REKOListe">Hilfslisten!$H$23:$H$40</definedName>
    <definedName name="KatListe">Hilfslisten!$J$23:$J$26</definedName>
    <definedName name="_xlnm._FilterDatabase" localSheetId="2" hidden="1">'Sekretariat'!$A$4:$L$54</definedName>
    <definedName name="_xlnm.Print_Titles" localSheetId="2">'Sekretariat'!$4:$4</definedName>
    <definedName name="_xlnm._FilterDatabase" localSheetId="3" hidden="1">'EDV'!$A$4:$L$54</definedName>
    <definedName name="_xlnm.Print_Titles" localSheetId="3">'EDV'!$4:$4</definedName>
    <definedName name="_xlnm._FilterDatabase" localSheetId="4" hidden="1">'Med.&amp;Verbr.-stoff'!$A$4:$L$54</definedName>
    <definedName name="_xlnm.Print_Titles" localSheetId="4">'Med.&amp;Verbr.-stoff'!$4:$4</definedName>
    <definedName name="_xlnm._FilterDatabase" localSheetId="5" hidden="1">'WD-Fzg &amp; Schutzkleidg'!$A$4:$L$54</definedName>
    <definedName name="_xlnm.Print_Titles" localSheetId="5">'WD-Fzg &amp; Schutzkleidg'!$4:$4</definedName>
    <definedName name="_xlnm._FilterDatabase" localSheetId="6" hidden="1">'RTW &amp; MPG'!$A$4:$L$54</definedName>
    <definedName name="_xlnm.Print_Titles" localSheetId="6">'RTW &amp; MPG'!$4:$4</definedName>
    <definedName name="_xlnm._FilterDatabase" localSheetId="7" hidden="1">'Organisation Ambulanz'!$A$4:$L$54</definedName>
    <definedName name="_xlnm.Print_Titles" localSheetId="7">'Organisation Ambulanz'!$4:$4</definedName>
    <definedName name="_xlnm._FilterDatabase" localSheetId="8" hidden="1">'Ablauf&amp;Prozessprobleme'!$A$4:$L$54</definedName>
    <definedName name="_xlnm.Print_Titles" localSheetId="8">'Ablauf&amp;Prozessprobleme'!$4:$4</definedName>
    <definedName name="_xlnm._FilterDatabase" localSheetId="9" hidden="1">'BGF'!$A$4:$L$54</definedName>
    <definedName name="_xlnm.Print_Titles" localSheetId="9">'BGF'!$4:$4</definedName>
    <definedName name="_xlnm._FilterDatabase" localSheetId="10" hidden="1">'Hygiene'!$A$4:$L$54</definedName>
    <definedName name="_xlnm.Print_Titles" localSheetId="10">'Hygiene'!$4:$4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 HH:MM"/>
  </numFmts>
  <fonts count="25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333333"/>
      <sz val="13"/>
    </font>
    <font>
      <name val="Calibri"/>
      <b val="1"/>
      <color rgb="000F3460"/>
      <sz val="22"/>
    </font>
    <font>
      <name val="Calibri"/>
      <b val="1"/>
      <color rgb="0028A745"/>
      <sz val="22"/>
    </font>
    <font>
      <name val="Calibri"/>
      <b val="1"/>
      <color rgb="00DC3545"/>
      <sz val="22"/>
    </font>
    <font>
      <name val="Calibri"/>
      <b val="1"/>
      <color rgb="00FFFFFF"/>
      <sz val="11"/>
    </font>
    <font>
      <name val="Calibri"/>
      <b val="1"/>
      <color rgb="000F3460"/>
      <sz val="10"/>
      <u val="single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color rgb="00333333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b val="1"/>
      <color rgb="00333333"/>
      <sz val="10"/>
    </font>
    <font>
      <name val="Calibri"/>
      <i val="1"/>
      <color rgb="00666666"/>
      <sz val="11"/>
    </font>
    <font>
      <name val="Calibri"/>
      <b val="1"/>
      <color rgb="0028A745"/>
      <sz val="10"/>
    </font>
    <font>
      <name val="Calibri"/>
      <b val="1"/>
      <color rgb="00333333"/>
      <sz val="14"/>
    </font>
    <font>
      <name val="Calibri"/>
      <b val="1"/>
      <color rgb="000F3460"/>
      <sz val="10"/>
    </font>
    <font>
      <name val="Calibri"/>
      <b val="1"/>
      <color rgb="00DC3545"/>
      <sz val="10"/>
    </font>
    <font>
      <name val="Calibri"/>
      <b val="1"/>
      <color rgb="00FFFFFF"/>
      <sz val="16"/>
    </font>
    <font>
      <name val="Calibri"/>
      <b val="1"/>
      <color rgb="00FFFFFF"/>
      <sz val="10"/>
      <u val="single"/>
    </font>
    <font>
      <name val="Calibri"/>
      <color rgb="00666666"/>
      <sz val="9"/>
    </font>
    <font>
      <name val="Calibri"/>
      <b val="1"/>
      <color rgb="00FFFFFF"/>
      <sz val="11"/>
      <u val="single"/>
    </font>
    <font>
      <name val="Calibri"/>
      <i val="1"/>
      <color rgb="00666666"/>
      <sz val="9"/>
    </font>
  </fonts>
  <fills count="15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FFE0B2"/>
        <bgColor rgb="00FFE0B2"/>
      </patternFill>
    </fill>
    <fill>
      <patternFill patternType="solid">
        <fgColor rgb="00F8D7DA"/>
        <bgColor rgb="00F8D7DA"/>
      </patternFill>
    </fill>
    <fill>
      <patternFill patternType="solid">
        <fgColor rgb="00F0F0F0"/>
        <bgColor rgb="00F0F0F0"/>
      </patternFill>
    </fill>
    <fill>
      <patternFill patternType="solid">
        <fgColor rgb="0028A745"/>
        <bgColor rgb="0028A745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1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1" pivotButton="0" quotePrefix="0" xfId="0"/>
    <xf numFmtId="0" fontId="13" fillId="0" borderId="0" pivotButton="0" quotePrefix="0" xfId="0"/>
    <xf numFmtId="0" fontId="0" fillId="5" borderId="1" pivotButton="0" quotePrefix="0" xfId="0"/>
    <xf numFmtId="0" fontId="14" fillId="0" borderId="1" pivotButton="0" quotePrefix="0" xfId="0"/>
    <xf numFmtId="0" fontId="11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9" fillId="0" borderId="0" pivotButton="0" quotePrefix="0" xfId="0"/>
    <xf numFmtId="0" fontId="16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2" fillId="13" borderId="0" applyAlignment="1" pivotButton="0" quotePrefix="0" xfId="0">
      <alignment vertical="top" wrapText="1"/>
    </xf>
    <xf numFmtId="0" fontId="23" fillId="14" borderId="0" applyAlignment="1" pivotButton="0" quotePrefix="0" xfId="0">
      <alignment horizontal="center" vertical="center"/>
    </xf>
    <xf numFmtId="0" fontId="24" fillId="7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top" wrapText="1"/>
    </xf>
    <xf numFmtId="0" fontId="17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vertical="top" wrapText="1"/>
    </xf>
    <xf numFmtId="0" fontId="11" fillId="12" borderId="1" applyAlignment="1" pivotButton="0" quotePrefix="0" xfId="0">
      <alignment vertical="top" wrapText="1"/>
    </xf>
    <xf numFmtId="0" fontId="17" fillId="11" borderId="1" applyAlignment="1" pivotButton="0" quotePrefix="0" xfId="0">
      <alignment horizontal="center" vertical="center"/>
    </xf>
    <xf numFmtId="0" fontId="14" fillId="11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  <xf numFmtId="0" fontId="17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7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vertical="top" wrapText="1"/>
    </xf>
    <xf numFmtId="0" fontId="11" fillId="9" borderId="1" applyAlignment="1" pivotButton="0" quotePrefix="0" xfId="0">
      <alignment vertical="top" wrapText="1"/>
    </xf>
    <xf numFmtId="0" fontId="11" fillId="3" borderId="1" pivotButton="0" quotePrefix="0" xfId="0"/>
    <xf numFmtId="0" fontId="11" fillId="3" borderId="1" applyAlignment="1" pivotButton="0" quotePrefix="0" xfId="0">
      <alignment vertical="top" wrapText="1"/>
    </xf>
    <xf numFmtId="0" fontId="11" fillId="4" borderId="1" pivotButton="0" quotePrefix="0" xfId="0"/>
    <xf numFmtId="0" fontId="11" fillId="4" borderId="1" applyAlignment="1" pivotButton="0" quotePrefix="0" xfId="0">
      <alignment vertical="top" wrapText="1"/>
    </xf>
  </cellXfs>
  <cellStyles count="1">
    <cellStyle name="Normal" xfId="0" builtinId="0" hidden="0"/>
  </cellStyles>
  <dxfs count="11">
    <dxf>
      <font>
        <b val="1"/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B71C1C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FE0B2"/>
          <bgColor rgb="00FFE0B2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8E1"/>
          <bgColor rgb="00FFF8E1"/>
        </patternFill>
      </fill>
    </dxf>
    <dxf>
      <font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kretariat'!A1" TargetMode="External" Id="rId1" /><Relationship Type="http://schemas.openxmlformats.org/officeDocument/2006/relationships/hyperlink" Target="#'EDV'!A1" TargetMode="External" Id="rId2" /><Relationship Type="http://schemas.openxmlformats.org/officeDocument/2006/relationships/hyperlink" Target="#'Med.&amp;Verbr.-stoff'!A1" TargetMode="External" Id="rId3" /><Relationship Type="http://schemas.openxmlformats.org/officeDocument/2006/relationships/hyperlink" Target="#'WD-Fzg &amp; Schutzkleidg'!A1" TargetMode="External" Id="rId4" /><Relationship Type="http://schemas.openxmlformats.org/officeDocument/2006/relationships/hyperlink" Target="#'RTW &amp; MPG'!A1" TargetMode="External" Id="rId5" /><Relationship Type="http://schemas.openxmlformats.org/officeDocument/2006/relationships/hyperlink" Target="#'Organisation Ambulanz'!A1" TargetMode="External" Id="rId6" /><Relationship Type="http://schemas.openxmlformats.org/officeDocument/2006/relationships/hyperlink" Target="#'Ablauf&amp;Prozessprobleme'!A1" TargetMode="External" Id="rId7" /><Relationship Type="http://schemas.openxmlformats.org/officeDocument/2006/relationships/hyperlink" Target="#'BGF'!A1" TargetMode="External" Id="rId8" /><Relationship Type="http://schemas.openxmlformats.org/officeDocument/2006/relationships/hyperlink" Target="#'Hygiene'!A1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emily_kim.schmidt@mercedes-benz.com?cc=larissa.radimersky@mercedes-benz.com&amp;subject=LARIS%20Meldung%20-%20Sekretariat&amp;bcc=walter.putschler@mercedes-benz.com&amp;body=Neue%20LARIS-Meldung%20im%20Bereich%3A%20Sekretariat%0A%0ABitte%20in%20LARIS%20pr%C3%BCfen%20und%20bearbeiten.%0A%0AMit%20freundlichen%20Gr%C3%BC%C3%9Fen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emanuel.siebert@mercedes-benz.com?subject=LARIS%20Meldung%20-%20EDV&amp;bcc=walter.putschler@mercedes-benz.com&amp;body=Neue%20LARIS-Meldung%20im%20Bereich%3A%20EDV%0A%0ABitte%20in%20LARIS%20pr%C3%BCfen%20und%20bearbeiten.%0A%0AMit%20freundlichen%20Gr%C3%BC%C3%9Fen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tobias_felix.zeller@mercedes-benz.com?cc=bernd.breig@mercedes-benz.com&amp;subject=LARIS%20Meldung%20-%20Med.%26Verbr.-stoff&amp;bcc=walter.putschler@mercedes-benz.com&amp;body=Neue%20LARIS-Meldung%20im%20Bereich%3A%20Med.%26Verbr.-stoff%0A%0ABitte%20in%20LARIS%20pr%C3%BCfen%20und%20bearbeiten.%0A%0AMit%20freundlichen%20Gr%C3%BC%C3%9Fen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WD-Fzg%20%26%20Schutzkleidg&amp;bcc=walter.putschler@mercedes-benz.com&amp;body=Neue%20LARIS-Meldung%20im%20Bereich%3A%20WD-Fzg%20%26%20Schutzkleidg%0A%0ABitte%20in%20LARIS%20pr%C3%BCfen%20und%20bearbeiten.%0A%0AMit%20freundlichen%20Gr%C3%BC%C3%9Fen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Markus.Goepfrich@mercedes-benz.com?subject=LARIS%20Meldung%20-%20RTW%20%26%20MPG&amp;bcc=walter.putschler@mercedes-benz.com&amp;body=Neue%20LARIS-Meldung%20im%20Bereich%3A%20RTW%20%26%20MPG%0A%0ABitte%20in%20LARIS%20pr%C3%BCfen%20und%20bearbeiten.%0A%0AMit%20freundlichen%20Gr%C3%BC%C3%9Fen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Organisation%20Ambulanz&amp;bcc=walter.putschler@mercedes-benz.com&amp;body=Neue%20LARIS-Meldung%20im%20Bereich%3A%20Organisation%20Ambulanz%0A%0ABitte%20in%20LARIS%20pr%C3%BCfen%20und%20bearbeiten.%0A%0AMit%20freundlichen%20Gr%C3%BC%C3%9Fen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LARIS%20Meldung%20-%20Ablauf%26Prozessprobleme&amp;bcc=walter.putschler@mercedes-benz.com&amp;body=Neue%20LARIS-Meldung%20im%20Bereich%3A%20Ablauf%26Prozessprobleme%0A%0ABitte%20in%20LARIS%20pr%C3%BCfen%20und%20bearbeiten.%0A%0AMit%20freundlichen%20Gr%C3%BC%C3%9Fen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katrin.zieger-buchta@mercedes-benz.com?cc=Susanne.Mueller-Horn@mercedes-benz.com&amp;subject=LARIS%20Meldung%20-%20BGF&amp;bcc=walter.putschler@mercedes-benz.com&amp;body=Neue%20LARIS-Meldung%20im%20Bereich%3A%20BGF%0A%0ABitte%20in%20LARIS%20pr%C3%BCfen%20und%20bearbeiten.%0A%0AMit%20freundlichen%20Gr%C3%BC%C3%9Fen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Hygiene&amp;bcc=walter.putschler@mercedes-benz.com&amp;body=Neue%20LARIS-Meldung%20im%20Bereich%3A%20Hygiene%0A%0ABitte%20in%20LARIS%20pr%C3%BCfen%20und%20bearbeiten.%0A%0AMit%20freundlichen%20Gr%C3%BC%C3%9Fen" TargetMode="External" Id="rId2" /></Relationships>
</file>

<file path=xl/worksheets/sheet1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B1:L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5" customWidth="1" min="6" max="6"/>
    <col width="10" customWidth="1" min="7" max="7"/>
    <col width="10" customWidth="1" min="8" max="8"/>
    <col width="10" customWidth="1" min="9" max="9"/>
    <col width="10" customWidth="1" min="10" max="10"/>
    <col width="5" customWidth="1" min="11" max="11"/>
    <col width="22" customWidth="1" min="12" max="12"/>
  </cols>
  <sheetData>
    <row r="1" ht="25" customHeight="1">
      <c r="B1" s="1" t="inlineStr">
        <is>
          <t>LARIS Dashboard - Gesamtübersicht</t>
        </is>
      </c>
    </row>
    <row r="2" ht="25" customHeight="1"/>
    <row r="3" ht="8" customHeight="1"/>
    <row r="4" ht="35" customHeight="1">
      <c r="B4" s="2" t="inlineStr">
        <is>
          <t>Gesamt Meldungen:</t>
        </is>
      </c>
      <c r="D4" s="3">
        <f>C16</f>
        <v/>
      </c>
      <c r="E4" s="2" t="inlineStr">
        <is>
          <t>Erledigt:</t>
        </is>
      </c>
      <c r="G4" s="4">
        <f>D16</f>
        <v/>
      </c>
      <c r="H4" s="2" t="inlineStr">
        <is>
          <t>Offen:</t>
        </is>
      </c>
      <c r="J4" s="5">
        <f>E16</f>
        <v/>
      </c>
    </row>
    <row r="6" ht="30" customHeight="1">
      <c r="B6" s="6" t="inlineStr">
        <is>
          <t>Bereich</t>
        </is>
      </c>
      <c r="C6" s="6" t="inlineStr">
        <is>
          <t>Meldungen</t>
        </is>
      </c>
      <c r="D6" s="6" t="inlineStr">
        <is>
          <t>Erledigt</t>
        </is>
      </c>
      <c r="E6" s="6" t="inlineStr">
        <is>
          <t>Offen</t>
        </is>
      </c>
      <c r="F6" s="6" t="inlineStr"/>
      <c r="G6" s="6" t="inlineStr">
        <is>
          <t>Kat A</t>
        </is>
      </c>
      <c r="H6" s="6" t="inlineStr">
        <is>
          <t>Kat B</t>
        </is>
      </c>
      <c r="I6" s="6" t="inlineStr">
        <is>
          <t>Kat C</t>
        </is>
      </c>
      <c r="J6" s="6" t="inlineStr">
        <is>
          <t>Kat D</t>
        </is>
      </c>
      <c r="K6" s="6" t="inlineStr"/>
      <c r="L6" s="6" t="inlineStr">
        <is>
          <t>Leiter</t>
        </is>
      </c>
    </row>
    <row r="7">
      <c r="B7" s="7" t="inlineStr">
        <is>
          <t>Sekretariat</t>
        </is>
      </c>
      <c r="C7" s="8">
        <f>COUNTA('Sekretariat'!B5:B504)</f>
        <v/>
      </c>
      <c r="D7" s="9">
        <f>COUNTA('Sekretariat'!H5:H504)</f>
        <v/>
      </c>
      <c r="E7" s="10">
        <f>C7-D7</f>
        <v/>
      </c>
      <c r="F7" s="11" t="n"/>
      <c r="G7" s="12">
        <f>COUNTIF('Sekretariat'!J5:J504,"A")</f>
        <v/>
      </c>
      <c r="H7" s="12">
        <f>COUNTIF('Sekretariat'!J5:J504,"B")</f>
        <v/>
      </c>
      <c r="I7" s="12">
        <f>COUNTIF('Sekretariat'!J5:J504,"C")</f>
        <v/>
      </c>
      <c r="J7" s="12">
        <f>COUNTIF('Sekretariat'!J5:J504,"D")</f>
        <v/>
      </c>
      <c r="K7" s="11" t="n"/>
      <c r="L7" s="12" t="inlineStr">
        <is>
          <t>Emily Schmidt</t>
        </is>
      </c>
    </row>
    <row r="8">
      <c r="B8" s="13" t="inlineStr">
        <is>
          <t>EDV</t>
        </is>
      </c>
      <c r="C8" s="14">
        <f>COUNTA('EDV'!B5:B504)</f>
        <v/>
      </c>
      <c r="D8" s="15">
        <f>COUNTA('EDV'!H5:H504)</f>
        <v/>
      </c>
      <c r="E8" s="16">
        <f>C8-D8</f>
        <v/>
      </c>
      <c r="F8" s="17" t="n"/>
      <c r="G8" s="18">
        <f>COUNTIF('EDV'!J5:J504,"A")</f>
        <v/>
      </c>
      <c r="H8" s="18">
        <f>COUNTIF('EDV'!J5:J504,"B")</f>
        <v/>
      </c>
      <c r="I8" s="18">
        <f>COUNTIF('EDV'!J5:J504,"C")</f>
        <v/>
      </c>
      <c r="J8" s="18">
        <f>COUNTIF('EDV'!J5:J504,"D")</f>
        <v/>
      </c>
      <c r="K8" s="17" t="n"/>
      <c r="L8" s="18" t="inlineStr">
        <is>
          <t>Siebert</t>
        </is>
      </c>
    </row>
    <row r="9">
      <c r="B9" s="7" t="inlineStr">
        <is>
          <t>Med.&amp;Verbr.-stoff</t>
        </is>
      </c>
      <c r="C9" s="8">
        <f>COUNTA('Med.&amp;Verbr.-stoff'!B5:B504)</f>
        <v/>
      </c>
      <c r="D9" s="9">
        <f>COUNTA('Med.&amp;Verbr.-stoff'!H5:H504)</f>
        <v/>
      </c>
      <c r="E9" s="10">
        <f>C9-D9</f>
        <v/>
      </c>
      <c r="F9" s="11" t="n"/>
      <c r="G9" s="12">
        <f>COUNTIF('Med.&amp;Verbr.-stoff'!J5:J504,"A")</f>
        <v/>
      </c>
      <c r="H9" s="12">
        <f>COUNTIF('Med.&amp;Verbr.-stoff'!J5:J504,"B")</f>
        <v/>
      </c>
      <c r="I9" s="12">
        <f>COUNTIF('Med.&amp;Verbr.-stoff'!J5:J504,"C")</f>
        <v/>
      </c>
      <c r="J9" s="12">
        <f>COUNTIF('Med.&amp;Verbr.-stoff'!J5:J504,"D")</f>
        <v/>
      </c>
      <c r="K9" s="11" t="n"/>
      <c r="L9" s="12" t="inlineStr">
        <is>
          <t>Zeller</t>
        </is>
      </c>
    </row>
    <row r="10">
      <c r="B10" s="13" t="inlineStr">
        <is>
          <t>WD-Fzg &amp; Schutzkleidg</t>
        </is>
      </c>
      <c r="C10" s="14">
        <f>COUNTA('WD-Fzg &amp; Schutzkleidg'!B5:B504)</f>
        <v/>
      </c>
      <c r="D10" s="15">
        <f>COUNTA('WD-Fzg &amp; Schutzkleidg'!H5:H504)</f>
        <v/>
      </c>
      <c r="E10" s="16">
        <f>C10-D10</f>
        <v/>
      </c>
      <c r="F10" s="17" t="n"/>
      <c r="G10" s="18">
        <f>COUNTIF('WD-Fzg &amp; Schutzkleidg'!J5:J504,"A")</f>
        <v/>
      </c>
      <c r="H10" s="18">
        <f>COUNTIF('WD-Fzg &amp; Schutzkleidg'!J5:J504,"B")</f>
        <v/>
      </c>
      <c r="I10" s="18">
        <f>COUNTIF('WD-Fzg &amp; Schutzkleidg'!J5:J504,"C")</f>
        <v/>
      </c>
      <c r="J10" s="18">
        <f>COUNTIF('WD-Fzg &amp; Schutzkleidg'!J5:J504,"D")</f>
        <v/>
      </c>
      <c r="K10" s="17" t="n"/>
      <c r="L10" s="18" t="inlineStr">
        <is>
          <t>Wunsch</t>
        </is>
      </c>
    </row>
    <row r="11">
      <c r="B11" s="7" t="inlineStr">
        <is>
          <t>RTW &amp; MPG</t>
        </is>
      </c>
      <c r="C11" s="8">
        <f>COUNTA('RTW &amp; MPG'!B5:B504)</f>
        <v/>
      </c>
      <c r="D11" s="9">
        <f>COUNTA('RTW &amp; MPG'!H5:H504)</f>
        <v/>
      </c>
      <c r="E11" s="10">
        <f>C11-D11</f>
        <v/>
      </c>
      <c r="F11" s="11" t="n"/>
      <c r="G11" s="12">
        <f>COUNTIF('RTW &amp; MPG'!J5:J504,"A")</f>
        <v/>
      </c>
      <c r="H11" s="12">
        <f>COUNTIF('RTW &amp; MPG'!J5:J504,"B")</f>
        <v/>
      </c>
      <c r="I11" s="12">
        <f>COUNTIF('RTW &amp; MPG'!J5:J504,"C")</f>
        <v/>
      </c>
      <c r="J11" s="12">
        <f>COUNTIF('RTW &amp; MPG'!J5:J504,"D")</f>
        <v/>
      </c>
      <c r="K11" s="11" t="n"/>
      <c r="L11" s="12" t="inlineStr">
        <is>
          <t>Göpfrich</t>
        </is>
      </c>
    </row>
    <row r="12">
      <c r="B12" s="13" t="inlineStr">
        <is>
          <t>Organisation Ambulanz</t>
        </is>
      </c>
      <c r="C12" s="14">
        <f>COUNTA('Organisation Ambulanz'!B5:B504)</f>
        <v/>
      </c>
      <c r="D12" s="15">
        <f>COUNTA('Organisation Ambulanz'!H5:H504)</f>
        <v/>
      </c>
      <c r="E12" s="16">
        <f>C12-D12</f>
        <v/>
      </c>
      <c r="F12" s="17" t="n"/>
      <c r="G12" s="18">
        <f>COUNTIF('Organisation Ambulanz'!J5:J504,"A")</f>
        <v/>
      </c>
      <c r="H12" s="18">
        <f>COUNTIF('Organisation Ambulanz'!J5:J504,"B")</f>
        <v/>
      </c>
      <c r="I12" s="18">
        <f>COUNTIF('Organisation Ambulanz'!J5:J504,"C")</f>
        <v/>
      </c>
      <c r="J12" s="18">
        <f>COUNTIF('Organisation Ambulanz'!J5:J504,"D")</f>
        <v/>
      </c>
      <c r="K12" s="17" t="n"/>
      <c r="L12" s="18" t="inlineStr">
        <is>
          <t>Wunsch</t>
        </is>
      </c>
    </row>
    <row r="13">
      <c r="B13" s="7" t="inlineStr">
        <is>
          <t>Ablauf&amp;Prozessprobleme</t>
        </is>
      </c>
      <c r="C13" s="8">
        <f>COUNTA('Ablauf&amp;Prozessprobleme'!B5:B504)</f>
        <v/>
      </c>
      <c r="D13" s="9">
        <f>COUNTA('Ablauf&amp;Prozessprobleme'!H5:H504)</f>
        <v/>
      </c>
      <c r="E13" s="10">
        <f>C13-D13</f>
        <v/>
      </c>
      <c r="F13" s="11" t="n"/>
      <c r="G13" s="12">
        <f>COUNTIF('Ablauf&amp;Prozessprobleme'!J5:J504,"A")</f>
        <v/>
      </c>
      <c r="H13" s="12">
        <f>COUNTIF('Ablauf&amp;Prozessprobleme'!J5:J504,"B")</f>
        <v/>
      </c>
      <c r="I13" s="12">
        <f>COUNTIF('Ablauf&amp;Prozessprobleme'!J5:J504,"C")</f>
        <v/>
      </c>
      <c r="J13" s="12">
        <f>COUNTIF('Ablauf&amp;Prozessprobleme'!J5:J504,"D")</f>
        <v/>
      </c>
      <c r="K13" s="11" t="n"/>
      <c r="L13" s="12" t="inlineStr">
        <is>
          <t>Putschler</t>
        </is>
      </c>
    </row>
    <row r="14">
      <c r="B14" s="13" t="inlineStr">
        <is>
          <t>BGF</t>
        </is>
      </c>
      <c r="C14" s="14">
        <f>COUNTA('BGF'!B5:B504)</f>
        <v/>
      </c>
      <c r="D14" s="15">
        <f>COUNTA('BGF'!H5:H504)</f>
        <v/>
      </c>
      <c r="E14" s="16">
        <f>C14-D14</f>
        <v/>
      </c>
      <c r="F14" s="17" t="n"/>
      <c r="G14" s="18">
        <f>COUNTIF('BGF'!J5:J504,"A")</f>
        <v/>
      </c>
      <c r="H14" s="18">
        <f>COUNTIF('BGF'!J5:J504,"B")</f>
        <v/>
      </c>
      <c r="I14" s="18">
        <f>COUNTIF('BGF'!J5:J504,"C")</f>
        <v/>
      </c>
      <c r="J14" s="18">
        <f>COUNTIF('BGF'!J5:J504,"D")</f>
        <v/>
      </c>
      <c r="K14" s="17" t="n"/>
      <c r="L14" s="18" t="inlineStr">
        <is>
          <t>Zieger-Buchta</t>
        </is>
      </c>
    </row>
    <row r="15">
      <c r="B15" s="7" t="inlineStr">
        <is>
          <t>Hygiene</t>
        </is>
      </c>
      <c r="C15" s="8">
        <f>COUNTA('Hygiene'!B5:B504)</f>
        <v/>
      </c>
      <c r="D15" s="9">
        <f>COUNTA('Hygiene'!H5:H504)</f>
        <v/>
      </c>
      <c r="E15" s="10">
        <f>C15-D15</f>
        <v/>
      </c>
      <c r="F15" s="11" t="n"/>
      <c r="G15" s="12">
        <f>COUNTIF('Hygiene'!J5:J504,"A")</f>
        <v/>
      </c>
      <c r="H15" s="12">
        <f>COUNTIF('Hygiene'!J5:J504,"B")</f>
        <v/>
      </c>
      <c r="I15" s="12">
        <f>COUNTIF('Hygiene'!J5:J504,"C")</f>
        <v/>
      </c>
      <c r="J15" s="12">
        <f>COUNTIF('Hygiene'!J5:J504,"D")</f>
        <v/>
      </c>
      <c r="K15" s="11" t="n"/>
      <c r="L15" s="12" t="inlineStr">
        <is>
          <t>Wunsch</t>
        </is>
      </c>
    </row>
    <row r="16">
      <c r="B16" s="19" t="inlineStr">
        <is>
          <t>GESAMT</t>
        </is>
      </c>
      <c r="C16" s="19">
        <f>SUM(C7:C15)</f>
        <v/>
      </c>
      <c r="D16" s="19">
        <f>SUM(D7:D15)</f>
        <v/>
      </c>
      <c r="E16" s="19">
        <f>SUM(E7:E15)</f>
        <v/>
      </c>
      <c r="F16" s="20" t="n"/>
      <c r="G16" s="19">
        <f>SUM(G7:G15)</f>
        <v/>
      </c>
      <c r="H16" s="19">
        <f>SUM(H7:H15)</f>
        <v/>
      </c>
      <c r="I16" s="19">
        <f>SUM(I7:I15)</f>
        <v/>
      </c>
      <c r="J16" s="19">
        <f>SUM(J7:J15)</f>
        <v/>
      </c>
      <c r="K16" s="20" t="n"/>
      <c r="L16" s="21" t="n"/>
    </row>
    <row r="18">
      <c r="B18" s="22" t="inlineStr">
        <is>
          <t>Legende Farbmarkierungen in den Bereichs-Sheets:</t>
        </is>
      </c>
    </row>
    <row r="19">
      <c r="B19" s="23" t="n"/>
      <c r="C19" s="24" t="inlineStr">
        <is>
          <t>Nr.-Spalte blau</t>
        </is>
      </c>
      <c r="D19" s="25" t="inlineStr">
        <is>
          <t>Neue Meldung (letzte 7 Tage)</t>
        </is>
      </c>
    </row>
    <row r="20">
      <c r="B20" s="26" t="n"/>
      <c r="C20" s="24" t="inlineStr">
        <is>
          <t>Zeile gelb</t>
        </is>
      </c>
      <c r="D20" s="25" t="inlineStr">
        <is>
          <t>Meldung offen (noch nicht erledigt)</t>
        </is>
      </c>
    </row>
    <row r="21">
      <c r="B21" s="27" t="n"/>
      <c r="C21" s="24" t="inlineStr">
        <is>
          <t>Zeile grün</t>
        </is>
      </c>
      <c r="D21" s="25" t="inlineStr">
        <is>
          <t>Meldung erledigt</t>
        </is>
      </c>
    </row>
    <row r="22">
      <c r="B22" s="28" t="n"/>
      <c r="C22" s="24" t="inlineStr">
        <is>
          <t>Zeile rot</t>
        </is>
      </c>
      <c r="D22" s="25" t="inlineStr">
        <is>
          <t>Überfällig (&gt;14 Tage ohne Kenntnisnahme)</t>
        </is>
      </c>
    </row>
    <row r="23">
      <c r="B23" s="28" t="n"/>
      <c r="C23" s="24" t="inlineStr">
        <is>
          <t>Zelle rot</t>
        </is>
      </c>
      <c r="D23" s="25" t="inlineStr">
        <is>
          <t>Pflichtfeld fehlt (Name oder Thema leer)</t>
        </is>
      </c>
    </row>
    <row r="24">
      <c r="B24" s="29" t="n"/>
      <c r="C24" s="24" t="inlineStr">
        <is>
          <t>Kategorie A</t>
        </is>
      </c>
      <c r="D24" s="25" t="inlineStr">
        <is>
          <t>Unsichere Handlung</t>
        </is>
      </c>
    </row>
    <row r="25">
      <c r="B25" s="30" t="n"/>
      <c r="C25" s="24" t="inlineStr">
        <is>
          <t>Kategorie B</t>
        </is>
      </c>
      <c r="D25" s="25" t="inlineStr">
        <is>
          <t>Beinahefehler ohne Folgen</t>
        </is>
      </c>
    </row>
    <row r="26">
      <c r="B26" s="31" t="n"/>
      <c r="C26" s="24" t="inlineStr">
        <is>
          <t>Kategorie C</t>
        </is>
      </c>
      <c r="D26" s="25" t="inlineStr">
        <is>
          <t>Fehler mit leichten bis mittelschweren Folgen</t>
        </is>
      </c>
    </row>
    <row r="27">
      <c r="B27" s="32" t="n"/>
      <c r="C27" s="24" t="inlineStr">
        <is>
          <t>Kategorie D</t>
        </is>
      </c>
      <c r="D27" s="25" t="inlineStr">
        <is>
          <t>Fehler mit gravierenden Folgen</t>
        </is>
      </c>
    </row>
  </sheetData>
  <mergeCells count="14">
    <mergeCell ref="E4:F4"/>
    <mergeCell ref="B18:E18"/>
    <mergeCell ref="D19:F19"/>
    <mergeCell ref="D27:F27"/>
    <mergeCell ref="B1:J2"/>
    <mergeCell ref="D23:F23"/>
    <mergeCell ref="D22:F22"/>
    <mergeCell ref="D26:F26"/>
    <mergeCell ref="H4:I4"/>
    <mergeCell ref="D21:F21"/>
    <mergeCell ref="D25:F25"/>
    <mergeCell ref="D20:F20"/>
    <mergeCell ref="B4:C4"/>
    <mergeCell ref="D24:F24"/>
  </mergeCells>
  <conditionalFormatting sqref="E7:E15">
    <cfRule type="cellIs" priority="1" operator="greaterThan" dxfId="0" stopIfTrue="0">
      <formula>0</formula>
    </cfRule>
  </conditionalFormatting>
  <conditionalFormatting sqref="J7:J15">
    <cfRule type="cellIs" priority="2" operator="greaterThan" dxfId="1" stopIfTrue="0">
      <formula>0</formula>
    </cfRule>
    <cfRule type="cellIs" priority="6" operator="greaterThan" dxfId="2" stopIfTrue="0">
      <formula>0</formula>
    </cfRule>
  </conditionalFormatting>
  <conditionalFormatting sqref="G7:G15">
    <cfRule type="cellIs" priority="3" operator="greaterThan" dxfId="3" stopIfTrue="0">
      <formula>0</formula>
    </cfRule>
  </conditionalFormatting>
  <conditionalFormatting sqref="H7:H15">
    <cfRule type="cellIs" priority="4" operator="greaterThan" dxfId="4" stopIfTrue="0">
      <formula>0</formula>
    </cfRule>
  </conditionalFormatting>
  <conditionalFormatting sqref="I7:I15">
    <cfRule type="cellIs" priority="5" operator="greaterThan" dxfId="5" stopIfTrue="0">
      <formula>0</formula>
    </cfRule>
  </conditionalFormatting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</hyperlink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B1:G55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55" customWidth="1" min="3" max="3"/>
    <col width="20" customWidth="1" min="4" max="4"/>
    <col width="5" customWidth="1" min="5" max="5"/>
    <col width="20" customWidth="1" min="6" max="6"/>
  </cols>
  <sheetData>
    <row r="1">
      <c r="B1" s="1" t="inlineStr">
        <is>
          <t>LARIS - Lernende Abweichungs-, Risiko- und Informationssammlung</t>
        </is>
      </c>
    </row>
    <row r="2"/>
    <row r="3">
      <c r="B3" s="33" t="inlineStr">
        <is>
          <t>Werksärztlicher Dienst Mercedes-Benz Rastatt/Kuppenheim</t>
        </is>
      </c>
    </row>
    <row r="4">
      <c r="B4" s="34" t="inlineStr">
        <is>
          <t>Version 2026 - Ohne Makros &amp; Blattschutz</t>
        </is>
      </c>
    </row>
    <row r="6">
      <c r="B6" s="35" t="inlineStr">
        <is>
          <t>Die Liste dient zur Meldung von:</t>
        </is>
      </c>
    </row>
    <row r="7">
      <c r="B7" s="36" t="inlineStr">
        <is>
          <t>●</t>
        </is>
      </c>
      <c r="C7" s="37" t="inlineStr">
        <is>
          <t>Vorkommnissen</t>
        </is>
      </c>
    </row>
    <row r="8">
      <c r="B8" s="36" t="inlineStr">
        <is>
          <t>●</t>
        </is>
      </c>
      <c r="C8" s="37" t="inlineStr">
        <is>
          <t>fehlendem oder fehlerhaftem Material</t>
        </is>
      </c>
    </row>
    <row r="9">
      <c r="B9" s="36" t="inlineStr">
        <is>
          <t>●</t>
        </is>
      </c>
      <c r="C9" s="37" t="inlineStr">
        <is>
          <t>Administrationsbedarf im Bereich</t>
        </is>
      </c>
    </row>
    <row r="10">
      <c r="C10" s="38" t="inlineStr">
        <is>
          <t>an den jeweiligen Bereichsleiter!</t>
        </is>
      </c>
    </row>
    <row r="12">
      <c r="B12" s="39" t="inlineStr">
        <is>
          <t>Informationen die alle betreffen müssen über E-Mail kommuniziert werden!</t>
        </is>
      </c>
    </row>
    <row r="14">
      <c r="B14" s="35" t="inlineStr">
        <is>
          <t>Erstellen einer Meldung</t>
        </is>
      </c>
    </row>
    <row r="15">
      <c r="B15" s="36" t="inlineStr">
        <is>
          <t>●</t>
        </is>
      </c>
      <c r="C15" s="37" t="inlineStr">
        <is>
          <t>Unten den entsprechenden Reiter für den Bereich auswählen</t>
        </is>
      </c>
    </row>
    <row r="16">
      <c r="B16" s="36" t="inlineStr">
        <is>
          <t>●</t>
        </is>
      </c>
      <c r="C16" s="37" t="inlineStr">
        <is>
          <t>Im Feld "Meldung durch" den eigenen Namen auswählen (Dropdown)</t>
        </is>
      </c>
    </row>
    <row r="17">
      <c r="B17" s="36" t="inlineStr">
        <is>
          <t>●</t>
        </is>
      </c>
      <c r="C17" s="37" t="inlineStr">
        <is>
          <t>Datum im Feld "Meldung am" eintragen (Format: TT.MM.JJJJ)</t>
        </is>
      </c>
    </row>
    <row r="18">
      <c r="B18" s="36" t="inlineStr">
        <is>
          <t>●</t>
        </is>
      </c>
      <c r="C18" s="37" t="inlineStr">
        <is>
          <t>Info bei "Thema" eintragen</t>
        </is>
      </c>
    </row>
    <row r="19">
      <c r="B19" s="36" t="inlineStr">
        <is>
          <t>●</t>
        </is>
      </c>
      <c r="C19" s="37" t="inlineStr">
        <is>
          <t>Auf den grünen "Mail an Bereichsleiter"-Link klicken (öffnet Outlook automatisch)</t>
        </is>
      </c>
    </row>
    <row r="20">
      <c r="B20" s="36" t="inlineStr">
        <is>
          <t>●</t>
        </is>
      </c>
      <c r="C20" s="37" t="inlineStr">
        <is>
          <t>Speichern</t>
        </is>
      </c>
    </row>
    <row r="22">
      <c r="B22" s="35" t="inlineStr">
        <is>
          <t>Abarbeiten einer Meldung durch den Bereichsleiter</t>
        </is>
      </c>
    </row>
    <row r="23">
      <c r="B23" s="36" t="inlineStr">
        <is>
          <t>●</t>
        </is>
      </c>
      <c r="C23" s="37" t="inlineStr">
        <is>
          <t>Bei Kenntnisnahme im Feld "Kenntnisnahme durch" eigenen Namen auswählen und Datum eintragen</t>
        </is>
      </c>
    </row>
    <row r="24">
      <c r="B24" s="36" t="inlineStr">
        <is>
          <t>●</t>
        </is>
      </c>
      <c r="C24" s="37" t="inlineStr">
        <is>
          <t>Massnahmen im entsprechenden Feld dokumentieren</t>
        </is>
      </c>
    </row>
    <row r="25">
      <c r="B25" s="36" t="inlineStr">
        <is>
          <t>●</t>
        </is>
      </c>
      <c r="C25" s="37" t="inlineStr">
        <is>
          <t>Nach Erledigung im Feld "Erledigt durch" eigenen Namen auswählen und Datum eintragen</t>
        </is>
      </c>
    </row>
    <row r="26">
      <c r="B26" s="36" t="inlineStr">
        <is>
          <t>●</t>
        </is>
      </c>
      <c r="C26" s="37" t="inlineStr">
        <is>
          <t>Evtl. weitere Infos im entsprechenden Feld eintragen</t>
        </is>
      </c>
    </row>
    <row r="27">
      <c r="B27" s="36" t="inlineStr">
        <is>
          <t>●</t>
        </is>
      </c>
      <c r="C27" s="37" t="inlineStr">
        <is>
          <t>In Spalte "In REKO..." auswählen wie besprochen wurde</t>
        </is>
      </c>
    </row>
    <row r="29">
      <c r="B29" s="35" t="inlineStr">
        <is>
          <t>Hinweise zur neuen Version</t>
        </is>
      </c>
    </row>
    <row r="30">
      <c r="B30" s="40" t="inlineStr">
        <is>
          <t>✓</t>
        </is>
      </c>
      <c r="C30" s="37" t="inlineStr">
        <is>
          <t>Kein Blattschutz - alle Zellen sind frei editierbar</t>
        </is>
      </c>
    </row>
    <row r="31">
      <c r="B31" s="40" t="inlineStr">
        <is>
          <t>✓</t>
        </is>
      </c>
      <c r="C31" s="37" t="inlineStr">
        <is>
          <t>Keine Makros/ActiveX - kein Hängen, keine Sicherheitswarnungen</t>
        </is>
      </c>
    </row>
    <row r="32">
      <c r="B32" s="40" t="inlineStr">
        <is>
          <t>✓</t>
        </is>
      </c>
      <c r="C32" s="37" t="inlineStr">
        <is>
          <t>Dropdown-Listen für Namen und Kategorien (Klick auf die Zelle)</t>
        </is>
      </c>
    </row>
    <row r="33">
      <c r="B33" s="40" t="inlineStr">
        <is>
          <t>✓</t>
        </is>
      </c>
      <c r="C33" s="37" t="inlineStr">
        <is>
          <t>Datumsfelder manuell ausfüllen (Format: TT.MM.JJJJ HH:MM)</t>
        </is>
      </c>
    </row>
    <row r="34">
      <c r="B34" s="40" t="inlineStr">
        <is>
          <t>✓</t>
        </is>
      </c>
      <c r="C34" s="37" t="inlineStr">
        <is>
          <t>Meldungs- und Erledigungszähler werden automatisch berechnet (Formeln)</t>
        </is>
      </c>
    </row>
    <row r="35">
      <c r="B35" s="40" t="inlineStr">
        <is>
          <t>✓</t>
        </is>
      </c>
      <c r="C35" s="37" t="inlineStr">
        <is>
          <t>Mail-Versand per klickbarem Link (öffnet Outlook mit Empfänger + Betreff + BCC)</t>
        </is>
      </c>
    </row>
    <row r="36">
      <c r="B36" s="40" t="inlineStr">
        <is>
          <t>✓</t>
        </is>
      </c>
      <c r="C36" s="37" t="inlineStr">
        <is>
          <t>Dashboard-Reiter zeigt Gesamtübersicht aller Bereiche auf einen Blick</t>
        </is>
      </c>
    </row>
    <row r="37">
      <c r="B37" s="40" t="inlineStr">
        <is>
          <t>✓</t>
        </is>
      </c>
      <c r="C37" s="37" t="inlineStr">
        <is>
          <t>Farbige Zeilen: Grün=Erledigt, Gelb=Offen, Rot=Überfällig (&gt;14 Tage)</t>
        </is>
      </c>
    </row>
    <row r="38">
      <c r="B38" s="40" t="inlineStr">
        <is>
          <t>✓</t>
        </is>
      </c>
      <c r="C38" s="37" t="inlineStr">
        <is>
          <t>Neue Meldungen (letzte 7 Tage) werden in der Nr.-Spalte blau markiert</t>
        </is>
      </c>
    </row>
    <row r="39">
      <c r="B39" s="40" t="inlineStr">
        <is>
          <t>✓</t>
        </is>
      </c>
      <c r="C39" s="37" t="inlineStr">
        <is>
          <t>Druckoptimiert: Querformat A4, Kopfzeile wiederholt sich automatisch</t>
        </is>
      </c>
    </row>
    <row r="40">
      <c r="B40" s="40" t="inlineStr">
        <is>
          <t>✓</t>
        </is>
      </c>
      <c r="C40" s="37" t="inlineStr">
        <is>
          <t>Pflichtfelder: Fehlender Name/Thema wird rot markiert wenn Datum eingetragen</t>
        </is>
      </c>
    </row>
    <row r="41">
      <c r="B41" s="40" t="inlineStr">
        <is>
          <t>✓</t>
        </is>
      </c>
      <c r="C41" s="37" t="inlineStr">
        <is>
          <t>Jeder Bereich hat eine eigene Tab-Farbe für schnelle Navigation</t>
        </is>
      </c>
    </row>
    <row r="42">
      <c r="B42" s="40" t="inlineStr">
        <is>
          <t>✓</t>
        </is>
      </c>
      <c r="C42" s="37" t="inlineStr">
        <is>
          <t>Stellvertreter werden automatisch in CC der Mail genommen</t>
        </is>
      </c>
    </row>
    <row r="43">
      <c r="B43" s="40" t="inlineStr">
        <is>
          <t>✓</t>
        </is>
      </c>
      <c r="C43" s="37" t="inlineStr">
        <is>
          <t>Dashboard-Links: Klick auf Bereichsname springt direkt zum Sheet</t>
        </is>
      </c>
    </row>
    <row r="46">
      <c r="B46" s="41" t="inlineStr">
        <is>
          <t>Bereich</t>
        </is>
      </c>
      <c r="C46" s="42" t="n"/>
      <c r="D46" s="41" t="inlineStr">
        <is>
          <t>Leiter</t>
        </is>
      </c>
      <c r="E46" s="42" t="n"/>
      <c r="F46" s="41" t="inlineStr">
        <is>
          <t>Stellvertreter</t>
        </is>
      </c>
      <c r="G46" s="41" t="inlineStr"/>
    </row>
    <row r="47">
      <c r="B47" s="25" t="inlineStr">
        <is>
          <t>Sekretariat</t>
        </is>
      </c>
      <c r="D47" s="25" t="inlineStr">
        <is>
          <t>Emily Schmidt</t>
        </is>
      </c>
      <c r="F47" s="25" t="inlineStr">
        <is>
          <t>Larissa Radimersky</t>
        </is>
      </c>
    </row>
    <row r="48">
      <c r="B48" s="25" t="inlineStr">
        <is>
          <t>EDV</t>
        </is>
      </c>
      <c r="D48" s="25" t="inlineStr">
        <is>
          <t>Siebert</t>
        </is>
      </c>
      <c r="F48" s="25" t="inlineStr"/>
    </row>
    <row r="49">
      <c r="B49" s="25" t="inlineStr">
        <is>
          <t>Med.&amp;Verbr.-stoff</t>
        </is>
      </c>
      <c r="D49" s="25" t="inlineStr">
        <is>
          <t>Zeller</t>
        </is>
      </c>
      <c r="F49" s="25" t="inlineStr">
        <is>
          <t>Breig</t>
        </is>
      </c>
    </row>
    <row r="50">
      <c r="B50" s="25" t="inlineStr">
        <is>
          <t>WD-Fzg &amp; Schutzkleidg</t>
        </is>
      </c>
      <c r="D50" s="25" t="inlineStr">
        <is>
          <t>Wunsch</t>
        </is>
      </c>
      <c r="F50" s="25" t="inlineStr"/>
    </row>
    <row r="51">
      <c r="B51" s="25" t="inlineStr">
        <is>
          <t>RTW &amp; MPG</t>
        </is>
      </c>
      <c r="D51" s="25" t="inlineStr">
        <is>
          <t>Göpfrich</t>
        </is>
      </c>
      <c r="F51" s="25" t="inlineStr"/>
    </row>
    <row r="52">
      <c r="B52" s="25" t="inlineStr">
        <is>
          <t>Organisation Ambulanz</t>
        </is>
      </c>
      <c r="D52" s="25" t="inlineStr">
        <is>
          <t>Wunsch</t>
        </is>
      </c>
      <c r="F52" s="25" t="inlineStr"/>
    </row>
    <row r="53">
      <c r="B53" s="25" t="inlineStr">
        <is>
          <t>Ablauf&amp;Prozessprobleme</t>
        </is>
      </c>
      <c r="D53" s="25" t="inlineStr">
        <is>
          <t>Putschler</t>
        </is>
      </c>
      <c r="F53" s="25" t="inlineStr"/>
    </row>
    <row r="54">
      <c r="B54" s="25" t="inlineStr">
        <is>
          <t>BGF</t>
        </is>
      </c>
      <c r="D54" s="25" t="inlineStr">
        <is>
          <t>Zieger-Buchta</t>
        </is>
      </c>
      <c r="F54" s="25" t="inlineStr">
        <is>
          <t>Müller-Horn</t>
        </is>
      </c>
    </row>
    <row r="55">
      <c r="B55" s="25" t="inlineStr">
        <is>
          <t>Hygiene</t>
        </is>
      </c>
      <c r="D55" s="25" t="inlineStr">
        <is>
          <t>Wunsch</t>
        </is>
      </c>
      <c r="F55" s="25" t="inlineStr"/>
    </row>
  </sheetData>
  <mergeCells count="57">
    <mergeCell ref="B4:F4"/>
    <mergeCell ref="B47:C47"/>
    <mergeCell ref="B54:C54"/>
    <mergeCell ref="C17:F17"/>
    <mergeCell ref="C23:F23"/>
    <mergeCell ref="C39:F39"/>
    <mergeCell ref="C8:F8"/>
    <mergeCell ref="B3:F3"/>
    <mergeCell ref="B46:C46"/>
    <mergeCell ref="B1:F2"/>
    <mergeCell ref="C7:F7"/>
    <mergeCell ref="C38:F38"/>
    <mergeCell ref="D46:E46"/>
    <mergeCell ref="B22:F22"/>
    <mergeCell ref="C32:F32"/>
    <mergeCell ref="D50:E50"/>
    <mergeCell ref="C19:F19"/>
    <mergeCell ref="C37:F37"/>
    <mergeCell ref="C18:F18"/>
    <mergeCell ref="B12:F12"/>
    <mergeCell ref="B48:C48"/>
    <mergeCell ref="B52:C52"/>
    <mergeCell ref="D52:E52"/>
    <mergeCell ref="D49:E49"/>
    <mergeCell ref="C34:F34"/>
    <mergeCell ref="C30:F30"/>
    <mergeCell ref="C15:F15"/>
    <mergeCell ref="C33:F33"/>
    <mergeCell ref="B14:F14"/>
    <mergeCell ref="C24:F24"/>
    <mergeCell ref="C42:F42"/>
    <mergeCell ref="D48:E48"/>
    <mergeCell ref="B53:C53"/>
    <mergeCell ref="D53:E53"/>
    <mergeCell ref="D47:E47"/>
    <mergeCell ref="B29:F29"/>
    <mergeCell ref="C35:F35"/>
    <mergeCell ref="C20:F20"/>
    <mergeCell ref="C26:F26"/>
    <mergeCell ref="C16:F16"/>
    <mergeCell ref="C25:F25"/>
    <mergeCell ref="C10:F10"/>
    <mergeCell ref="C41:F41"/>
    <mergeCell ref="B49:C49"/>
    <mergeCell ref="C40:F40"/>
    <mergeCell ref="C9:F9"/>
    <mergeCell ref="B55:C55"/>
    <mergeCell ref="C31:F31"/>
    <mergeCell ref="D55:E55"/>
    <mergeCell ref="B6:F6"/>
    <mergeCell ref="B51:C51"/>
    <mergeCell ref="C43:F43"/>
    <mergeCell ref="D51:E51"/>
    <mergeCell ref="B50:C50"/>
    <mergeCell ref="D54:E54"/>
    <mergeCell ref="C27:F27"/>
    <mergeCell ref="C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Sekretariat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Emily Schmidt (CC: Larissa Radimersky)</t>
        </is>
      </c>
      <c r="H3" s="51" t="inlineStr">
        <is>
          <t>BCC: Putschler | CC: Larissa Radimersky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Sekretariat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3A047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EDV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Siebert</t>
        </is>
      </c>
      <c r="H3" s="51" t="inlineStr">
        <is>
          <t>BCC: Putschler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EDV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B8C0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Med.&amp;Verbr.-stoff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Zeller (CC: Breig)</t>
        </is>
      </c>
      <c r="H3" s="51" t="inlineStr">
        <is>
          <t>BCC: Putschler | CC: Breig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Med.&amp;Verbr.-stoff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E24AA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WD-Fzg &amp; Schutzkleidg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 t="inlineStr">
        <is>
          <t>BCC: Putschler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WD-Fzg &amp; Schutzkleidg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53935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RTW &amp; MPG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Göpfrich</t>
        </is>
      </c>
      <c r="H3" s="51" t="inlineStr">
        <is>
          <t>BCC: Putschler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RTW &amp; MPG</oddHeader>
    <oddFooter>&amp;LWerksärztlicher Dienst Mercedes-Benz&amp;RSeite &amp;P von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ACC1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Organisation Ambulanz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 t="inlineStr">
        <is>
          <t>BCC: Putschler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Organisation Ambulanz</oddHeader>
    <oddFooter>&amp;LWerksärztlicher Dienst Mercedes-Benz&amp;RSeite &amp;P von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Ablauf&amp;Prozessprobleme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Putschler</t>
        </is>
      </c>
      <c r="H3" s="51" t="inlineStr">
        <is>
          <t>BCC: Putschler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Ablauf&amp;Prozessprobleme</oddHeader>
    <oddFooter>&amp;LWerksärztlicher Dienst Mercedes-Benz&amp;RSeite &amp;P von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0CA33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BGF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Zieger-Buchta (CC: Müller-Horn)</t>
        </is>
      </c>
      <c r="H3" s="51" t="inlineStr">
        <is>
          <t>BCC: Putschler | CC: Müller-Horn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BGF</oddHeader>
    <oddFooter>&amp;LWerksärztlicher Dienst Mercedes-Benz&amp;RSeite &amp;P von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F06292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Hygiene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 t="inlineStr">
        <is>
          <t>BCC: Putschler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conditionalFormatting sqref="C5:C504">
    <cfRule type="expression" priority="9" dxfId="10" stopIfTrue="1">
      <formula>AND($B5&lt;&gt;"",$C5="")</formula>
    </cfRule>
  </conditionalFormatting>
  <conditionalFormatting sqref="D5:D504">
    <cfRule type="expression" priority="10" dxfId="10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Hygiene</oddHeader>
    <oddFooter>&amp;LWerksärztlicher Dienst Mercedes-Benz&amp;RSeite &amp;P von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DC3545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0" customWidth="1" min="3" max="3"/>
    <col width="50" customWidth="1" min="4" max="4"/>
  </cols>
  <sheetData>
    <row r="1" ht="30" customHeight="1">
      <c r="A1" s="6" t="inlineStr">
        <is>
          <t>Kategorie</t>
        </is>
      </c>
      <c r="B1" s="6" t="inlineStr">
        <is>
          <t>Beschreibung</t>
        </is>
      </c>
      <c r="C1" s="6" t="inlineStr">
        <is>
          <t>Details</t>
        </is>
      </c>
      <c r="D1" s="6" t="inlineStr">
        <is>
          <t>Beispiele</t>
        </is>
      </c>
    </row>
    <row r="2" ht="60" customHeight="1">
      <c r="A2" s="55" t="inlineStr">
        <is>
          <t>D</t>
        </is>
      </c>
      <c r="B2" s="56" t="inlineStr">
        <is>
          <t>Fehler mit gravierenden Folgen</t>
        </is>
      </c>
      <c r="C2" s="57" t="inlineStr">
        <is>
          <t>daraus resultierende schwere Gesundheitsschäden, wesentliche finanzielle Nachteile oder ein erheblicher Imageverlust</t>
        </is>
      </c>
      <c r="D2" s="57" t="inlineStr">
        <is>
          <t>gesetzl. vorgeschriebene Unterweisungen oder Überprüfungen liegen nicht vor, Behandlungsfehler mit Konsequenzen, Defekte von Notfallgeräten</t>
        </is>
      </c>
    </row>
    <row r="3" ht="60" customHeight="1">
      <c r="A3" s="58" t="inlineStr">
        <is>
          <t>C</t>
        </is>
      </c>
      <c r="B3" s="59" t="inlineStr">
        <is>
          <t>Fehler mit leichten bis mittelschweren Folgen</t>
        </is>
      </c>
      <c r="C3" s="60" t="inlineStr">
        <is>
          <t>Fehler mit Gesundheitsschäden, Einsatzfähigkeit HSM gefährdet, Fehler führte zu externer Kundenbeschwerde, Vorgegebener Standard wird nicht durchgeführt</t>
        </is>
      </c>
      <c r="D3" s="60" t="inlineStr">
        <is>
          <t>Behandlungsfehler ohne Konsequenzen, Termin- oder Materialkonflikt nicht rechtzeitig erkannt, Ausgang von Medikamenten, NADOK Protokolle nicht vollständig ausgefüllt</t>
        </is>
      </c>
    </row>
    <row r="4" ht="60" customHeight="1">
      <c r="A4" s="61" t="inlineStr">
        <is>
          <t>B</t>
        </is>
      </c>
      <c r="B4" s="62" t="inlineStr">
        <is>
          <t>Beinahefehler ohne Folgen</t>
        </is>
      </c>
      <c r="C4" s="63" t="inlineStr">
        <is>
          <t>ein Fehler wurde noch vor seinem wirksamen Eintreten erkannt, bzw. durch Gegenmaßnahmen können Folgen noch abgefangen werden</t>
        </is>
      </c>
      <c r="D4" s="63" t="inlineStr">
        <is>
          <t>Termin- oder Materialkonflikt gerade noch rechtzeitig erkannt und behoben</t>
        </is>
      </c>
    </row>
    <row r="5" ht="60" customHeight="1">
      <c r="A5" s="64" t="inlineStr">
        <is>
          <t>A</t>
        </is>
      </c>
      <c r="B5" s="65" t="inlineStr">
        <is>
          <t>unsichere Handlung</t>
        </is>
      </c>
      <c r="C5" s="66" t="inlineStr">
        <is>
          <t>es wird unsauber gearbeitet, aber es entsteht kein Schaden</t>
        </is>
      </c>
      <c r="D5" s="66" t="inlineStr">
        <is>
          <t>Vorgaben werden nicht eingehalten, z.B. Eintrag der RTW Checks in FB 260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66666"/>
    <outlinePr summaryBelow="1" summaryRight="1"/>
    <pageSetUpPr/>
  </sheetPr>
  <dimension ref="A1:J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  <col width="22" customWidth="1" min="6" max="6"/>
    <col width="30" customWidth="1" min="8" max="8"/>
    <col width="18" customWidth="1" min="10" max="10"/>
  </cols>
  <sheetData>
    <row r="1" ht="30" customHeight="1">
      <c r="A1" s="46" t="inlineStr">
        <is>
          <t>Mitarbeiterliste &amp; E-Mail-Adressen</t>
        </is>
      </c>
    </row>
    <row r="2">
      <c r="A2" s="6" t="inlineStr">
        <is>
          <t>Name</t>
        </is>
      </c>
      <c r="B2" s="6" t="inlineStr">
        <is>
          <t>E-Mail</t>
        </is>
      </c>
      <c r="C2" s="6" t="inlineStr">
        <is>
          <t>Funktion/Bereich</t>
        </is>
      </c>
      <c r="D2" s="6" t="inlineStr">
        <is>
          <t>Notiz</t>
        </is>
      </c>
    </row>
    <row r="3">
      <c r="A3" s="67" t="inlineStr">
        <is>
          <t>Dr. Markus Frei</t>
        </is>
      </c>
      <c r="B3" s="67" t="inlineStr">
        <is>
          <t>markus.frei@mercedes-benz.com</t>
        </is>
      </c>
      <c r="C3" s="68" t="inlineStr">
        <is>
          <t>Arzt</t>
        </is>
      </c>
      <c r="D3" s="67" t="inlineStr"/>
    </row>
    <row r="4">
      <c r="A4" s="69" t="inlineStr">
        <is>
          <t>Dr. Sabine Schmidt</t>
        </is>
      </c>
      <c r="B4" s="69" t="inlineStr">
        <is>
          <t>sabine.m.schmidt@mercedes-benz.com</t>
        </is>
      </c>
      <c r="C4" s="70" t="inlineStr">
        <is>
          <t>Ärztin</t>
        </is>
      </c>
      <c r="D4" s="69" t="inlineStr"/>
    </row>
    <row r="5">
      <c r="A5" s="67" t="inlineStr">
        <is>
          <t>Dr. Lilla Vitez</t>
        </is>
      </c>
      <c r="B5" s="67" t="inlineStr">
        <is>
          <t>lilla.vitez@mercedes-benz.com</t>
        </is>
      </c>
      <c r="C5" s="68" t="inlineStr">
        <is>
          <t>Ärztin</t>
        </is>
      </c>
      <c r="D5" s="67" t="inlineStr"/>
    </row>
    <row r="6">
      <c r="A6" s="69" t="inlineStr">
        <is>
          <t>Bernd Breig</t>
        </is>
      </c>
      <c r="B6" s="69" t="inlineStr">
        <is>
          <t>bernd.breig@mercedes-benz.com</t>
        </is>
      </c>
      <c r="C6" s="70" t="inlineStr">
        <is>
          <t>Stv. Med.&amp;Verbr.-stoff</t>
        </is>
      </c>
      <c r="D6" s="69" t="inlineStr"/>
    </row>
    <row r="7">
      <c r="A7" s="67" t="inlineStr">
        <is>
          <t>Elke Krempl</t>
        </is>
      </c>
      <c r="B7" s="67" t="inlineStr">
        <is>
          <t>elke.krempl@mercedes-benz.com</t>
        </is>
      </c>
      <c r="C7" s="68" t="inlineStr">
        <is>
          <t>Mitarbeiterin</t>
        </is>
      </c>
      <c r="D7" s="67" t="inlineStr"/>
    </row>
    <row r="8">
      <c r="A8" s="69" t="inlineStr">
        <is>
          <t>Emanuel Siebert</t>
        </is>
      </c>
      <c r="B8" s="69" t="inlineStr">
        <is>
          <t>emanuel.siebert@mercedes-benz.com</t>
        </is>
      </c>
      <c r="C8" s="70" t="inlineStr">
        <is>
          <t>Leiter EDV</t>
        </is>
      </c>
      <c r="D8" s="69" t="inlineStr"/>
    </row>
    <row r="9">
      <c r="A9" s="67" t="inlineStr">
        <is>
          <t>Walter Putschler</t>
        </is>
      </c>
      <c r="B9" s="67" t="inlineStr">
        <is>
          <t>walter.putschler@mercedes-benz.com</t>
        </is>
      </c>
      <c r="C9" s="68" t="inlineStr">
        <is>
          <t>Leiter Ablauf&amp;Prozessprobleme</t>
        </is>
      </c>
      <c r="D9" s="67" t="inlineStr">
        <is>
          <t>BCC-Empfänger</t>
        </is>
      </c>
    </row>
    <row r="10">
      <c r="A10" s="69" t="inlineStr">
        <is>
          <t>Benjamin Jochim</t>
        </is>
      </c>
      <c r="B10" s="69" t="inlineStr">
        <is>
          <t>benjamin.jochim@mercedes-benz.com</t>
        </is>
      </c>
      <c r="C10" s="70" t="inlineStr">
        <is>
          <t>Mitarbeiter</t>
        </is>
      </c>
      <c r="D10" s="69" t="inlineStr"/>
    </row>
    <row r="11">
      <c r="A11" s="67" t="inlineStr">
        <is>
          <t>Harry Zuber</t>
        </is>
      </c>
      <c r="B11" s="67" t="inlineStr">
        <is>
          <t>harry.zuber@mercedes-benz.com</t>
        </is>
      </c>
      <c r="C11" s="68" t="inlineStr">
        <is>
          <t>Mitarbeiter</t>
        </is>
      </c>
      <c r="D11" s="67" t="inlineStr"/>
    </row>
    <row r="12">
      <c r="A12" s="69" t="inlineStr">
        <is>
          <t>Markus Göpfrich</t>
        </is>
      </c>
      <c r="B12" s="69" t="inlineStr">
        <is>
          <t>Markus.Goepfrich@mercedes-benz.com</t>
        </is>
      </c>
      <c r="C12" s="70" t="inlineStr">
        <is>
          <t>Leiter RTW &amp; MPG</t>
        </is>
      </c>
      <c r="D12" s="69" t="inlineStr">
        <is>
          <t>Name im Dropdown: Göpfrich</t>
        </is>
      </c>
    </row>
    <row r="13">
      <c r="A13" s="67" t="inlineStr">
        <is>
          <t>Tobias Zeller</t>
        </is>
      </c>
      <c r="B13" s="67" t="inlineStr">
        <is>
          <t>tobias_felix.zeller@mercedes-benz.com</t>
        </is>
      </c>
      <c r="C13" s="68" t="inlineStr">
        <is>
          <t>Leiter Med.&amp;Verbr.-stoff</t>
        </is>
      </c>
      <c r="D13" s="67" t="inlineStr"/>
    </row>
    <row r="14">
      <c r="A14" s="69" t="inlineStr">
        <is>
          <t>Emily Kim Schmidt</t>
        </is>
      </c>
      <c r="B14" s="69" t="inlineStr">
        <is>
          <t>emily_kim.schmidt@mercedes-benz.com</t>
        </is>
      </c>
      <c r="C14" s="70" t="inlineStr">
        <is>
          <t>Leiterin Sekretariat</t>
        </is>
      </c>
      <c r="D14" s="69" t="inlineStr"/>
    </row>
    <row r="15">
      <c r="A15" s="67" t="inlineStr">
        <is>
          <t>Katrin Zieger-Buchta</t>
        </is>
      </c>
      <c r="B15" s="67" t="inlineStr">
        <is>
          <t>katrin.zieger-buchta@mercedes-benz.com</t>
        </is>
      </c>
      <c r="C15" s="68" t="inlineStr">
        <is>
          <t>Leiterin BGF</t>
        </is>
      </c>
      <c r="D15" s="67" t="inlineStr"/>
    </row>
    <row r="16">
      <c r="A16" s="69" t="inlineStr">
        <is>
          <t>Susanne Müller-Horn</t>
        </is>
      </c>
      <c r="B16" s="69" t="inlineStr">
        <is>
          <t>Susanne.Mueller-Horn@mercedes-benz.com</t>
        </is>
      </c>
      <c r="C16" s="70" t="inlineStr">
        <is>
          <t>Stv. BGF</t>
        </is>
      </c>
      <c r="D16" s="69" t="inlineStr"/>
    </row>
    <row r="17">
      <c r="A17" s="67" t="inlineStr">
        <is>
          <t>Larissa Radimersky</t>
        </is>
      </c>
      <c r="B17" s="67" t="inlineStr">
        <is>
          <t>larissa.radimersky@mercedes-benz.com</t>
        </is>
      </c>
      <c r="C17" s="68" t="inlineStr">
        <is>
          <t>Stv. Sekretariat</t>
        </is>
      </c>
      <c r="D17" s="67" t="inlineStr"/>
    </row>
    <row r="18">
      <c r="A18" s="69" t="inlineStr">
        <is>
          <t>Fabian Wunsch</t>
        </is>
      </c>
      <c r="B18" s="69" t="inlineStr">
        <is>
          <t>Fabian.Wunsch@mercedes-benz.com</t>
        </is>
      </c>
      <c r="C18" s="70" t="inlineStr">
        <is>
          <t>Leiter WD-Fzg, Org. Ambulanz, Hygiene</t>
        </is>
      </c>
      <c r="D18" s="69" t="inlineStr"/>
    </row>
    <row r="22">
      <c r="F22" s="38" t="inlineStr">
        <is>
          <t>Dropdown: Namen</t>
        </is>
      </c>
      <c r="H22" s="38" t="inlineStr">
        <is>
          <t>Dropdown: REKO</t>
        </is>
      </c>
      <c r="J22" s="38" t="inlineStr">
        <is>
          <t>Dropdown: Kategorie</t>
        </is>
      </c>
    </row>
    <row r="23">
      <c r="F23" s="37" t="inlineStr">
        <is>
          <t>Breig</t>
        </is>
      </c>
      <c r="H23" s="37" t="inlineStr">
        <is>
          <t>REKO</t>
        </is>
      </c>
      <c r="J23" s="37" t="inlineStr">
        <is>
          <t>A</t>
        </is>
      </c>
    </row>
    <row r="24">
      <c r="F24" s="37" t="inlineStr">
        <is>
          <t>Dr. Vitez</t>
        </is>
      </c>
      <c r="H24" s="37" t="inlineStr">
        <is>
          <t>Nicht erforderlich</t>
        </is>
      </c>
      <c r="J24" s="37" t="inlineStr">
        <is>
          <t>B</t>
        </is>
      </c>
    </row>
    <row r="25">
      <c r="F25" s="37" t="inlineStr">
        <is>
          <t>Dr.Frei</t>
        </is>
      </c>
      <c r="H25" s="37" t="inlineStr">
        <is>
          <t>Besprochen mit  Dr.Frei</t>
        </is>
      </c>
      <c r="J25" s="37" t="inlineStr">
        <is>
          <t>C</t>
        </is>
      </c>
    </row>
    <row r="26">
      <c r="F26" s="37" t="inlineStr">
        <is>
          <t>Dr.Schmidt</t>
        </is>
      </c>
      <c r="H26" s="37" t="inlineStr">
        <is>
          <t>Besprochen mit  Dr.Schmidt</t>
        </is>
      </c>
      <c r="J26" s="37" t="inlineStr">
        <is>
          <t>D</t>
        </is>
      </c>
    </row>
    <row r="27">
      <c r="F27" s="37" t="inlineStr">
        <is>
          <t>Göpfrich</t>
        </is>
      </c>
      <c r="H27" s="37" t="inlineStr">
        <is>
          <t>Besprochen mit  Dr. Vitez</t>
        </is>
      </c>
    </row>
    <row r="28">
      <c r="F28" s="37" t="inlineStr">
        <is>
          <t>Jochim</t>
        </is>
      </c>
      <c r="H28" s="37" t="inlineStr">
        <is>
          <t>Besprochen mit  Breig</t>
        </is>
      </c>
    </row>
    <row r="29">
      <c r="F29" s="37" t="inlineStr">
        <is>
          <t>Krempl</t>
        </is>
      </c>
      <c r="H29" s="37" t="inlineStr">
        <is>
          <t>Besprochen mit  Krempl</t>
        </is>
      </c>
    </row>
    <row r="30">
      <c r="F30" s="37" t="inlineStr">
        <is>
          <t>Müller-Horn</t>
        </is>
      </c>
      <c r="H30" s="37" t="inlineStr">
        <is>
          <t>Besprochen mit  Siebert</t>
        </is>
      </c>
    </row>
    <row r="31">
      <c r="F31" s="37" t="inlineStr">
        <is>
          <t>Putschler</t>
        </is>
      </c>
      <c r="H31" s="37" t="inlineStr">
        <is>
          <t>Besprochen mit  Putschler</t>
        </is>
      </c>
    </row>
    <row r="32">
      <c r="F32" s="37" t="inlineStr">
        <is>
          <t>Radimersky</t>
        </is>
      </c>
      <c r="H32" s="37" t="inlineStr">
        <is>
          <t>Besprochen mit  Jochim</t>
        </is>
      </c>
    </row>
    <row r="33">
      <c r="F33" s="37" t="inlineStr">
        <is>
          <t>Schmidt</t>
        </is>
      </c>
      <c r="H33" s="37" t="inlineStr">
        <is>
          <t>Besprochen mit  Zuber</t>
        </is>
      </c>
    </row>
    <row r="34">
      <c r="F34" s="37" t="inlineStr">
        <is>
          <t>Siebert</t>
        </is>
      </c>
      <c r="H34" s="37" t="inlineStr">
        <is>
          <t>Besprochen mit  Göpfrich</t>
        </is>
      </c>
    </row>
    <row r="35">
      <c r="F35" s="37" t="inlineStr">
        <is>
          <t>Wunsch</t>
        </is>
      </c>
      <c r="H35" s="37" t="inlineStr">
        <is>
          <t>Besprochen mit  Wunsch</t>
        </is>
      </c>
    </row>
    <row r="36">
      <c r="F36" s="37" t="inlineStr">
        <is>
          <t>Zeller</t>
        </is>
      </c>
      <c r="H36" s="37" t="inlineStr">
        <is>
          <t>Besprochen mit  Zeller</t>
        </is>
      </c>
    </row>
    <row r="37">
      <c r="F37" s="37" t="inlineStr">
        <is>
          <t>Zieger-Buchta</t>
        </is>
      </c>
      <c r="H37" s="37" t="inlineStr">
        <is>
          <t>Besprochen mit  Schmidt</t>
        </is>
      </c>
    </row>
    <row r="38">
      <c r="F38" s="37" t="inlineStr">
        <is>
          <t>Zuber</t>
        </is>
      </c>
      <c r="H38" s="37" t="inlineStr">
        <is>
          <t>Besprochen mit  Zieger-Buchta</t>
        </is>
      </c>
    </row>
    <row r="39">
      <c r="H39" s="37" t="inlineStr">
        <is>
          <t>Besprochen mit  Müller-Horn</t>
        </is>
      </c>
    </row>
    <row r="40">
      <c r="H40" s="37" t="inlineStr">
        <is>
          <t>Besprochen mit  Radimersky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2026-02-09T03:11:23Z</dcterms:created>
  <dcterms:modified xsi:type="dcterms:W3CDTF">2026-02-09T03:11:24Z</dcterms:modified>
</cp:coreProperties>
</file>