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fo" sheetId="2" state="visible" r:id="rId2"/>
    <sheet name="Sekretariat" sheetId="3" state="visible" r:id="rId3"/>
    <sheet name="EDV" sheetId="4" state="visible" r:id="rId4"/>
    <sheet name="Med.&amp;Verbr.-stoff" sheetId="5" state="visible" r:id="rId5"/>
    <sheet name="WD-Fzg &amp; Schutzkleidg" sheetId="6" state="visible" r:id="rId6"/>
    <sheet name="RTW &amp; MPG" sheetId="7" state="visible" r:id="rId7"/>
    <sheet name="Organisation Ambulanz" sheetId="8" state="visible" r:id="rId8"/>
    <sheet name="Ablauf&amp;Prozessprobleme" sheetId="9" state="visible" r:id="rId9"/>
    <sheet name="BGF" sheetId="10" state="visible" r:id="rId10"/>
    <sheet name="Getriebewerk" sheetId="11" state="visible" r:id="rId11"/>
    <sheet name="Hygiene" sheetId="12" state="visible" r:id="rId12"/>
    <sheet name="Fehlerkategorien" sheetId="13" state="visible" r:id="rId13"/>
    <sheet name="Hilfslisten" sheetId="14" state="visible" r:id="rId14"/>
  </sheets>
  <definedNames>
    <definedName name="NamenListe">Hilfslisten!$F$23:$F$39</definedName>
    <definedName name="REKOListe">Hilfslisten!$H$23:$H$40</definedName>
    <definedName name="KatListe">Hilfslisten!$J$23:$J$26</definedName>
    <definedName name="_xlnm._FilterDatabase" localSheetId="2" hidden="1">'Sekretariat'!$A$4:$L$54</definedName>
    <definedName name="_xlnm.Print_Titles" localSheetId="2">'Sekretariat'!$4:$4</definedName>
    <definedName name="_xlnm._FilterDatabase" localSheetId="3" hidden="1">'EDV'!$A$4:$L$57</definedName>
    <definedName name="_xlnm.Print_Titles" localSheetId="3">'EDV'!$4:$4</definedName>
    <definedName name="_xlnm._FilterDatabase" localSheetId="4" hidden="1">'Med.&amp;Verbr.-stoff'!$A$4:$L$57</definedName>
    <definedName name="_xlnm.Print_Titles" localSheetId="4">'Med.&amp;Verbr.-stoff'!$4:$4</definedName>
    <definedName name="_xlnm._FilterDatabase" localSheetId="5" hidden="1">'WD-Fzg &amp; Schutzkleidg'!$A$4:$L$56</definedName>
    <definedName name="_xlnm.Print_Titles" localSheetId="5">'WD-Fzg &amp; Schutzkleidg'!$4:$4</definedName>
    <definedName name="_xlnm._FilterDatabase" localSheetId="6" hidden="1">'RTW &amp; MPG'!$A$4:$L$59</definedName>
    <definedName name="_xlnm.Print_Titles" localSheetId="6">'RTW &amp; MPG'!$4:$4</definedName>
    <definedName name="_xlnm._FilterDatabase" localSheetId="7" hidden="1">'Organisation Ambulanz'!$A$4:$L$55</definedName>
    <definedName name="_xlnm.Print_Titles" localSheetId="7">'Organisation Ambulanz'!$4:$4</definedName>
    <definedName name="_xlnm._FilterDatabase" localSheetId="8" hidden="1">'Ablauf&amp;Prozessprobleme'!$A$4:$L$60</definedName>
    <definedName name="_xlnm.Print_Titles" localSheetId="8">'Ablauf&amp;Prozessprobleme'!$4:$4</definedName>
    <definedName name="_xlnm._FilterDatabase" localSheetId="9" hidden="1">'BGF'!$A$4:$L$54</definedName>
    <definedName name="_xlnm.Print_Titles" localSheetId="9">'BGF'!$4:$4</definedName>
    <definedName name="_xlnm._FilterDatabase" localSheetId="10" hidden="1">'Getriebewerk'!$A$4:$L$54</definedName>
    <definedName name="_xlnm.Print_Titles" localSheetId="10">'Getriebewerk'!$4:$4</definedName>
    <definedName name="_xlnm._FilterDatabase" localSheetId="11" hidden="1">'Hygiene'!$A$4:$L$55</definedName>
    <definedName name="_xlnm.Print_Titles" localSheetId="11">'Hygiene'!$4:$4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 HH:MM"/>
    <numFmt numFmtId="165" formatCode="yyyy-mm-dd h:mm:ss"/>
  </numFmts>
  <fonts count="23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333333"/>
      <sz val="13"/>
    </font>
    <font>
      <name val="Calibri"/>
      <b val="1"/>
      <color rgb="000F3460"/>
      <sz val="22"/>
    </font>
    <font>
      <name val="Calibri"/>
      <b val="1"/>
      <color rgb="0028A745"/>
      <sz val="22"/>
    </font>
    <font>
      <name val="Calibri"/>
      <b val="1"/>
      <color rgb="00DC3545"/>
      <sz val="22"/>
    </font>
    <font>
      <name val="Calibri"/>
      <b val="1"/>
      <color rgb="00FFFFFF"/>
      <sz val="11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b val="1"/>
      <color rgb="00DC3545"/>
      <sz val="10"/>
    </font>
    <font>
      <name val="Calibri"/>
      <b val="1"/>
      <color rgb="00FFFFFF"/>
      <sz val="16"/>
    </font>
    <font>
      <name val="Calibri"/>
      <color rgb="00666666"/>
      <sz val="9"/>
    </font>
    <font>
      <name val="Calibri"/>
      <b val="1"/>
      <color rgb="00FFFFFF"/>
      <sz val="11"/>
      <u val="single"/>
    </font>
    <font>
      <name val="Calibri"/>
      <i val="1"/>
      <color rgb="00666666"/>
      <sz val="9"/>
    </font>
  </fonts>
  <fills count="15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FE0B2"/>
        <bgColor rgb="00FFE0B2"/>
      </patternFill>
    </fill>
    <fill>
      <patternFill patternType="solid">
        <fgColor rgb="00F8D7DA"/>
        <bgColor rgb="00F8D7DA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1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13" fillId="0" borderId="0" pivotButton="0" quotePrefix="0" xfId="0"/>
    <xf numFmtId="0" fontId="0" fillId="5" borderId="1" pivotButton="0" quotePrefix="0" xfId="0"/>
    <xf numFmtId="0" fontId="7" fillId="0" borderId="1" pivotButton="0" quotePrefix="0" xfId="0"/>
    <xf numFmtId="0" fontId="11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19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13" borderId="0" applyAlignment="1" pivotButton="0" quotePrefix="0" xfId="0">
      <alignment vertical="top" wrapText="1"/>
    </xf>
    <xf numFmtId="0" fontId="21" fillId="14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6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1" fillId="3" borderId="1" pivotButton="0" quotePrefix="0" xfId="0"/>
    <xf numFmtId="0" fontId="11" fillId="3" borderId="1" applyAlignment="1" pivotButton="0" quotePrefix="0" xfId="0">
      <alignment vertical="top" wrapText="1"/>
    </xf>
    <xf numFmtId="0" fontId="11" fillId="4" borderId="1" pivotButton="0" quotePrefix="0" xfId="0"/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B71C1C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FE0B2"/>
          <bgColor rgb="00FFE0B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8E1"/>
          <bgColor rgb="00FFF8E1"/>
        </patternFill>
      </fill>
    </dxf>
    <dxf>
      <font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emily_kim.schmidt@mercedes-benz.com?subject=LARIS%20Meldung%20-%20Sekretariat&amp;bcc=walter.putschler@mercedes-benz.com&amp;body=Neue%20LARIS-Meldung%20im%20Bereich%3A%20Sekretariat%0A%0ABitte%20in%20LARIS%20pr%C3%BCfen%20und%20bearbeiten.%0A%0AMit%20freundlichen%20Gr%C3%BC%C3%9Fen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ailto:tobias_felix.zeller@mercedes-benz.com?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mailto:katrin.zieger-buchta@mercedes-benz.com?subject=LARIS%20Meldung%20-%20BGF&amp;bcc=walter.putschler@mercedes-benz.com&amp;body=Neue%20LARIS-Meldung%20im%20Bereich%3A%20BGF%0A%0ABitte%20in%20LARIS%20pr%C3%BCfen%20und%20bearbeiten.%0A%0AMit%20freundlichen%20Gr%C3%BC%C3%9Fen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mailto:markus.frei@mercedes-benz.com?subject=LARIS%20Meldung%20-%20Getriebewerk&amp;bcc=walter.putschler@mercedes-benz.com&amp;body=Neue%20LARIS-Meldung%20im%20Bereich%3A%20Getriebewerk%0A%0ABitte%20in%20LARIS%20pr%C3%BCfen%20und%20bearbeiten.%0A%0AMit%20freundlichen%20Gr%C3%BC%C3%9Fen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1" /></Relationships>
</file>

<file path=xl/worksheets/sheet1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B1:L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5" customWidth="1" min="6" max="6"/>
    <col width="10" customWidth="1" min="7" max="7"/>
    <col width="10" customWidth="1" min="8" max="8"/>
    <col width="10" customWidth="1" min="9" max="9"/>
    <col width="10" customWidth="1" min="10" max="10"/>
    <col width="5" customWidth="1" min="11" max="11"/>
    <col width="22" customWidth="1" min="12" max="12"/>
  </cols>
  <sheetData>
    <row r="1" ht="25" customHeight="1">
      <c r="B1" s="1" t="inlineStr">
        <is>
          <t>LARIS Dashboard - Gesamtübersicht</t>
        </is>
      </c>
    </row>
    <row r="2" ht="25" customHeight="1"/>
    <row r="3" ht="8" customHeight="1"/>
    <row r="4" ht="35" customHeight="1">
      <c r="B4" s="2" t="inlineStr">
        <is>
          <t>Gesamt Meldungen:</t>
        </is>
      </c>
      <c r="D4" s="3">
        <f>C17</f>
        <v/>
      </c>
      <c r="E4" s="2" t="inlineStr">
        <is>
          <t>Erledigt:</t>
        </is>
      </c>
      <c r="G4" s="4">
        <f>D17</f>
        <v/>
      </c>
      <c r="H4" s="2" t="inlineStr">
        <is>
          <t>Offen:</t>
        </is>
      </c>
      <c r="J4" s="5">
        <f>E17</f>
        <v/>
      </c>
    </row>
    <row r="6" ht="30" customHeight="1">
      <c r="B6" s="6" t="inlineStr">
        <is>
          <t>Bereich</t>
        </is>
      </c>
      <c r="C6" s="6" t="inlineStr">
        <is>
          <t>Meldungen</t>
        </is>
      </c>
      <c r="D6" s="6" t="inlineStr">
        <is>
          <t>Erledigt</t>
        </is>
      </c>
      <c r="E6" s="6" t="inlineStr">
        <is>
          <t>Offen</t>
        </is>
      </c>
      <c r="F6" s="6" t="inlineStr"/>
      <c r="G6" s="6" t="inlineStr">
        <is>
          <t>Kat A</t>
        </is>
      </c>
      <c r="H6" s="6" t="inlineStr">
        <is>
          <t>Kat B</t>
        </is>
      </c>
      <c r="I6" s="6" t="inlineStr">
        <is>
          <t>Kat C</t>
        </is>
      </c>
      <c r="J6" s="6" t="inlineStr">
        <is>
          <t>Kat D</t>
        </is>
      </c>
      <c r="K6" s="6" t="inlineStr"/>
      <c r="L6" s="6" t="inlineStr">
        <is>
          <t>Leiter</t>
        </is>
      </c>
    </row>
    <row r="7">
      <c r="B7" s="7" t="inlineStr">
        <is>
          <t>Sekretariat</t>
        </is>
      </c>
      <c r="C7" s="8">
        <f>COUNTA('Sekretariat'!B5:B504)</f>
        <v/>
      </c>
      <c r="D7" s="9">
        <f>COUNTA('Sekretariat'!H5:H504)</f>
        <v/>
      </c>
      <c r="E7" s="10">
        <f>C7-D7</f>
        <v/>
      </c>
      <c r="F7" s="11" t="n"/>
      <c r="G7" s="12">
        <f>COUNTIF('Sekretariat'!J5:J504,"A")</f>
        <v/>
      </c>
      <c r="H7" s="12">
        <f>COUNTIF('Sekretariat'!J5:J504,"B")</f>
        <v/>
      </c>
      <c r="I7" s="12">
        <f>COUNTIF('Sekretariat'!J5:J504,"C")</f>
        <v/>
      </c>
      <c r="J7" s="12">
        <f>COUNTIF('Sekretariat'!J5:J504,"D")</f>
        <v/>
      </c>
      <c r="K7" s="11" t="n"/>
      <c r="L7" s="12" t="inlineStr">
        <is>
          <t>Emily Schmidt</t>
        </is>
      </c>
    </row>
    <row r="8">
      <c r="B8" s="13" t="inlineStr">
        <is>
          <t>EDV</t>
        </is>
      </c>
      <c r="C8" s="14">
        <f>COUNTA('EDV'!B5:B504)</f>
        <v/>
      </c>
      <c r="D8" s="15">
        <f>COUNTA('EDV'!H5:H504)</f>
        <v/>
      </c>
      <c r="E8" s="16">
        <f>C8-D8</f>
        <v/>
      </c>
      <c r="F8" s="17" t="n"/>
      <c r="G8" s="18">
        <f>COUNTIF('EDV'!J5:J504,"A")</f>
        <v/>
      </c>
      <c r="H8" s="18">
        <f>COUNTIF('EDV'!J5:J504,"B")</f>
        <v/>
      </c>
      <c r="I8" s="18">
        <f>COUNTIF('EDV'!J5:J504,"C")</f>
        <v/>
      </c>
      <c r="J8" s="18">
        <f>COUNTIF('EDV'!J5:J504,"D")</f>
        <v/>
      </c>
      <c r="K8" s="17" t="n"/>
      <c r="L8" s="18" t="inlineStr">
        <is>
          <t>Siebert</t>
        </is>
      </c>
    </row>
    <row r="9">
      <c r="B9" s="7" t="inlineStr">
        <is>
          <t>Med.&amp;Verbr.-stoff</t>
        </is>
      </c>
      <c r="C9" s="8">
        <f>COUNTA('Med.&amp;Verbr.-stoff'!B5:B504)</f>
        <v/>
      </c>
      <c r="D9" s="9">
        <f>COUNTA('Med.&amp;Verbr.-stoff'!H5:H504)</f>
        <v/>
      </c>
      <c r="E9" s="10">
        <f>C9-D9</f>
        <v/>
      </c>
      <c r="F9" s="11" t="n"/>
      <c r="G9" s="12">
        <f>COUNTIF('Med.&amp;Verbr.-stoff'!J5:J504,"A")</f>
        <v/>
      </c>
      <c r="H9" s="12">
        <f>COUNTIF('Med.&amp;Verbr.-stoff'!J5:J504,"B")</f>
        <v/>
      </c>
      <c r="I9" s="12">
        <f>COUNTIF('Med.&amp;Verbr.-stoff'!J5:J504,"C")</f>
        <v/>
      </c>
      <c r="J9" s="12">
        <f>COUNTIF('Med.&amp;Verbr.-stoff'!J5:J504,"D")</f>
        <v/>
      </c>
      <c r="K9" s="11" t="n"/>
      <c r="L9" s="12" t="inlineStr">
        <is>
          <t>Zeller</t>
        </is>
      </c>
    </row>
    <row r="10">
      <c r="B10" s="13" t="inlineStr">
        <is>
          <t>WD-Fzg &amp; Schutzkleidg</t>
        </is>
      </c>
      <c r="C10" s="14">
        <f>COUNTA('WD-Fzg &amp; Schutzkleidg'!B5:B504)</f>
        <v/>
      </c>
      <c r="D10" s="15">
        <f>COUNTA('WD-Fzg &amp; Schutzkleidg'!H5:H504)</f>
        <v/>
      </c>
      <c r="E10" s="16">
        <f>C10-D10</f>
        <v/>
      </c>
      <c r="F10" s="17" t="n"/>
      <c r="G10" s="18">
        <f>COUNTIF('WD-Fzg &amp; Schutzkleidg'!J5:J504,"A")</f>
        <v/>
      </c>
      <c r="H10" s="18">
        <f>COUNTIF('WD-Fzg &amp; Schutzkleidg'!J5:J504,"B")</f>
        <v/>
      </c>
      <c r="I10" s="18">
        <f>COUNTIF('WD-Fzg &amp; Schutzkleidg'!J5:J504,"C")</f>
        <v/>
      </c>
      <c r="J10" s="18">
        <f>COUNTIF('WD-Fzg &amp; Schutzkleidg'!J5:J504,"D")</f>
        <v/>
      </c>
      <c r="K10" s="17" t="n"/>
      <c r="L10" s="18" t="inlineStr">
        <is>
          <t>Wunsch</t>
        </is>
      </c>
    </row>
    <row r="11">
      <c r="B11" s="7" t="inlineStr">
        <is>
          <t>RTW &amp; MPG</t>
        </is>
      </c>
      <c r="C11" s="8">
        <f>COUNTA('RTW &amp; MPG'!B5:B504)</f>
        <v/>
      </c>
      <c r="D11" s="9">
        <f>COUNTA('RTW &amp; MPG'!H5:H504)</f>
        <v/>
      </c>
      <c r="E11" s="10">
        <f>C11-D11</f>
        <v/>
      </c>
      <c r="F11" s="11" t="n"/>
      <c r="G11" s="12">
        <f>COUNTIF('RTW &amp; MPG'!J5:J504,"A")</f>
        <v/>
      </c>
      <c r="H11" s="12">
        <f>COUNTIF('RTW &amp; MPG'!J5:J504,"B")</f>
        <v/>
      </c>
      <c r="I11" s="12">
        <f>COUNTIF('RTW &amp; MPG'!J5:J504,"C")</f>
        <v/>
      </c>
      <c r="J11" s="12">
        <f>COUNTIF('RTW &amp; MPG'!J5:J504,"D")</f>
        <v/>
      </c>
      <c r="K11" s="11" t="n"/>
      <c r="L11" s="12" t="inlineStr">
        <is>
          <t>Goepfrich</t>
        </is>
      </c>
    </row>
    <row r="12">
      <c r="B12" s="13" t="inlineStr">
        <is>
          <t>Organisation Ambulanz</t>
        </is>
      </c>
      <c r="C12" s="14">
        <f>COUNTA('Organisation Ambulanz'!B5:B504)</f>
        <v/>
      </c>
      <c r="D12" s="15">
        <f>COUNTA('Organisation Ambulanz'!H5:H504)</f>
        <v/>
      </c>
      <c r="E12" s="16">
        <f>C12-D12</f>
        <v/>
      </c>
      <c r="F12" s="17" t="n"/>
      <c r="G12" s="18">
        <f>COUNTIF('Organisation Ambulanz'!J5:J504,"A")</f>
        <v/>
      </c>
      <c r="H12" s="18">
        <f>COUNTIF('Organisation Ambulanz'!J5:J504,"B")</f>
        <v/>
      </c>
      <c r="I12" s="18">
        <f>COUNTIF('Organisation Ambulanz'!J5:J504,"C")</f>
        <v/>
      </c>
      <c r="J12" s="18">
        <f>COUNTIF('Organisation Ambulanz'!J5:J504,"D")</f>
        <v/>
      </c>
      <c r="K12" s="17" t="n"/>
      <c r="L12" s="18" t="inlineStr">
        <is>
          <t>Wunsch</t>
        </is>
      </c>
    </row>
    <row r="13">
      <c r="B13" s="7" t="inlineStr">
        <is>
          <t>Ablauf&amp;Prozessprobleme</t>
        </is>
      </c>
      <c r="C13" s="8">
        <f>COUNTA('Ablauf&amp;Prozessprobleme'!B5:B504)</f>
        <v/>
      </c>
      <c r="D13" s="9">
        <f>COUNTA('Ablauf&amp;Prozessprobleme'!H5:H504)</f>
        <v/>
      </c>
      <c r="E13" s="10">
        <f>C13-D13</f>
        <v/>
      </c>
      <c r="F13" s="11" t="n"/>
      <c r="G13" s="12">
        <f>COUNTIF('Ablauf&amp;Prozessprobleme'!J5:J504,"A")</f>
        <v/>
      </c>
      <c r="H13" s="12">
        <f>COUNTIF('Ablauf&amp;Prozessprobleme'!J5:J504,"B")</f>
        <v/>
      </c>
      <c r="I13" s="12">
        <f>COUNTIF('Ablauf&amp;Prozessprobleme'!J5:J504,"C")</f>
        <v/>
      </c>
      <c r="J13" s="12">
        <f>COUNTIF('Ablauf&amp;Prozessprobleme'!J5:J504,"D")</f>
        <v/>
      </c>
      <c r="K13" s="11" t="n"/>
      <c r="L13" s="12" t="inlineStr">
        <is>
          <t>Putschler</t>
        </is>
      </c>
    </row>
    <row r="14">
      <c r="B14" s="13" t="inlineStr">
        <is>
          <t>BGF</t>
        </is>
      </c>
      <c r="C14" s="14">
        <f>COUNTA('BGF'!B5:B504)</f>
        <v/>
      </c>
      <c r="D14" s="15">
        <f>COUNTA('BGF'!H5:H504)</f>
        <v/>
      </c>
      <c r="E14" s="16">
        <f>C14-D14</f>
        <v/>
      </c>
      <c r="F14" s="17" t="n"/>
      <c r="G14" s="18">
        <f>COUNTIF('BGF'!J5:J504,"A")</f>
        <v/>
      </c>
      <c r="H14" s="18">
        <f>COUNTIF('BGF'!J5:J504,"B")</f>
        <v/>
      </c>
      <c r="I14" s="18">
        <f>COUNTIF('BGF'!J5:J504,"C")</f>
        <v/>
      </c>
      <c r="J14" s="18">
        <f>COUNTIF('BGF'!J5:J504,"D")</f>
        <v/>
      </c>
      <c r="K14" s="17" t="n"/>
      <c r="L14" s="18" t="inlineStr">
        <is>
          <t>Zieger-Buchta</t>
        </is>
      </c>
    </row>
    <row r="15">
      <c r="B15" s="7" t="inlineStr">
        <is>
          <t>Getriebewerk</t>
        </is>
      </c>
      <c r="C15" s="8">
        <f>COUNTA('Getriebewerk'!B5:B504)</f>
        <v/>
      </c>
      <c r="D15" s="9">
        <f>COUNTA('Getriebewerk'!H5:H504)</f>
        <v/>
      </c>
      <c r="E15" s="10">
        <f>C15-D15</f>
        <v/>
      </c>
      <c r="F15" s="11" t="n"/>
      <c r="G15" s="12">
        <f>COUNTIF('Getriebewerk'!J5:J504,"A")</f>
        <v/>
      </c>
      <c r="H15" s="12">
        <f>COUNTIF('Getriebewerk'!J5:J504,"B")</f>
        <v/>
      </c>
      <c r="I15" s="12">
        <f>COUNTIF('Getriebewerk'!J5:J504,"C")</f>
        <v/>
      </c>
      <c r="J15" s="12">
        <f>COUNTIF('Getriebewerk'!J5:J504,"D")</f>
        <v/>
      </c>
      <c r="K15" s="11" t="n"/>
      <c r="L15" s="12" t="inlineStr">
        <is>
          <t>Dr.Frei</t>
        </is>
      </c>
    </row>
    <row r="16">
      <c r="B16" s="13" t="inlineStr">
        <is>
          <t>Hygiene</t>
        </is>
      </c>
      <c r="C16" s="14">
        <f>COUNTA('Hygiene'!B5:B504)</f>
        <v/>
      </c>
      <c r="D16" s="15">
        <f>COUNTA('Hygiene'!H5:H504)</f>
        <v/>
      </c>
      <c r="E16" s="16">
        <f>C16-D16</f>
        <v/>
      </c>
      <c r="F16" s="17" t="n"/>
      <c r="G16" s="18">
        <f>COUNTIF('Hygiene'!J5:J504,"A")</f>
        <v/>
      </c>
      <c r="H16" s="18">
        <f>COUNTIF('Hygiene'!J5:J504,"B")</f>
        <v/>
      </c>
      <c r="I16" s="18">
        <f>COUNTIF('Hygiene'!J5:J504,"C")</f>
        <v/>
      </c>
      <c r="J16" s="18">
        <f>COUNTIF('Hygiene'!J5:J504,"D")</f>
        <v/>
      </c>
      <c r="K16" s="17" t="n"/>
      <c r="L16" s="18" t="inlineStr">
        <is>
          <t>Wunsch</t>
        </is>
      </c>
    </row>
    <row r="17">
      <c r="B17" s="19" t="inlineStr">
        <is>
          <t>GESAMT</t>
        </is>
      </c>
      <c r="C17" s="19">
        <f>SUM(C7:C16)</f>
        <v/>
      </c>
      <c r="D17" s="19">
        <f>SUM(D7:D16)</f>
        <v/>
      </c>
      <c r="E17" s="19">
        <f>SUM(E7:E16)</f>
        <v/>
      </c>
      <c r="F17" s="20" t="n"/>
      <c r="G17" s="19">
        <f>SUM(G7:G16)</f>
        <v/>
      </c>
      <c r="H17" s="19">
        <f>SUM(H7:H16)</f>
        <v/>
      </c>
      <c r="I17" s="19">
        <f>SUM(I7:I16)</f>
        <v/>
      </c>
      <c r="J17" s="19">
        <f>SUM(J7:J16)</f>
        <v/>
      </c>
      <c r="K17" s="20" t="n"/>
      <c r="L17" s="21" t="n"/>
    </row>
    <row r="19">
      <c r="B19" s="22" t="inlineStr">
        <is>
          <t>Legende Farbmarkierungen in den Bereichs-Sheets:</t>
        </is>
      </c>
    </row>
    <row r="20">
      <c r="B20" s="23" t="n"/>
      <c r="C20" s="24" t="inlineStr">
        <is>
          <t>Nr.-Spalte blau</t>
        </is>
      </c>
      <c r="D20" s="25" t="inlineStr">
        <is>
          <t>Neue Meldung (letzte 7 Tage)</t>
        </is>
      </c>
    </row>
    <row r="21">
      <c r="B21" s="26" t="n"/>
      <c r="C21" s="24" t="inlineStr">
        <is>
          <t>Zeile gelb</t>
        </is>
      </c>
      <c r="D21" s="25" t="inlineStr">
        <is>
          <t>Meldung offen (noch nicht erledigt)</t>
        </is>
      </c>
    </row>
    <row r="22">
      <c r="B22" s="27" t="n"/>
      <c r="C22" s="24" t="inlineStr">
        <is>
          <t>Zeile grün</t>
        </is>
      </c>
      <c r="D22" s="25" t="inlineStr">
        <is>
          <t>Meldung erledigt</t>
        </is>
      </c>
    </row>
    <row r="23">
      <c r="B23" s="28" t="n"/>
      <c r="C23" s="24" t="inlineStr">
        <is>
          <t>Zeile rot</t>
        </is>
      </c>
      <c r="D23" s="25" t="inlineStr">
        <is>
          <t>Überfällig (&gt;14 Tage ohne Kenntnisnahme)</t>
        </is>
      </c>
    </row>
    <row r="24">
      <c r="B24" s="29" t="n"/>
      <c r="C24" s="24" t="inlineStr">
        <is>
          <t>Kategorie A</t>
        </is>
      </c>
      <c r="D24" s="25" t="inlineStr">
        <is>
          <t>Unsichere Handlung</t>
        </is>
      </c>
    </row>
    <row r="25">
      <c r="B25" s="30" t="n"/>
      <c r="C25" s="24" t="inlineStr">
        <is>
          <t>Kategorie B</t>
        </is>
      </c>
      <c r="D25" s="25" t="inlineStr">
        <is>
          <t>Beinahefehler ohne Folgen</t>
        </is>
      </c>
    </row>
    <row r="26">
      <c r="B26" s="31" t="n"/>
      <c r="C26" s="24" t="inlineStr">
        <is>
          <t>Kategorie C</t>
        </is>
      </c>
      <c r="D26" s="25" t="inlineStr">
        <is>
          <t>Fehler mit leichten bis mittelschweren Folgen</t>
        </is>
      </c>
    </row>
    <row r="27">
      <c r="B27" s="32" t="n"/>
      <c r="C27" s="24" t="inlineStr">
        <is>
          <t>Kategorie D</t>
        </is>
      </c>
      <c r="D27" s="25" t="inlineStr">
        <is>
          <t>Fehler mit gravierenden Folgen</t>
        </is>
      </c>
    </row>
  </sheetData>
  <mergeCells count="13">
    <mergeCell ref="E4:F4"/>
    <mergeCell ref="D27:F27"/>
    <mergeCell ref="B1:J2"/>
    <mergeCell ref="D23:F23"/>
    <mergeCell ref="D22:F22"/>
    <mergeCell ref="D26:F26"/>
    <mergeCell ref="B19:E19"/>
    <mergeCell ref="H4:I4"/>
    <mergeCell ref="D21:F21"/>
    <mergeCell ref="D25:F25"/>
    <mergeCell ref="D20:F20"/>
    <mergeCell ref="B4:C4"/>
    <mergeCell ref="D24:F24"/>
  </mergeCells>
  <conditionalFormatting sqref="E7:E16">
    <cfRule type="cellIs" priority="1" operator="greaterThan" dxfId="0" stopIfTrue="0">
      <formula>0</formula>
    </cfRule>
  </conditionalFormatting>
  <conditionalFormatting sqref="J7:J16">
    <cfRule type="cellIs" priority="2" operator="greaterThan" dxfId="1" stopIfTrue="0">
      <formula>0</formula>
    </cfRule>
    <cfRule type="cellIs" priority="6" operator="greaterThan" dxfId="2" stopIfTrue="0">
      <formula>0</formula>
    </cfRule>
  </conditionalFormatting>
  <conditionalFormatting sqref="G7:G16">
    <cfRule type="cellIs" priority="3" operator="greaterThan" dxfId="3" stopIfTrue="0">
      <formula>0</formula>
    </cfRule>
  </conditionalFormatting>
  <conditionalFormatting sqref="H7:H16">
    <cfRule type="cellIs" priority="4" operator="greaterThan" dxfId="4" stopIfTrue="0">
      <formula>0</formula>
    </cfRule>
  </conditionalFormatting>
  <conditionalFormatting sqref="I7:I16">
    <cfRule type="cellIs" priority="5" operator="greaterThan" dxfId="5" stopIfTrue="0">
      <formula>0</formula>
    </cfRule>
  </conditionalFormatting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B1:G51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</cols>
  <sheetData>
    <row r="1">
      <c r="B1" s="1" t="inlineStr">
        <is>
          <t>LARIS - Lernende Abweichungs-, Risiko- und Informationssammlung</t>
        </is>
      </c>
    </row>
    <row r="2"/>
    <row r="3">
      <c r="B3" s="33" t="inlineStr">
        <is>
          <t>Werksärztlicher Dienst Mercedes-Benz Rastatt/Kuppenheim</t>
        </is>
      </c>
    </row>
    <row r="4">
      <c r="B4" s="34" t="inlineStr">
        <is>
          <t>Version 2026 - Ohne Makros &amp; Blattschutz</t>
        </is>
      </c>
    </row>
    <row r="6">
      <c r="B6" s="35" t="inlineStr">
        <is>
          <t>Die Liste dient zur Meldung von:</t>
        </is>
      </c>
    </row>
    <row r="7">
      <c r="B7" s="36" t="inlineStr">
        <is>
          <t>●</t>
        </is>
      </c>
      <c r="C7" s="37" t="inlineStr">
        <is>
          <t>Vorkommnissen</t>
        </is>
      </c>
    </row>
    <row r="8">
      <c r="B8" s="36" t="inlineStr">
        <is>
          <t>●</t>
        </is>
      </c>
      <c r="C8" s="37" t="inlineStr">
        <is>
          <t>fehlendem oder fehlerhaftem Material</t>
        </is>
      </c>
    </row>
    <row r="9">
      <c r="B9" s="36" t="inlineStr">
        <is>
          <t>●</t>
        </is>
      </c>
      <c r="C9" s="37" t="inlineStr">
        <is>
          <t>Administrationsbedarf im Bereich</t>
        </is>
      </c>
    </row>
    <row r="10">
      <c r="C10" s="38" t="inlineStr">
        <is>
          <t>an den jeweiligen Bereichsleiter!</t>
        </is>
      </c>
    </row>
    <row r="12">
      <c r="B12" s="39" t="inlineStr">
        <is>
          <t>Informationen die alle betreffen müssen über E-Mail kommuniziert werden!</t>
        </is>
      </c>
    </row>
    <row r="14">
      <c r="B14" s="35" t="inlineStr">
        <is>
          <t>Erstellen einer Meldung</t>
        </is>
      </c>
    </row>
    <row r="15">
      <c r="B15" s="36" t="inlineStr">
        <is>
          <t>●</t>
        </is>
      </c>
      <c r="C15" s="37" t="inlineStr">
        <is>
          <t>Unten den entsprechenden Reiter für den Bereich auswählen</t>
        </is>
      </c>
    </row>
    <row r="16">
      <c r="B16" s="36" t="inlineStr">
        <is>
          <t>●</t>
        </is>
      </c>
      <c r="C16" s="37" t="inlineStr">
        <is>
          <t>Im Feld "Meldung durch" den eigenen Namen auswählen (Dropdown)</t>
        </is>
      </c>
    </row>
    <row r="17">
      <c r="B17" s="36" t="inlineStr">
        <is>
          <t>●</t>
        </is>
      </c>
      <c r="C17" s="37" t="inlineStr">
        <is>
          <t>Datum im Feld "Meldung am" eintragen (Format: TT.MM.JJJJ)</t>
        </is>
      </c>
    </row>
    <row r="18">
      <c r="B18" s="36" t="inlineStr">
        <is>
          <t>●</t>
        </is>
      </c>
      <c r="C18" s="37" t="inlineStr">
        <is>
          <t>Info bei "Thema" eintragen</t>
        </is>
      </c>
    </row>
    <row r="19">
      <c r="B19" s="36" t="inlineStr">
        <is>
          <t>●</t>
        </is>
      </c>
      <c r="C19" s="37" t="inlineStr">
        <is>
          <t>Auf den grünen "Mail an Bereichsleiter"-Link klicken (öffnet Outlook automatisch)</t>
        </is>
      </c>
    </row>
    <row r="20">
      <c r="B20" s="36" t="inlineStr">
        <is>
          <t>●</t>
        </is>
      </c>
      <c r="C20" s="37" t="inlineStr">
        <is>
          <t>Speichern</t>
        </is>
      </c>
    </row>
    <row r="22">
      <c r="B22" s="35" t="inlineStr">
        <is>
          <t>Abarbeiten einer Meldung durch den Bereichsleiter</t>
        </is>
      </c>
    </row>
    <row r="23">
      <c r="B23" s="36" t="inlineStr">
        <is>
          <t>●</t>
        </is>
      </c>
      <c r="C23" s="37" t="inlineStr">
        <is>
          <t>Bei Kenntnisnahme im Feld "Kenntnisnahme durch" eigenen Namen auswählen und Datum eintragen</t>
        </is>
      </c>
    </row>
    <row r="24">
      <c r="B24" s="36" t="inlineStr">
        <is>
          <t>●</t>
        </is>
      </c>
      <c r="C24" s="37" t="inlineStr">
        <is>
          <t>Massnahmen im entsprechenden Feld dokumentieren</t>
        </is>
      </c>
    </row>
    <row r="25">
      <c r="B25" s="36" t="inlineStr">
        <is>
          <t>●</t>
        </is>
      </c>
      <c r="C25" s="37" t="inlineStr">
        <is>
          <t>Nach Erledigung im Feld "Erledigt durch" eigenen Namen auswählen und Datum eintragen</t>
        </is>
      </c>
    </row>
    <row r="26">
      <c r="B26" s="36" t="inlineStr">
        <is>
          <t>●</t>
        </is>
      </c>
      <c r="C26" s="37" t="inlineStr">
        <is>
          <t>Evtl. weitere Infos im entsprechenden Feld eintragen</t>
        </is>
      </c>
    </row>
    <row r="27">
      <c r="B27" s="36" t="inlineStr">
        <is>
          <t>●</t>
        </is>
      </c>
      <c r="C27" s="37" t="inlineStr">
        <is>
          <t>In Spalte "In REKO..." auswählen wie besprochen wurde</t>
        </is>
      </c>
    </row>
    <row r="29">
      <c r="B29" s="35" t="inlineStr">
        <is>
          <t>Hinweise zur neuen Version</t>
        </is>
      </c>
    </row>
    <row r="30">
      <c r="B30" s="40" t="inlineStr">
        <is>
          <t>✓</t>
        </is>
      </c>
      <c r="C30" s="37" t="inlineStr">
        <is>
          <t>Kein Blattschutz - alle Zellen sind frei editierbar</t>
        </is>
      </c>
    </row>
    <row r="31">
      <c r="B31" s="40" t="inlineStr">
        <is>
          <t>✓</t>
        </is>
      </c>
      <c r="C31" s="37" t="inlineStr">
        <is>
          <t>Keine Makros/ActiveX - kein Hängen, keine Sicherheitswarnungen</t>
        </is>
      </c>
    </row>
    <row r="32">
      <c r="B32" s="40" t="inlineStr">
        <is>
          <t>✓</t>
        </is>
      </c>
      <c r="C32" s="37" t="inlineStr">
        <is>
          <t>Dropdown-Listen für Namen und Kategorien (Klick auf die Zelle)</t>
        </is>
      </c>
    </row>
    <row r="33">
      <c r="B33" s="40" t="inlineStr">
        <is>
          <t>✓</t>
        </is>
      </c>
      <c r="C33" s="37" t="inlineStr">
        <is>
          <t>Datumsfelder manuell ausfüllen (Format: TT.MM.JJJJ HH:MM)</t>
        </is>
      </c>
    </row>
    <row r="34">
      <c r="B34" s="40" t="inlineStr">
        <is>
          <t>✓</t>
        </is>
      </c>
      <c r="C34" s="37" t="inlineStr">
        <is>
          <t>Meldungs- und Erledigungszähler werden automatisch berechnet (Formeln)</t>
        </is>
      </c>
    </row>
    <row r="35">
      <c r="B35" s="40" t="inlineStr">
        <is>
          <t>✓</t>
        </is>
      </c>
      <c r="C35" s="37" t="inlineStr">
        <is>
          <t>Mail-Versand per klickbarem Link (öffnet Outlook mit Empfänger + Betreff + BCC)</t>
        </is>
      </c>
    </row>
    <row r="36">
      <c r="B36" s="40" t="inlineStr">
        <is>
          <t>✓</t>
        </is>
      </c>
      <c r="C36" s="37" t="inlineStr">
        <is>
          <t>Dashboard-Reiter zeigt Gesamtübersicht aller Bereiche auf einen Blick</t>
        </is>
      </c>
    </row>
    <row r="37">
      <c r="B37" s="40" t="inlineStr">
        <is>
          <t>✓</t>
        </is>
      </c>
      <c r="C37" s="37" t="inlineStr">
        <is>
          <t>Farbige Zeilen: Grün=Erledigt, Gelb=Offen, Rot=Überfällig (&gt;14 Tage)</t>
        </is>
      </c>
    </row>
    <row r="38">
      <c r="B38" s="40" t="inlineStr">
        <is>
          <t>✓</t>
        </is>
      </c>
      <c r="C38" s="37" t="inlineStr">
        <is>
          <t>Neue Meldungen (letzte 7 Tage) werden in der Nr.-Spalte blau markiert</t>
        </is>
      </c>
    </row>
    <row r="39">
      <c r="B39" s="40" t="inlineStr">
        <is>
          <t>✓</t>
        </is>
      </c>
      <c r="C39" s="37" t="inlineStr">
        <is>
          <t>Druckoptimiert: Querformat A4, Kopfzeile wiederholt sich automatisch</t>
        </is>
      </c>
    </row>
    <row r="41">
      <c r="B41" s="41" t="inlineStr">
        <is>
          <t>Bereich</t>
        </is>
      </c>
      <c r="C41" s="42" t="n"/>
      <c r="D41" s="41" t="inlineStr">
        <is>
          <t>Leiter</t>
        </is>
      </c>
      <c r="E41" s="42" t="n"/>
      <c r="F41" s="41" t="inlineStr">
        <is>
          <t>Stellvertreter</t>
        </is>
      </c>
      <c r="G41" s="41" t="inlineStr"/>
    </row>
    <row r="42">
      <c r="B42" s="25" t="inlineStr">
        <is>
          <t>Sekretariat</t>
        </is>
      </c>
      <c r="D42" s="25" t="inlineStr">
        <is>
          <t>Emily Schmidt</t>
        </is>
      </c>
      <c r="F42" s="25" t="inlineStr">
        <is>
          <t>Larissa Radimersky</t>
        </is>
      </c>
    </row>
    <row r="43">
      <c r="B43" s="25" t="inlineStr">
        <is>
          <t>EDV</t>
        </is>
      </c>
      <c r="D43" s="25" t="inlineStr">
        <is>
          <t>Siebert</t>
        </is>
      </c>
      <c r="F43" s="25" t="inlineStr"/>
    </row>
    <row r="44">
      <c r="B44" s="25" t="inlineStr">
        <is>
          <t>Med.&amp;Verbr.-stoff</t>
        </is>
      </c>
      <c r="D44" s="25" t="inlineStr">
        <is>
          <t>Zeller</t>
        </is>
      </c>
      <c r="F44" s="25" t="inlineStr">
        <is>
          <t>Breig</t>
        </is>
      </c>
    </row>
    <row r="45">
      <c r="B45" s="25" t="inlineStr">
        <is>
          <t>WD-Fzg &amp; Schutzkleidg</t>
        </is>
      </c>
      <c r="D45" s="25" t="inlineStr">
        <is>
          <t>Wunsch</t>
        </is>
      </c>
      <c r="F45" s="25" t="inlineStr"/>
    </row>
    <row r="46">
      <c r="B46" s="25" t="inlineStr">
        <is>
          <t>RTW &amp; MPG</t>
        </is>
      </c>
      <c r="D46" s="25" t="inlineStr">
        <is>
          <t>Goepfrich</t>
        </is>
      </c>
      <c r="F46" s="25" t="inlineStr"/>
    </row>
    <row r="47">
      <c r="B47" s="25" t="inlineStr">
        <is>
          <t>Organisation Ambulanz</t>
        </is>
      </c>
      <c r="D47" s="25" t="inlineStr">
        <is>
          <t>Wunsch</t>
        </is>
      </c>
      <c r="F47" s="25" t="inlineStr"/>
    </row>
    <row r="48">
      <c r="B48" s="25" t="inlineStr">
        <is>
          <t>Ablauf&amp;Prozessprobleme</t>
        </is>
      </c>
      <c r="D48" s="25" t="inlineStr">
        <is>
          <t>Putschler</t>
        </is>
      </c>
      <c r="F48" s="25" t="inlineStr"/>
    </row>
    <row r="49">
      <c r="B49" s="25" t="inlineStr">
        <is>
          <t>BGF</t>
        </is>
      </c>
      <c r="D49" s="25" t="inlineStr">
        <is>
          <t>Zieger-Buchta</t>
        </is>
      </c>
      <c r="F49" s="25" t="inlineStr">
        <is>
          <t>Müller-Horn</t>
        </is>
      </c>
    </row>
    <row r="50">
      <c r="B50" s="25" t="inlineStr">
        <is>
          <t>Getriebewerk</t>
        </is>
      </c>
      <c r="D50" s="25" t="inlineStr">
        <is>
          <t>Dr.Frei</t>
        </is>
      </c>
      <c r="F50" s="25" t="inlineStr">
        <is>
          <t>Dr.Schmidt</t>
        </is>
      </c>
    </row>
    <row r="51">
      <c r="B51" s="25" t="inlineStr">
        <is>
          <t>Hygiene</t>
        </is>
      </c>
      <c r="D51" s="25" t="inlineStr">
        <is>
          <t>Wunsch</t>
        </is>
      </c>
      <c r="F51" s="25" t="inlineStr"/>
    </row>
  </sheetData>
  <mergeCells count="55">
    <mergeCell ref="B4:F4"/>
    <mergeCell ref="B47:C47"/>
    <mergeCell ref="C17:F17"/>
    <mergeCell ref="C23:F23"/>
    <mergeCell ref="C39:F39"/>
    <mergeCell ref="C8:F8"/>
    <mergeCell ref="B3:F3"/>
    <mergeCell ref="B46:C46"/>
    <mergeCell ref="B1:F2"/>
    <mergeCell ref="C7:F7"/>
    <mergeCell ref="C38:F38"/>
    <mergeCell ref="D46:E46"/>
    <mergeCell ref="B22:F22"/>
    <mergeCell ref="C32:F32"/>
    <mergeCell ref="D50:E50"/>
    <mergeCell ref="C19:F19"/>
    <mergeCell ref="C37:F37"/>
    <mergeCell ref="D45:E45"/>
    <mergeCell ref="B43:C43"/>
    <mergeCell ref="C18:F18"/>
    <mergeCell ref="B12:F12"/>
    <mergeCell ref="B48:C48"/>
    <mergeCell ref="D49:E49"/>
    <mergeCell ref="C34:F34"/>
    <mergeCell ref="B42:C42"/>
    <mergeCell ref="C30:F30"/>
    <mergeCell ref="C15:F15"/>
    <mergeCell ref="C33:F33"/>
    <mergeCell ref="B14:F14"/>
    <mergeCell ref="C24:F24"/>
    <mergeCell ref="D41:E41"/>
    <mergeCell ref="D48:E48"/>
    <mergeCell ref="D47:E47"/>
    <mergeCell ref="B29:F29"/>
    <mergeCell ref="B44:C44"/>
    <mergeCell ref="C35:F35"/>
    <mergeCell ref="D43:E43"/>
    <mergeCell ref="C20:F20"/>
    <mergeCell ref="C26:F26"/>
    <mergeCell ref="B41:C41"/>
    <mergeCell ref="C16:F16"/>
    <mergeCell ref="C25:F25"/>
    <mergeCell ref="C10:F10"/>
    <mergeCell ref="B49:C49"/>
    <mergeCell ref="C9:F9"/>
    <mergeCell ref="C31:F31"/>
    <mergeCell ref="B6:F6"/>
    <mergeCell ref="D42:E42"/>
    <mergeCell ref="B51:C51"/>
    <mergeCell ref="D51:E51"/>
    <mergeCell ref="B45:C45"/>
    <mergeCell ref="B50:C50"/>
    <mergeCell ref="C27:F27"/>
    <mergeCell ref="D44:E44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Sekretariat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Emily Schmidt (emily_kim.schmidt@mercedes-benz.com)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Sekretariat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EDV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Siebert (emanuel.siebert@mercedes-benz.com)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45" customHeight="1">
      <c r="A5" s="51" t="n">
        <v>1</v>
      </c>
      <c r="B5" s="52" t="n">
        <v>45883.66136574074</v>
      </c>
      <c r="C5" s="51" t="inlineStr">
        <is>
          <t>Dr.Frei</t>
        </is>
      </c>
      <c r="D5" s="53" t="inlineStr">
        <is>
          <t>Laris geht nicht richtig und Meldeliste muss aktualisiert werden und Mailbutton geht nicht und es zeigt die Meldung der Active-X Inhalt ist blockiert</t>
        </is>
      </c>
      <c r="E5" s="52" t="n">
        <v>45884.45383101852</v>
      </c>
      <c r="F5" s="51" t="inlineStr">
        <is>
          <t>Zuber</t>
        </is>
      </c>
      <c r="G5" s="53" t="inlineStr">
        <is>
          <t>Laris war nie kaputt, die Excel Anwendung muss für die Benutzung eingestellt werden im Bereich Active-X Inhalte</t>
        </is>
      </c>
      <c r="H5" s="52" t="n">
        <v>45884.45396990741</v>
      </c>
      <c r="I5" s="51" t="inlineStr">
        <is>
          <t>Zuber</t>
        </is>
      </c>
      <c r="J5" s="54" t="inlineStr">
        <is>
          <t>C</t>
        </is>
      </c>
      <c r="K5" s="53" t="inlineStr"/>
      <c r="L5" s="53" t="inlineStr">
        <is>
          <t>Nicht erforderlich</t>
        </is>
      </c>
    </row>
    <row r="6" ht="30" customHeight="1">
      <c r="A6" s="51" t="n">
        <v>2</v>
      </c>
      <c r="B6" s="52" t="n">
        <v>45926.35149305555</v>
      </c>
      <c r="C6" s="51" t="inlineStr">
        <is>
          <t>Dr.Frei</t>
        </is>
      </c>
      <c r="D6" s="53" t="inlineStr">
        <is>
          <t>Das Blatt Organisation Ambulanz in Laris hat einen Schreibschutz, so dass nichts eingetragen werden kann - bitte diesen entfernen</t>
        </is>
      </c>
      <c r="E6" s="52" t="n">
        <v>45926.45972222222</v>
      </c>
      <c r="F6" s="51" t="inlineStr">
        <is>
          <t>Siebert</t>
        </is>
      </c>
      <c r="G6" s="53" t="inlineStr">
        <is>
          <t>Rechtsklick auf die Kachel -&gt; Schutz Pausieren</t>
        </is>
      </c>
      <c r="H6" s="52" t="n">
        <v>45926.45972222222</v>
      </c>
      <c r="I6" s="51" t="inlineStr">
        <is>
          <t>Siebert</t>
        </is>
      </c>
      <c r="J6" s="54" t="inlineStr">
        <is>
          <t>A</t>
        </is>
      </c>
      <c r="K6" s="53" t="inlineStr"/>
      <c r="L6" s="53" t="inlineStr">
        <is>
          <t>REKO</t>
        </is>
      </c>
    </row>
    <row r="7" ht="30" customHeight="1">
      <c r="A7" s="51" t="n">
        <v>3</v>
      </c>
      <c r="B7" s="52" t="n">
        <v>46045.39704861111</v>
      </c>
      <c r="C7" s="51" t="inlineStr">
        <is>
          <t>Dr.Schmidt</t>
        </is>
      </c>
      <c r="D7" s="53" t="inlineStr">
        <is>
          <t>Reko Protokoll funktioniert, kein stabiler Prozess</t>
        </is>
      </c>
      <c r="E7" s="52" t="n">
        <v>46049.33333333334</v>
      </c>
      <c r="F7" s="51" t="inlineStr">
        <is>
          <t>Siebert</t>
        </is>
      </c>
      <c r="G7" s="53" t="inlineStr">
        <is>
          <t>Speicher Geupdated, der Indexer muss noch ein Fehler behoben werden, in arbeit.</t>
        </is>
      </c>
      <c r="H7" s="52" t="n"/>
      <c r="I7" s="51" t="inlineStr"/>
      <c r="J7" s="54" t="inlineStr"/>
      <c r="K7" s="53" t="inlineStr"/>
      <c r="L7" s="53" t="inlineStr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</sheetData>
  <autoFilter ref="A4:L57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EDV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Med.&amp;Verbr.-stoff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Zeller (tobias_felix.zeller@mercedes-benz.com)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45901.47143518519</v>
      </c>
      <c r="C5" s="51" t="inlineStr">
        <is>
          <t>Dr.Schmidt</t>
        </is>
      </c>
      <c r="D5" s="53" t="inlineStr">
        <is>
          <t>Antibiotika sind teilweise abgelaufen, nicht geordnet gelagert</t>
        </is>
      </c>
      <c r="E5" s="52" t="n"/>
      <c r="F5" s="51" t="inlineStr"/>
      <c r="G5" s="53" t="inlineStr">
        <is>
          <t>Es wurde ein Verfalls Tabelle angelegt an der Innenseite des Schranks die Monatlich kontrolliert wird</t>
        </is>
      </c>
      <c r="H5" s="52" t="n">
        <v>45926.45503472222</v>
      </c>
      <c r="I5" s="51" t="inlineStr">
        <is>
          <t>Siebert</t>
        </is>
      </c>
      <c r="J5" s="54" t="inlineStr">
        <is>
          <t>C</t>
        </is>
      </c>
      <c r="K5" s="53" t="inlineStr"/>
      <c r="L5" s="53" t="inlineStr">
        <is>
          <t>Besprochen mit  Dr.Schmidt</t>
        </is>
      </c>
    </row>
    <row r="6" ht="30" customHeight="1">
      <c r="A6" s="51" t="n">
        <v>2</v>
      </c>
      <c r="B6" s="52" t="n">
        <v>46006.69575231482</v>
      </c>
      <c r="C6" s="51" t="inlineStr">
        <is>
          <t>Dr. Vitez</t>
        </is>
      </c>
      <c r="D6" s="53" t="inlineStr">
        <is>
          <t>Hepatitis A-Impfstoff (Havrix) in November abgelaufen</t>
        </is>
      </c>
      <c r="E6" s="52" t="n"/>
      <c r="F6" s="51" t="inlineStr"/>
      <c r="G6" s="53" t="inlineStr"/>
      <c r="H6" s="52" t="n"/>
      <c r="I6" s="51" t="inlineStr"/>
      <c r="J6" s="54" t="inlineStr">
        <is>
          <t>C</t>
        </is>
      </c>
      <c r="K6" s="53" t="inlineStr"/>
      <c r="L6" s="53" t="inlineStr"/>
    </row>
    <row r="7" ht="30" customHeight="1">
      <c r="A7" s="51" t="n">
        <v>3</v>
      </c>
      <c r="B7" s="52" t="n">
        <v>46045.39913194445</v>
      </c>
      <c r="C7" s="51" t="inlineStr">
        <is>
          <t>Dr.Schmidt</t>
        </is>
      </c>
      <c r="D7" s="53" t="inlineStr">
        <is>
          <t>Einträge (siehe 15.12.25) in diesem Bereich werden nicht rückgemeldet bzw. abgearbeitet</t>
        </is>
      </c>
      <c r="E7" s="52" t="n"/>
      <c r="F7" s="51" t="inlineStr"/>
      <c r="G7" s="53" t="inlineStr"/>
      <c r="H7" s="52" t="n"/>
      <c r="I7" s="51" t="inlineStr"/>
      <c r="J7" s="54" t="inlineStr"/>
      <c r="K7" s="53" t="inlineStr"/>
      <c r="L7" s="53" t="inlineStr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</sheetData>
  <autoFilter ref="A4:L57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Med.&amp;Verbr.-stoff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WD-Fzg &amp; Schutzkleidg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45974.37909722222</v>
      </c>
      <c r="C5" s="51" t="inlineStr">
        <is>
          <t>Zuber</t>
        </is>
      </c>
      <c r="D5" s="53" t="inlineStr">
        <is>
          <t>Barduschwäsche nur Herren raus gestellt, Damen volle Kiste stehen lassen</t>
        </is>
      </c>
      <c r="E5" s="52" t="n"/>
      <c r="F5" s="51" t="inlineStr"/>
      <c r="G5" s="53" t="inlineStr"/>
      <c r="H5" s="52" t="n"/>
      <c r="I5" s="51" t="inlineStr"/>
      <c r="J5" s="54" t="inlineStr"/>
      <c r="K5" s="53" t="inlineStr"/>
      <c r="L5" s="53" t="inlineStr"/>
    </row>
    <row r="6" ht="30" customHeight="1">
      <c r="A6" s="51" t="n">
        <v>2</v>
      </c>
      <c r="B6" s="52" t="n">
        <v>46056.33333333334</v>
      </c>
      <c r="C6" s="51" t="inlineStr">
        <is>
          <t>Putschler</t>
        </is>
      </c>
      <c r="D6" s="53" t="inlineStr">
        <is>
          <t>Test</t>
        </is>
      </c>
      <c r="E6" s="52" t="n"/>
      <c r="F6" s="51" t="inlineStr"/>
      <c r="G6" s="53" t="inlineStr">
        <is>
          <t>Test</t>
        </is>
      </c>
      <c r="H6" s="52" t="n"/>
      <c r="I6" s="51" t="inlineStr"/>
      <c r="J6" s="54" t="inlineStr"/>
      <c r="K6" s="53" t="inlineStr"/>
      <c r="L6" s="53" t="inlineStr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</sheetData>
  <autoFilter ref="A4:L56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WD-Fzg &amp; Schutzkleidg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RTW &amp; MPG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Goepfrich (Markus.Goepfrich@mercedes-benz.com)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45841.20189814815</v>
      </c>
      <c r="C5" s="51" t="inlineStr">
        <is>
          <t>Breig</t>
        </is>
      </c>
      <c r="D5" s="53" t="inlineStr">
        <is>
          <t>OP-Leuchte in Ambulanz 1 defekt</t>
        </is>
      </c>
      <c r="E5" s="52" t="n">
        <v>45889.71761574074</v>
      </c>
      <c r="F5" s="51" t="inlineStr">
        <is>
          <t>Goepfrich</t>
        </is>
      </c>
      <c r="G5" s="53" t="inlineStr">
        <is>
          <t>Reperatur durch Reposition der Halterung (Dr. Frei)</t>
        </is>
      </c>
      <c r="H5" s="52" t="n">
        <v>45889.71751157408</v>
      </c>
      <c r="I5" s="51" t="inlineStr">
        <is>
          <t>Goepfrich</t>
        </is>
      </c>
      <c r="J5" s="54" t="inlineStr">
        <is>
          <t>A</t>
        </is>
      </c>
      <c r="K5" s="53" t="inlineStr"/>
      <c r="L5" s="53" t="inlineStr">
        <is>
          <t>Besprochen mit  Dr.Frei</t>
        </is>
      </c>
    </row>
    <row r="6" ht="30" customHeight="1">
      <c r="A6" s="51" t="n">
        <v>2</v>
      </c>
      <c r="B6" s="52" t="n">
        <v>45910.91456018519</v>
      </c>
      <c r="C6" s="51" t="inlineStr">
        <is>
          <t>Wunsch</t>
        </is>
      </c>
      <c r="D6" s="53" t="inlineStr">
        <is>
          <t>RR Manschette C3 aus dem RTW defekt, Leitung abgelöst durch MA der WF</t>
        </is>
      </c>
      <c r="E6" s="52" t="n">
        <v>45913.26006944444</v>
      </c>
      <c r="F6" s="51" t="inlineStr">
        <is>
          <t>Goepfrich</t>
        </is>
      </c>
      <c r="G6" s="53" t="inlineStr">
        <is>
          <t>Neuteil am 24.09. erhalten u. eingeräumt. Zwischenzeitlich Nutzung d. RR-Manschette C3 KU.</t>
        </is>
      </c>
      <c r="H6" s="52" t="n">
        <v>45924.47547453704</v>
      </c>
      <c r="I6" s="51" t="inlineStr">
        <is>
          <t>Goepfrich</t>
        </is>
      </c>
      <c r="J6" s="54" t="inlineStr">
        <is>
          <t>A</t>
        </is>
      </c>
      <c r="K6" s="53" t="inlineStr"/>
      <c r="L6" s="53" t="inlineStr">
        <is>
          <t>Besprochen mit  Dr.Schmidt</t>
        </is>
      </c>
    </row>
    <row r="7" ht="45" customHeight="1">
      <c r="A7" s="51" t="n">
        <v>3</v>
      </c>
      <c r="B7" s="52" t="n">
        <v>45912.17185185185</v>
      </c>
      <c r="C7" s="51" t="inlineStr">
        <is>
          <t>Zuber</t>
        </is>
      </c>
      <c r="D7" s="53" t="inlineStr">
        <is>
          <t>Fehlendes Sperrlager für defekte Medizinprodukte, Defekte RR Manschette vom 10.09. kann nicht entsprechend hinterlegt werden. Bitte Sperrlager definieren und kommunizieren.</t>
        </is>
      </c>
      <c r="E7" s="52" t="n">
        <v>45913.26009259259</v>
      </c>
      <c r="F7" s="51" t="inlineStr">
        <is>
          <t>Goepfrich</t>
        </is>
      </c>
      <c r="G7" s="53" t="inlineStr">
        <is>
          <t>Einrichtung eines Sperrlagers für defekte Medizinprodukte u. -geräte in Physikalische Therapie im 029/10 Schrank 2.</t>
        </is>
      </c>
      <c r="H7" s="52" t="n">
        <v>45954.88721064815</v>
      </c>
      <c r="I7" s="51" t="inlineStr">
        <is>
          <t>Goepfrich</t>
        </is>
      </c>
      <c r="J7" s="54" t="inlineStr">
        <is>
          <t>A</t>
        </is>
      </c>
      <c r="K7" s="53" t="inlineStr"/>
      <c r="L7" s="53" t="inlineStr">
        <is>
          <t>Besprochen mit  Zuber</t>
        </is>
      </c>
    </row>
    <row r="8" ht="30" customHeight="1">
      <c r="A8" s="51" t="n">
        <v>4</v>
      </c>
      <c r="B8" s="52" t="n">
        <v>45967</v>
      </c>
      <c r="C8" s="51" t="inlineStr">
        <is>
          <t>Krempl</t>
        </is>
      </c>
      <c r="D8" s="53" t="inlineStr">
        <is>
          <t>Cryo-Thermal Gerät im WD Kuppenheim lässt sich nicht hochfahren, Bildschirm bleibt schwarz</t>
        </is>
      </c>
      <c r="E8" s="52" t="n">
        <v>45995.64162037037</v>
      </c>
      <c r="F8" s="51" t="inlineStr">
        <is>
          <t>Goepfrich</t>
        </is>
      </c>
      <c r="G8" s="53" t="inlineStr">
        <is>
          <t>Reparatur durch Hersteller</t>
        </is>
      </c>
      <c r="H8" s="52" t="n">
        <v>46050.17486111111</v>
      </c>
      <c r="I8" s="51" t="inlineStr">
        <is>
          <t>Goepfrich</t>
        </is>
      </c>
      <c r="J8" s="54" t="inlineStr">
        <is>
          <t>A</t>
        </is>
      </c>
      <c r="K8" s="53" t="inlineStr"/>
      <c r="L8" s="53" t="inlineStr">
        <is>
          <t>Besprochen mit  Dr.Frei</t>
        </is>
      </c>
    </row>
    <row r="9" ht="30" customHeight="1">
      <c r="A9" s="51" t="n">
        <v>5</v>
      </c>
      <c r="B9" s="52" t="n">
        <v>45995.64193287037</v>
      </c>
      <c r="C9" s="51" t="inlineStr">
        <is>
          <t>Göpfrich</t>
        </is>
      </c>
      <c r="D9" s="53" t="inlineStr">
        <is>
          <t>Untersuchungsleuchte Ambulanz 1 defekt, Befestigung Lampenkopf gebrochen</t>
        </is>
      </c>
      <c r="E9" s="52" t="n">
        <v>45995.64219907407</v>
      </c>
      <c r="F9" s="51" t="inlineStr">
        <is>
          <t>Goepfrich</t>
        </is>
      </c>
      <c r="G9" s="53" t="inlineStr"/>
      <c r="H9" s="52" t="n"/>
      <c r="I9" s="51" t="inlineStr"/>
      <c r="J9" s="54" t="inlineStr"/>
      <c r="K9" s="53" t="inlineStr"/>
      <c r="L9" s="53" t="inlineStr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  <row r="58">
      <c r="A58" s="51">
        <f>IF(B58&lt;&gt;"",ROW()-4,"")</f>
        <v/>
      </c>
      <c r="B58" s="52" t="n"/>
      <c r="C58" s="51" t="n"/>
      <c r="D58" s="53" t="n"/>
      <c r="E58" s="52" t="n"/>
      <c r="F58" s="51" t="n"/>
      <c r="G58" s="53" t="n"/>
      <c r="H58" s="52" t="n"/>
      <c r="I58" s="51" t="n"/>
      <c r="J58" s="51" t="n"/>
      <c r="K58" s="53" t="n"/>
      <c r="L58" s="53" t="n"/>
    </row>
    <row r="59">
      <c r="A59" s="51">
        <f>IF(B59&lt;&gt;"",ROW()-4,"")</f>
        <v/>
      </c>
      <c r="B59" s="52" t="n"/>
      <c r="C59" s="51" t="n"/>
      <c r="D59" s="53" t="n"/>
      <c r="E59" s="52" t="n"/>
      <c r="F59" s="51" t="n"/>
      <c r="G59" s="53" t="n"/>
      <c r="H59" s="52" t="n"/>
      <c r="I59" s="51" t="n"/>
      <c r="J59" s="51" t="n"/>
      <c r="K59" s="53" t="n"/>
      <c r="L59" s="53" t="n"/>
    </row>
  </sheetData>
  <autoFilter ref="A4:L59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RTW &amp; MPG</oddHeader>
    <oddFooter>&amp;LWerksärztlicher Dienst Mercedes-Benz&amp;RSeite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Organisation Ambulanz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45888.45252314815</v>
      </c>
      <c r="C5" s="51" t="inlineStr">
        <is>
          <t>Putschler</t>
        </is>
      </c>
      <c r="D5" s="53" t="inlineStr">
        <is>
          <t>EDTA Röhrchen vom 18.8. (K'heim) wurden in Rastatt nach dem Zentrifugieren in den Kühlschrank gelegt</t>
        </is>
      </c>
      <c r="E5" s="52" t="n">
        <v>45888.45719907407</v>
      </c>
      <c r="F5" s="51" t="inlineStr">
        <is>
          <t>Putschler</t>
        </is>
      </c>
      <c r="G5" s="53" t="inlineStr">
        <is>
          <t>Rücksprache mit Labor; neue Verfahrensanweisung verschickt und visualisiert</t>
        </is>
      </c>
      <c r="H5" s="52" t="n">
        <v>45888.46002314815</v>
      </c>
      <c r="I5" s="51" t="inlineStr">
        <is>
          <t>Putschler</t>
        </is>
      </c>
      <c r="J5" s="54" t="inlineStr">
        <is>
          <t>A</t>
        </is>
      </c>
      <c r="K5" s="53" t="inlineStr"/>
      <c r="L5" s="53" t="inlineStr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</sheetData>
  <autoFilter ref="A4:L55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Organisation Ambulanz</oddHeader>
    <oddFooter>&amp;LWerksärztlicher Dienst Mercedes-Benz&amp;RSeite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Ablauf&amp;Prozessprobleme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Putschler (walter.putschler@mercedes-benz.com)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45901.46358796296</v>
      </c>
      <c r="C5" s="51" t="inlineStr">
        <is>
          <t>Dr.Schmidt</t>
        </is>
      </c>
      <c r="D5" s="53" t="inlineStr">
        <is>
          <t>Laris Eintrag für Bereich bei EDV nicht möglich, obwohl Einträge in Bereichen zB Sekretariat/Mail und an Bereichsleiter möglich sind</t>
        </is>
      </c>
      <c r="E5" s="52" t="n">
        <v>45922</v>
      </c>
      <c r="F5" s="51" t="inlineStr">
        <is>
          <t>Putschler</t>
        </is>
      </c>
      <c r="G5" s="53" t="inlineStr">
        <is>
          <t>Info an Harry Zuber--&gt; Bitte Fehler prüfen und beheben</t>
        </is>
      </c>
      <c r="H5" s="52" t="n"/>
      <c r="I5" s="51" t="inlineStr"/>
      <c r="J5" s="54" t="inlineStr">
        <is>
          <t>A</t>
        </is>
      </c>
      <c r="K5" s="53" t="inlineStr"/>
      <c r="L5" s="53" t="inlineStr"/>
    </row>
    <row r="6" ht="45" customHeight="1">
      <c r="A6" s="51" t="n">
        <v>2</v>
      </c>
      <c r="B6" s="52" t="n">
        <v>45901.47094907407</v>
      </c>
      <c r="C6" s="51" t="inlineStr">
        <is>
          <t>Dr.Schmidt</t>
        </is>
      </c>
      <c r="D6" s="53" t="inlineStr">
        <is>
          <t>Bereich Med. &amp; Verbr.: Antibiotika sind teilweise abgelaufen, nicht geordnet gelagert; hier Laris Eintrag nicht möglich, obwohl Einträge in Bereichen zB Sekretariat/Mail und an Bereichsleiter möglich sind</t>
        </is>
      </c>
      <c r="E6" s="52" t="n">
        <v>45902</v>
      </c>
      <c r="F6" s="51" t="inlineStr">
        <is>
          <t>Putschler</t>
        </is>
      </c>
      <c r="G6" s="53" t="inlineStr">
        <is>
          <t>Bereichverantwortlicher hat Fehler abgestellt</t>
        </is>
      </c>
      <c r="H6" s="52" t="n">
        <v>45904</v>
      </c>
      <c r="I6" s="51" t="inlineStr">
        <is>
          <t>Siebert</t>
        </is>
      </c>
      <c r="J6" s="54" t="inlineStr">
        <is>
          <t>C</t>
        </is>
      </c>
      <c r="K6" s="53" t="inlineStr"/>
      <c r="L6" s="53" t="inlineStr"/>
    </row>
    <row r="7" ht="30" customHeight="1">
      <c r="A7" s="51" t="n">
        <v>3</v>
      </c>
      <c r="B7" s="52" t="n">
        <v>45923.37097222222</v>
      </c>
      <c r="C7" s="51" t="inlineStr">
        <is>
          <t>Dr.Schmidt</t>
        </is>
      </c>
      <c r="D7" s="53" t="inlineStr">
        <is>
          <t>Dokument für Einverständniserklärung Blutabnahme wurden in falsche Akte gescannt</t>
        </is>
      </c>
      <c r="E7" s="52" t="n">
        <v>45923</v>
      </c>
      <c r="F7" s="51" t="inlineStr">
        <is>
          <t>Putschler</t>
        </is>
      </c>
      <c r="G7" s="53" t="inlineStr">
        <is>
          <t>Fehler durch Sekretariat erkannt und behoben</t>
        </is>
      </c>
      <c r="H7" s="52" t="n">
        <v>45923</v>
      </c>
      <c r="I7" s="51" t="inlineStr">
        <is>
          <t>Radimersky</t>
        </is>
      </c>
      <c r="J7" s="54" t="inlineStr">
        <is>
          <t>D</t>
        </is>
      </c>
      <c r="K7" s="53" t="inlineStr"/>
      <c r="L7" s="53" t="inlineStr"/>
    </row>
    <row r="8" ht="30" customHeight="1">
      <c r="A8" s="51" t="n">
        <v>4</v>
      </c>
      <c r="B8" s="52" t="n">
        <v>45923.66394675926</v>
      </c>
      <c r="C8" s="51" t="inlineStr">
        <is>
          <t>Krempl</t>
        </is>
      </c>
      <c r="D8" s="53" t="inlineStr">
        <is>
          <t>Glucoseröhrchen wurden über Nacht nicht gekühlt, dafür aber nicht die EDTA-Röhrchen die am Vortag aus Kuppenheim gebracht wurden.</t>
        </is>
      </c>
      <c r="E8" s="52" t="n">
        <v>45924</v>
      </c>
      <c r="F8" s="51" t="inlineStr">
        <is>
          <t>Putschler</t>
        </is>
      </c>
      <c r="G8" s="53" t="inlineStr">
        <is>
          <t>Laborergebnis wird abgewartet; bei Abweichung werden die betreffenden Patienten erneut einbestellt</t>
        </is>
      </c>
      <c r="H8" s="52" t="n">
        <v>45924</v>
      </c>
      <c r="I8" s="51" t="inlineStr">
        <is>
          <t>Putschler</t>
        </is>
      </c>
      <c r="J8" s="54" t="inlineStr">
        <is>
          <t>C</t>
        </is>
      </c>
      <c r="K8" s="53" t="inlineStr">
        <is>
          <t>Mit Mitarbeiter persönlich besprochen</t>
        </is>
      </c>
      <c r="L8" s="53" t="inlineStr"/>
    </row>
    <row r="9" ht="30" customHeight="1">
      <c r="A9" s="51" t="n">
        <v>5</v>
      </c>
      <c r="B9" s="52" t="n">
        <v>45926.34351851852</v>
      </c>
      <c r="C9" s="51" t="inlineStr">
        <is>
          <t>Putschler</t>
        </is>
      </c>
      <c r="D9" s="53" t="inlineStr">
        <is>
          <t>Serumröhrchen von drei Patienten aus Kuppenheim wurden am Vortag nicht aus der Zentrifuge genommen und waren 16 Stunden ungekühlt</t>
        </is>
      </c>
      <c r="E9" s="52" t="n">
        <v>45926.34329861111</v>
      </c>
      <c r="F9" s="51" t="inlineStr">
        <is>
          <t>Putschler</t>
        </is>
      </c>
      <c r="G9" s="53" t="inlineStr">
        <is>
          <t>Serumröhrchen in den Kühlschrank getan; Rücksprache mit Arzt ob noch zu verwenden</t>
        </is>
      </c>
      <c r="H9" s="52" t="n"/>
      <c r="I9" s="51" t="inlineStr"/>
      <c r="J9" s="54" t="inlineStr">
        <is>
          <t>C</t>
        </is>
      </c>
      <c r="K9" s="53" t="inlineStr"/>
      <c r="L9" s="53" t="inlineStr"/>
    </row>
    <row r="10" ht="30" customHeight="1">
      <c r="A10" s="51" t="n">
        <v>6</v>
      </c>
      <c r="B10" s="52" t="n">
        <v>45950.29810185185</v>
      </c>
      <c r="C10" s="51" t="inlineStr">
        <is>
          <t>Zuber</t>
        </is>
      </c>
      <c r="D10" s="53" t="inlineStr">
        <is>
          <t>Testmeldung aus Qualitätsgründen</t>
        </is>
      </c>
      <c r="E10" s="52" t="n"/>
      <c r="F10" s="51" t="inlineStr"/>
      <c r="G10" s="53" t="inlineStr"/>
      <c r="H10" s="52" t="n"/>
      <c r="I10" s="51" t="inlineStr"/>
      <c r="J10" s="54" t="inlineStr"/>
      <c r="K10" s="53" t="inlineStr"/>
      <c r="L10" s="53" t="inlineStr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  <row r="58">
      <c r="A58" s="51">
        <f>IF(B58&lt;&gt;"",ROW()-4,"")</f>
        <v/>
      </c>
      <c r="B58" s="52" t="n"/>
      <c r="C58" s="51" t="n"/>
      <c r="D58" s="53" t="n"/>
      <c r="E58" s="52" t="n"/>
      <c r="F58" s="51" t="n"/>
      <c r="G58" s="53" t="n"/>
      <c r="H58" s="52" t="n"/>
      <c r="I58" s="51" t="n"/>
      <c r="J58" s="51" t="n"/>
      <c r="K58" s="53" t="n"/>
      <c r="L58" s="53" t="n"/>
    </row>
    <row r="59">
      <c r="A59" s="51">
        <f>IF(B59&lt;&gt;"",ROW()-4,"")</f>
        <v/>
      </c>
      <c r="B59" s="52" t="n"/>
      <c r="C59" s="51" t="n"/>
      <c r="D59" s="53" t="n"/>
      <c r="E59" s="52" t="n"/>
      <c r="F59" s="51" t="n"/>
      <c r="G59" s="53" t="n"/>
      <c r="H59" s="52" t="n"/>
      <c r="I59" s="51" t="n"/>
      <c r="J59" s="51" t="n"/>
      <c r="K59" s="53" t="n"/>
      <c r="L59" s="53" t="n"/>
    </row>
    <row r="60">
      <c r="A60" s="51">
        <f>IF(B60&lt;&gt;"",ROW()-4,"")</f>
        <v/>
      </c>
      <c r="B60" s="52" t="n"/>
      <c r="C60" s="51" t="n"/>
      <c r="D60" s="53" t="n"/>
      <c r="E60" s="52" t="n"/>
      <c r="F60" s="51" t="n"/>
      <c r="G60" s="53" t="n"/>
      <c r="H60" s="52" t="n"/>
      <c r="I60" s="51" t="n"/>
      <c r="J60" s="51" t="n"/>
      <c r="K60" s="53" t="n"/>
      <c r="L60" s="53" t="n"/>
    </row>
  </sheetData>
  <autoFilter ref="A4:L60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Ablauf&amp;Prozessprobleme</oddHeader>
    <oddFooter>&amp;LWerksärztlicher Dienst Mercedes-Benz&amp;RSeite &amp;P von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BGF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Zieger-Buchta (katrin.zieger-buchta@mercedes-benz.com)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BGF</oddHeader>
    <oddFooter>&amp;LWerksärztlicher Dienst Mercedes-Benz&amp;RSeite &amp;P von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Getriebewerk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Dr.Frei (markus.frei@mercedes-benz.com)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Getriebewerk</oddHeader>
    <oddFooter>&amp;LWerksärztlicher Dienst Mercedes-Benz&amp;RSeite &amp;P von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Hygiene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46055</v>
      </c>
      <c r="C5" s="51" t="inlineStr">
        <is>
          <t>Wunsch</t>
        </is>
      </c>
      <c r="D5" s="53" t="inlineStr">
        <is>
          <t>Hygiene Physikalische + Ruheraum, in letzter Zeit öfters schmutzige Liegen &amp; Schwämme noch am Gerät</t>
        </is>
      </c>
      <c r="E5" s="52" t="n"/>
      <c r="F5" s="51" t="inlineStr"/>
      <c r="G5" s="53" t="inlineStr"/>
      <c r="H5" s="52" t="n"/>
      <c r="I5" s="51" t="inlineStr"/>
      <c r="J5" s="54" t="inlineStr">
        <is>
          <t>A</t>
        </is>
      </c>
      <c r="K5" s="53" t="inlineStr"/>
      <c r="L5" s="53" t="inlineStr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</sheetData>
  <autoFilter ref="A4:L55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Hygiene</oddHeader>
    <oddFooter>&amp;LWerksärztlicher Dienst Mercedes-Benz&amp;RSeite &amp;P von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6" t="inlineStr">
        <is>
          <t>Kategorie</t>
        </is>
      </c>
      <c r="B1" s="6" t="inlineStr">
        <is>
          <t>Beschreibung</t>
        </is>
      </c>
      <c r="C1" s="6" t="inlineStr">
        <is>
          <t>Details</t>
        </is>
      </c>
      <c r="D1" s="6" t="inlineStr">
        <is>
          <t>Beispiele</t>
        </is>
      </c>
    </row>
    <row r="2" ht="60" customHeight="1">
      <c r="A2" s="55" t="inlineStr">
        <is>
          <t>D</t>
        </is>
      </c>
      <c r="B2" s="56" t="inlineStr">
        <is>
          <t>Fehler mit gravierenden Folgen</t>
        </is>
      </c>
      <c r="C2" s="57" t="inlineStr">
        <is>
          <t>daraus resultierende schwere Gesundheitsschäden, wesentliche finanzielle Nachteile oder ein erheblicher Imageverlust</t>
        </is>
      </c>
      <c r="D2" s="57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58" t="inlineStr">
        <is>
          <t>C</t>
        </is>
      </c>
      <c r="B3" s="59" t="inlineStr">
        <is>
          <t>Fehler mit leichten bis mittelschweren Folgen</t>
        </is>
      </c>
      <c r="C3" s="60" t="inlineStr">
        <is>
          <t>Fehler mit Gesundheitsschäden, Einsatzfähigkeit HSM gefährdet, Fehler führte zu externer Kundenbeschwerde, Vorgegebener Standard wird nicht durchgeführt</t>
        </is>
      </c>
      <c r="D3" s="60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61" t="inlineStr">
        <is>
          <t>B</t>
        </is>
      </c>
      <c r="B4" s="62" t="inlineStr">
        <is>
          <t>Beinahefehler ohne Folgen</t>
        </is>
      </c>
      <c r="C4" s="63" t="inlineStr">
        <is>
          <t>ein Fehler wurde noch vor seinem wirksamen Eintreten erkannt, bzw. durch Gegenmaßnahmen können Folgen noch abgefangen werden</t>
        </is>
      </c>
      <c r="D4" s="63" t="inlineStr">
        <is>
          <t>Termin- oder Materialkonflikt gerade noch rechtzeitig erkannt und behoben</t>
        </is>
      </c>
    </row>
    <row r="5" ht="60" customHeight="1">
      <c r="A5" s="64" t="inlineStr">
        <is>
          <t>A</t>
        </is>
      </c>
      <c r="B5" s="65" t="inlineStr">
        <is>
          <t>unsichere Handlung</t>
        </is>
      </c>
      <c r="C5" s="66" t="inlineStr">
        <is>
          <t>es wird unsauber gearbeitet, aber es entsteht kein Schaden</t>
        </is>
      </c>
      <c r="D5" s="66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66666"/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22" customWidth="1" min="6" max="6"/>
    <col width="30" customWidth="1" min="8" max="8"/>
    <col width="18" customWidth="1" min="10" max="10"/>
  </cols>
  <sheetData>
    <row r="1" ht="30" customHeight="1">
      <c r="A1" s="45" t="inlineStr">
        <is>
          <t>Mitarbeiterliste &amp; E-Mail-Adressen</t>
        </is>
      </c>
    </row>
    <row r="2">
      <c r="A2" s="6" t="inlineStr">
        <is>
          <t>Name</t>
        </is>
      </c>
      <c r="B2" s="6" t="inlineStr">
        <is>
          <t>E-Mail</t>
        </is>
      </c>
      <c r="C2" s="6" t="inlineStr">
        <is>
          <t>Funktion/Bereich</t>
        </is>
      </c>
      <c r="D2" s="6" t="inlineStr">
        <is>
          <t>Notiz</t>
        </is>
      </c>
    </row>
    <row r="3">
      <c r="A3" s="67" t="inlineStr">
        <is>
          <t>Dr. Markus Frei</t>
        </is>
      </c>
      <c r="B3" s="67" t="inlineStr">
        <is>
          <t>markus.frei@mercedes-benz.com</t>
        </is>
      </c>
      <c r="C3" s="68" t="inlineStr">
        <is>
          <t>Arzt / Leiter Getriebewerk</t>
        </is>
      </c>
      <c r="D3" s="67" t="inlineStr"/>
    </row>
    <row r="4">
      <c r="A4" s="69" t="inlineStr">
        <is>
          <t>Dr. Sabine Schmidt</t>
        </is>
      </c>
      <c r="B4" s="69" t="inlineStr">
        <is>
          <t>sabine.m.schmidt@mercedes-benz.com</t>
        </is>
      </c>
      <c r="C4" s="70" t="inlineStr">
        <is>
          <t>Ärztin</t>
        </is>
      </c>
      <c r="D4" s="69" t="inlineStr"/>
    </row>
    <row r="5">
      <c r="A5" s="67" t="inlineStr">
        <is>
          <t>Dr. Lilla Vitez</t>
        </is>
      </c>
      <c r="B5" s="67" t="inlineStr">
        <is>
          <t>lilla.vitez@mercedes-benz.com</t>
        </is>
      </c>
      <c r="C5" s="68" t="inlineStr">
        <is>
          <t>Ärztin</t>
        </is>
      </c>
      <c r="D5" s="67" t="inlineStr"/>
    </row>
    <row r="6">
      <c r="A6" s="69" t="inlineStr">
        <is>
          <t>Bernd Breig</t>
        </is>
      </c>
      <c r="B6" s="69" t="inlineStr">
        <is>
          <t>bernd.breig@mercedes-benz.com</t>
        </is>
      </c>
      <c r="C6" s="70" t="inlineStr">
        <is>
          <t>Stv. Med.&amp;Verbr.-stoff</t>
        </is>
      </c>
      <c r="D6" s="69" t="inlineStr"/>
    </row>
    <row r="7">
      <c r="A7" s="67" t="inlineStr">
        <is>
          <t>Elke Krempl</t>
        </is>
      </c>
      <c r="B7" s="67" t="inlineStr">
        <is>
          <t>elke.krempl@mercedes-benz.com</t>
        </is>
      </c>
      <c r="C7" s="68" t="inlineStr">
        <is>
          <t>Mitarbeiterin</t>
        </is>
      </c>
      <c r="D7" s="67" t="inlineStr"/>
    </row>
    <row r="8">
      <c r="A8" s="69" t="inlineStr">
        <is>
          <t>Emanuel Siebert</t>
        </is>
      </c>
      <c r="B8" s="69" t="inlineStr">
        <is>
          <t>emanuel.siebert@mercedes-benz.com</t>
        </is>
      </c>
      <c r="C8" s="70" t="inlineStr">
        <is>
          <t>Leiter EDV</t>
        </is>
      </c>
      <c r="D8" s="69" t="inlineStr"/>
    </row>
    <row r="9">
      <c r="A9" s="67" t="inlineStr">
        <is>
          <t>Walter Putschler</t>
        </is>
      </c>
      <c r="B9" s="67" t="inlineStr">
        <is>
          <t>walter.putschler@mercedes-benz.com</t>
        </is>
      </c>
      <c r="C9" s="68" t="inlineStr">
        <is>
          <t>Leiter Ablauf&amp;Prozessprobleme</t>
        </is>
      </c>
      <c r="D9" s="67" t="inlineStr">
        <is>
          <t>BCC-Empfänger</t>
        </is>
      </c>
    </row>
    <row r="10">
      <c r="A10" s="69" t="inlineStr">
        <is>
          <t>Benjamin Jochim</t>
        </is>
      </c>
      <c r="B10" s="69" t="inlineStr">
        <is>
          <t>benjamin.jochim@mercedes-benz.com</t>
        </is>
      </c>
      <c r="C10" s="70" t="inlineStr">
        <is>
          <t>Mitarbeiter</t>
        </is>
      </c>
      <c r="D10" s="69" t="inlineStr"/>
    </row>
    <row r="11">
      <c r="A11" s="67" t="inlineStr">
        <is>
          <t>Harry Zuber</t>
        </is>
      </c>
      <c r="B11" s="67" t="inlineStr">
        <is>
          <t>harry.zuber@mercedes-benz.com</t>
        </is>
      </c>
      <c r="C11" s="68" t="inlineStr">
        <is>
          <t>Mitarbeiter</t>
        </is>
      </c>
      <c r="D11" s="67" t="inlineStr"/>
    </row>
    <row r="12">
      <c r="A12" s="69" t="inlineStr">
        <is>
          <t>Markus Göpfrich</t>
        </is>
      </c>
      <c r="B12" s="69" t="inlineStr">
        <is>
          <t>Markus.Goepfrich@mercedes-benz.com</t>
        </is>
      </c>
      <c r="C12" s="70" t="inlineStr">
        <is>
          <t>Leiter RTW &amp; MPG</t>
        </is>
      </c>
      <c r="D12" s="69" t="inlineStr"/>
    </row>
    <row r="13">
      <c r="A13" s="67" t="inlineStr">
        <is>
          <t>Tobias Zeller</t>
        </is>
      </c>
      <c r="B13" s="67" t="inlineStr">
        <is>
          <t>tobias_felix.zeller@mercedes-benz.com</t>
        </is>
      </c>
      <c r="C13" s="68" t="inlineStr">
        <is>
          <t>Leiter Med.&amp;Verbr.-stoff</t>
        </is>
      </c>
      <c r="D13" s="67" t="inlineStr"/>
    </row>
    <row r="14">
      <c r="A14" s="69" t="inlineStr">
        <is>
          <t>Emily Kim Schmidt</t>
        </is>
      </c>
      <c r="B14" s="69" t="inlineStr">
        <is>
          <t>emily_kim.schmidt@mercedes-benz.com</t>
        </is>
      </c>
      <c r="C14" s="70" t="inlineStr">
        <is>
          <t>Leiterin Sekretariat</t>
        </is>
      </c>
      <c r="D14" s="69" t="inlineStr"/>
    </row>
    <row r="15">
      <c r="A15" s="67" t="inlineStr">
        <is>
          <t>Katrin Zieger-Buchta</t>
        </is>
      </c>
      <c r="B15" s="67" t="inlineStr">
        <is>
          <t>katrin.zieger-buchta@mercedes-benz.com</t>
        </is>
      </c>
      <c r="C15" s="68" t="inlineStr">
        <is>
          <t>Leiterin BGF</t>
        </is>
      </c>
      <c r="D15" s="67" t="inlineStr"/>
    </row>
    <row r="16">
      <c r="A16" s="69" t="inlineStr">
        <is>
          <t>Susanne Müller-Horn</t>
        </is>
      </c>
      <c r="B16" s="69" t="inlineStr">
        <is>
          <t>Susanne.Mueller-Horn@mercedes-benz.com</t>
        </is>
      </c>
      <c r="C16" s="70" t="inlineStr">
        <is>
          <t>Stv. BGF</t>
        </is>
      </c>
      <c r="D16" s="69" t="inlineStr"/>
    </row>
    <row r="17">
      <c r="A17" s="67" t="inlineStr">
        <is>
          <t>Larissa Radimersky</t>
        </is>
      </c>
      <c r="B17" s="67" t="inlineStr">
        <is>
          <t>larissa.radimersky@mercedes-benz.com</t>
        </is>
      </c>
      <c r="C17" s="68" t="inlineStr">
        <is>
          <t>Stv. Sekretariat</t>
        </is>
      </c>
      <c r="D17" s="67" t="inlineStr"/>
    </row>
    <row r="18">
      <c r="A18" s="69" t="inlineStr">
        <is>
          <t>Fabian Wunsch</t>
        </is>
      </c>
      <c r="B18" s="69" t="inlineStr">
        <is>
          <t>Fabian.Wunsch@mercedes-benz.com</t>
        </is>
      </c>
      <c r="C18" s="70" t="inlineStr">
        <is>
          <t>Leiter WD-Fzg, Org. Ambulanz, Hygiene</t>
        </is>
      </c>
      <c r="D18" s="69" t="inlineStr"/>
    </row>
    <row r="22">
      <c r="F22" s="38" t="inlineStr">
        <is>
          <t>Dropdown: Namen</t>
        </is>
      </c>
      <c r="H22" s="38" t="inlineStr">
        <is>
          <t>Dropdown: REKO</t>
        </is>
      </c>
      <c r="J22" s="38" t="inlineStr">
        <is>
          <t>Dropdown: Kategorie</t>
        </is>
      </c>
    </row>
    <row r="23">
      <c r="F23" s="37" t="inlineStr">
        <is>
          <t>Breig</t>
        </is>
      </c>
      <c r="H23" s="37" t="inlineStr">
        <is>
          <t>REKO</t>
        </is>
      </c>
      <c r="J23" s="37" t="inlineStr">
        <is>
          <t>A</t>
        </is>
      </c>
    </row>
    <row r="24">
      <c r="F24" s="37" t="inlineStr">
        <is>
          <t>Dr. Vitez</t>
        </is>
      </c>
      <c r="H24" s="37" t="inlineStr">
        <is>
          <t>Nicht erforderlich</t>
        </is>
      </c>
      <c r="J24" s="37" t="inlineStr">
        <is>
          <t>B</t>
        </is>
      </c>
    </row>
    <row r="25">
      <c r="F25" s="37" t="inlineStr">
        <is>
          <t>Dr.Frei</t>
        </is>
      </c>
      <c r="H25" s="37" t="inlineStr">
        <is>
          <t>Besprochen mit  Dr.Frei</t>
        </is>
      </c>
      <c r="J25" s="37" t="inlineStr">
        <is>
          <t>C</t>
        </is>
      </c>
    </row>
    <row r="26">
      <c r="F26" s="37" t="inlineStr">
        <is>
          <t>Dr.Schmidt</t>
        </is>
      </c>
      <c r="H26" s="37" t="inlineStr">
        <is>
          <t>Besprochen mit  Dr.Schmidt</t>
        </is>
      </c>
      <c r="J26" s="37" t="inlineStr">
        <is>
          <t>D</t>
        </is>
      </c>
    </row>
    <row r="27">
      <c r="F27" s="37" t="inlineStr">
        <is>
          <t>Goepfrich</t>
        </is>
      </c>
      <c r="H27" s="37" t="inlineStr">
        <is>
          <t>Besprochen mit  Dr. Vitez</t>
        </is>
      </c>
    </row>
    <row r="28">
      <c r="F28" s="37" t="inlineStr">
        <is>
          <t>Göpfrich</t>
        </is>
      </c>
      <c r="H28" s="37" t="inlineStr">
        <is>
          <t>Besprochen mit  Breig</t>
        </is>
      </c>
    </row>
    <row r="29">
      <c r="F29" s="37" t="inlineStr">
        <is>
          <t>Jochim</t>
        </is>
      </c>
      <c r="H29" s="37" t="inlineStr">
        <is>
          <t>Besprochen mit  Krempl</t>
        </is>
      </c>
    </row>
    <row r="30">
      <c r="F30" s="37" t="inlineStr">
        <is>
          <t>Krempl</t>
        </is>
      </c>
      <c r="H30" s="37" t="inlineStr">
        <is>
          <t>Besprochen mit  Siebert</t>
        </is>
      </c>
    </row>
    <row r="31">
      <c r="F31" s="37" t="inlineStr">
        <is>
          <t>Müller-Horn</t>
        </is>
      </c>
      <c r="H31" s="37" t="inlineStr">
        <is>
          <t>Besprochen mit  Putschler</t>
        </is>
      </c>
    </row>
    <row r="32">
      <c r="F32" s="37" t="inlineStr">
        <is>
          <t>Putschler</t>
        </is>
      </c>
      <c r="H32" s="37" t="inlineStr">
        <is>
          <t>Besprochen mit  Jochim</t>
        </is>
      </c>
    </row>
    <row r="33">
      <c r="F33" s="37" t="inlineStr">
        <is>
          <t>Radimersky</t>
        </is>
      </c>
      <c r="H33" s="37" t="inlineStr">
        <is>
          <t>Besprochen mit  Zuber</t>
        </is>
      </c>
    </row>
    <row r="34">
      <c r="F34" s="37" t="inlineStr">
        <is>
          <t>Schmidt</t>
        </is>
      </c>
      <c r="H34" s="37" t="inlineStr">
        <is>
          <t>Besprochen mit  Göpfrich</t>
        </is>
      </c>
    </row>
    <row r="35">
      <c r="F35" s="37" t="inlineStr">
        <is>
          <t>Siebert</t>
        </is>
      </c>
      <c r="H35" s="37" t="inlineStr">
        <is>
          <t>Besprochen mit  Zeller</t>
        </is>
      </c>
    </row>
    <row r="36">
      <c r="F36" s="37" t="inlineStr">
        <is>
          <t>Wunsch</t>
        </is>
      </c>
      <c r="H36" s="37" t="inlineStr">
        <is>
          <t>Besprochen mit  Schmidt</t>
        </is>
      </c>
    </row>
    <row r="37">
      <c r="F37" s="37" t="inlineStr">
        <is>
          <t>Zeller</t>
        </is>
      </c>
      <c r="H37" s="37" t="inlineStr">
        <is>
          <t>Besprochen mit  Zieger-Buchta</t>
        </is>
      </c>
    </row>
    <row r="38">
      <c r="F38" s="37" t="inlineStr">
        <is>
          <t>Zieger-Buchta</t>
        </is>
      </c>
      <c r="H38" s="37" t="inlineStr">
        <is>
          <t>Besprochen mit  Müller-Horn</t>
        </is>
      </c>
    </row>
    <row r="39">
      <c r="F39" s="37" t="inlineStr">
        <is>
          <t>Zuber</t>
        </is>
      </c>
      <c r="H39" s="37" t="inlineStr">
        <is>
          <t>Besprochen mit  Radimersky</t>
        </is>
      </c>
    </row>
    <row r="40">
      <c r="H40" s="37" t="inlineStr">
        <is>
          <t>Besprochen mit  Wunsch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2026-02-08T22:56:56Z</dcterms:created>
  <dcterms:modified xsi:type="dcterms:W3CDTF">2026-02-08T22:56:56Z</dcterms:modified>
</cp:coreProperties>
</file>