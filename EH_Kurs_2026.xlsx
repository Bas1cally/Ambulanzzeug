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ilnehmer" sheetId="1" state="visible" r:id="rId1"/>
    <sheet name="Bescheinigungen" sheetId="2" state="visible" r:id="rId2"/>
    <sheet name="BG-Liste" sheetId="3" state="visible" r:id="rId3"/>
    <sheet name="Lehrgangsdoku" sheetId="4" state="visible" r:id="rId4"/>
    <sheet name="Hilfslisten" sheetId="5" state="visible" r:id="rId5"/>
  </sheets>
  <definedNames>
    <definedName name="Lehrkraefte">Hilfslisten!$A$2:$A$20</definedName>
    <definedName name="_xlnm.Print_Area" localSheetId="1">'Bescheinigungen'!$A$1:$S$350</definedName>
    <definedName name="_xlnm.Print_Area" localSheetId="2">'BG-Liste'!$A$1:$E$86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HH:MM"/>
    <numFmt numFmtId="166" formatCode="000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FFFFFF"/>
      <sz val="16"/>
    </font>
    <font>
      <name val="Calibri"/>
      <b val="1"/>
      <color rgb="00333333"/>
      <sz val="10"/>
    </font>
    <font>
      <name val="Calibri"/>
      <color rgb="000F3460"/>
      <sz val="11"/>
    </font>
    <font>
      <name val="Calibri"/>
      <b val="1"/>
      <color rgb="000F3460"/>
      <sz val="14"/>
    </font>
    <font>
      <name val="Calibri"/>
      <b val="1"/>
      <color rgb="00404040"/>
      <sz val="14"/>
    </font>
    <font>
      <name val="Calibri"/>
      <color rgb="00404040"/>
      <sz val="9"/>
    </font>
    <font>
      <name val="Segoe UI Symbol"/>
      <color rgb="00404040"/>
      <sz val="9"/>
    </font>
    <font>
      <name val="Calibri"/>
      <b val="1"/>
      <color rgb="00000000"/>
      <sz val="9"/>
    </font>
    <font>
      <name val="Calibri"/>
      <color rgb="00000000"/>
      <sz val="9"/>
    </font>
    <font>
      <name val="Calibri"/>
      <color rgb="00555555"/>
      <sz val="7.5"/>
    </font>
    <font>
      <name val="Calibri"/>
      <color rgb="00555555"/>
      <sz val="7"/>
    </font>
    <font>
      <name val="Calibri"/>
      <family val="2"/>
      <color theme="1"/>
      <sz val="24"/>
      <scheme val="minor"/>
    </font>
    <font>
      <name val="Calibri"/>
      <family val="2"/>
      <color theme="1"/>
      <sz val="20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1"/>
      <sz val="14"/>
      <scheme val="minor"/>
    </font>
    <font>
      <name val="Arial"/>
      <b val="1"/>
      <color rgb="00000000"/>
      <sz val="18"/>
    </font>
    <font>
      <name val="Arial"/>
      <color rgb="00000000"/>
      <sz val="10"/>
    </font>
    <font>
      <name val="Arial"/>
      <b val="1"/>
      <color rgb="00000000"/>
      <sz val="12"/>
    </font>
    <font>
      <name val="Arial"/>
      <color rgb="00000000"/>
      <sz val="8"/>
    </font>
    <font>
      <name val="Arial"/>
      <color rgb="00000000"/>
      <sz val="12"/>
    </font>
    <font>
      <name val="Arial"/>
      <color rgb="00000000"/>
      <sz val="12"/>
      <u val="single"/>
    </font>
    <font>
      <name val="Arial"/>
      <color rgb="00666666"/>
      <sz val="8"/>
    </font>
  </fonts>
  <fills count="9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FF9C4"/>
        <bgColor rgb="00FFF9C4"/>
      </patternFill>
    </fill>
    <fill>
      <patternFill patternType="solid">
        <fgColor rgb="00E8EAF6"/>
        <bgColor rgb="00E8EAF6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  <bgColor rgb="00E8F5E9"/>
      </patternFill>
    </fill>
    <fill>
      <patternFill patternType="solid">
        <fgColor rgb="00EBEBEB"/>
        <bgColor rgb="00EBEBEB"/>
      </patternFill>
    </fill>
  </fills>
  <borders count="15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bottom style="thin">
        <color rgb="00555555"/>
      </bottom>
    </border>
    <border>
      <right/>
      <bottom style="thin">
        <color rgb="00555555"/>
      </bottom>
    </border>
    <border>
      <left/>
      <right/>
      <top/>
      <bottom style="thin">
        <color rgb="00555555"/>
      </bottom>
      <diagonal/>
    </border>
    <border>
      <right style="dashed">
        <color rgb="00AAAAAA"/>
      </right>
    </border>
    <border>
      <left style="dashed">
        <color rgb="00AAAAAA"/>
      </left>
    </border>
    <border>
      <left style="thin">
        <color theme="9" tint="0.3999450666829432"/>
      </left>
      <right/>
      <top style="thin">
        <color theme="9" tint="0.3999450666829432"/>
      </top>
      <bottom style="thin">
        <color theme="9" tint="0.3999450666829432"/>
      </bottom>
      <diagonal/>
    </border>
    <border>
      <left style="thin">
        <color theme="9" tint="0.3999450666829432"/>
      </left>
      <right/>
      <top style="thin">
        <color theme="9" tint="0.3999450666829432"/>
      </top>
      <bottom/>
      <diagonal/>
    </border>
    <border>
      <left style="thin">
        <color theme="9" tint="0.3999450666829432"/>
      </left>
      <right/>
      <top/>
      <bottom style="thin">
        <color theme="9" tint="0.3999450666829432"/>
      </bottom>
      <diagonal/>
    </border>
    <border>
      <left/>
      <right style="medium">
        <color rgb="FF70D2A6"/>
      </right>
      <top style="medium">
        <color rgb="FF70D2A6"/>
      </top>
      <bottom style="medium">
        <color rgb="FF70D2A6"/>
      </bottom>
      <diagonal/>
    </border>
    <border>
      <left style="medium">
        <color rgb="FF70D2A6"/>
      </left>
      <right/>
      <top style="medium">
        <color rgb="FF70D2A6"/>
      </top>
      <bottom style="medium">
        <color rgb="FF70D2A6"/>
      </bottom>
      <diagonal/>
    </border>
    <border>
      <left/>
      <right/>
      <top/>
      <bottom style="medium">
        <color rgb="FF70D2A6"/>
      </bottom>
      <diagonal/>
    </border>
    <border>
      <left/>
      <right/>
      <top style="medium">
        <color rgb="FF70D2A6"/>
      </top>
      <bottom style="medium">
        <color rgb="FF70D2A6"/>
      </bottom>
      <diagonal/>
    </border>
    <border>
      <bottom style="thin">
        <color rgb="00000000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164" fontId="5" fillId="3" borderId="1" applyAlignment="1" pivotButton="0" quotePrefix="0" xfId="0">
      <alignment horizontal="left" vertical="center"/>
    </xf>
    <xf numFmtId="165" fontId="5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0" fillId="8" borderId="0" pivotButton="0" quotePrefix="0" xfId="0"/>
    <xf numFmtId="0" fontId="0" fillId="0" borderId="5" pivotButton="0" quotePrefix="0" xfId="0"/>
    <xf numFmtId="0" fontId="0" fillId="8" borderId="6" pivotButton="0" quotePrefix="0" xfId="0"/>
    <xf numFmtId="0" fontId="7" fillId="8" borderId="0" applyAlignment="1" pivotButton="0" quotePrefix="0" xfId="0">
      <alignment horizontal="left" vertical="center"/>
    </xf>
    <xf numFmtId="0" fontId="8" fillId="8" borderId="0" applyAlignment="1" pivotButton="0" quotePrefix="0" xfId="0">
      <alignment horizontal="left" vertical="center"/>
    </xf>
    <xf numFmtId="0" fontId="9" fillId="8" borderId="0" applyAlignment="1" pivotButton="0" quotePrefix="0" xfId="0">
      <alignment horizontal="center" vertical="center"/>
    </xf>
    <xf numFmtId="0" fontId="8" fillId="8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0" fillId="6" borderId="6" pivotButton="0" quotePrefix="0" xfId="0"/>
    <xf numFmtId="0" fontId="10" fillId="6" borderId="2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 wrapText="1"/>
    </xf>
    <xf numFmtId="0" fontId="10" fillId="6" borderId="2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0" fillId="6" borderId="3" applyAlignment="1" pivotButton="0" quotePrefix="0" xfId="0">
      <alignment horizontal="center" vertical="center"/>
    </xf>
    <xf numFmtId="0" fontId="0" fillId="0" borderId="4" pivotButton="0" quotePrefix="0" xfId="0"/>
    <xf numFmtId="0" fontId="12" fillId="6" borderId="0" applyAlignment="1" pivotButton="0" quotePrefix="0" xfId="0">
      <alignment horizontal="center" vertical="top" wrapText="1"/>
    </xf>
    <xf numFmtId="0" fontId="11" fillId="6" borderId="2" applyAlignment="1" pivotButton="0" quotePrefix="0" xfId="0">
      <alignment horizontal="left" vertical="center"/>
    </xf>
    <xf numFmtId="0" fontId="11" fillId="8" borderId="0" applyAlignment="1" pivotButton="0" quotePrefix="0" xfId="0">
      <alignment horizontal="left" vertical="center"/>
    </xf>
    <xf numFmtId="0" fontId="10" fillId="8" borderId="2" applyAlignment="1" pivotButton="0" quotePrefix="0" xfId="0">
      <alignment horizontal="left" vertical="center"/>
    </xf>
    <xf numFmtId="0" fontId="12" fillId="8" borderId="0" applyAlignment="1" pivotButton="0" quotePrefix="0" xfId="0">
      <alignment horizontal="left" vertical="center" wrapText="1"/>
    </xf>
    <xf numFmtId="0" fontId="13" fillId="8" borderId="0" applyAlignment="1" pivotButton="0" quotePrefix="0" xfId="0">
      <alignment horizontal="left" vertical="center"/>
    </xf>
    <xf numFmtId="0" fontId="13" fillId="8" borderId="6" applyAlignment="1" pivotButton="0" quotePrefix="0" xfId="0">
      <alignment horizontal="left" vertical="center"/>
    </xf>
    <xf numFmtId="0" fontId="0" fillId="0" borderId="7" pivotButton="0" quotePrefix="0" xfId="0"/>
    <xf numFmtId="0" fontId="0" fillId="0" borderId="8" pivotButton="0" quotePrefix="0" xfId="0"/>
    <xf numFmtId="0" fontId="14" fillId="0" borderId="0" applyAlignment="1" pivotButton="0" quotePrefix="0" xfId="0">
      <alignment horizontal="left" vertical="top"/>
    </xf>
    <xf numFmtId="0" fontId="15" fillId="0" borderId="0" applyAlignment="1" pivotButton="0" quotePrefix="0" xfId="0">
      <alignment horizontal="left"/>
    </xf>
    <xf numFmtId="0" fontId="15" fillId="0" borderId="0" pivotButton="0" quotePrefix="0" xfId="0"/>
    <xf numFmtId="49" fontId="16" fillId="0" borderId="0" applyAlignment="1" pivotButton="0" quotePrefix="0" xfId="0">
      <alignment horizontal="left" vertical="top"/>
    </xf>
    <xf numFmtId="0" fontId="0" fillId="0" borderId="9" pivotButton="0" quotePrefix="0" xfId="0"/>
    <xf numFmtId="0" fontId="0" fillId="0" borderId="0" applyAlignment="1" pivotButton="0" quotePrefix="0" xfId="0">
      <alignment horizontal="center"/>
    </xf>
    <xf numFmtId="0" fontId="15" fillId="0" borderId="10" applyAlignment="1" pivotButton="0" quotePrefix="0" xfId="0">
      <alignment vertical="center"/>
    </xf>
    <xf numFmtId="14" fontId="15" fillId="0" borderId="10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center" vertical="center"/>
    </xf>
    <xf numFmtId="14" fontId="16" fillId="0" borderId="0" applyAlignment="1" pivotButton="0" quotePrefix="0" xfId="0">
      <alignment horizontal="center" vertical="center"/>
    </xf>
    <xf numFmtId="49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6" fillId="0" borderId="0" pivotButton="0" quotePrefix="0" xfId="0"/>
    <xf numFmtId="0" fontId="17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164" fontId="22" fillId="0" borderId="0" applyAlignment="1" pivotButton="0" quotePrefix="0" xfId="0">
      <alignment horizontal="left" vertical="center"/>
    </xf>
    <xf numFmtId="0" fontId="22" fillId="0" borderId="14" applyAlignment="1" pivotButton="0" quotePrefix="0" xfId="0">
      <alignment horizontal="left" vertical="center"/>
    </xf>
    <xf numFmtId="0" fontId="22" fillId="0" borderId="14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1">
    <dxf>
      <fill>
        <patternFill patternType="solid">
          <fgColor rgb="00FFCDD2"/>
          <b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/Relationships>
</file>

<file path=xl/drawings/_rels/drawing2.xml.rels><Relationships xmlns="http://schemas.openxmlformats.org/package/2006/relationships"><Relationship Type="http://schemas.openxmlformats.org/officeDocument/2006/relationships/image" Target="/xl/media/image61.png" Id="rId1" /><Relationship Type="http://schemas.openxmlformats.org/officeDocument/2006/relationships/image" Target="/xl/media/image62.png" Id="rId2" /><Relationship Type="http://schemas.openxmlformats.org/officeDocument/2006/relationships/image" Target="/xl/media/image63.png" Id="rId3" /><Relationship Type="http://schemas.openxmlformats.org/officeDocument/2006/relationships/image" Target="/xl/media/image64.png" Id="rId4" /><Relationship Type="http://schemas.openxmlformats.org/officeDocument/2006/relationships/image" Target="/xl/media/image65.png" Id="rId5" /><Relationship Type="http://schemas.openxmlformats.org/officeDocument/2006/relationships/image" Target="/xl/media/image66.png" Id="rId6" /><Relationship Type="http://schemas.openxmlformats.org/officeDocument/2006/relationships/image" Target="/xl/media/image67.png" Id="rId7" /><Relationship Type="http://schemas.openxmlformats.org/officeDocument/2006/relationships/image" Target="/xl/media/image68.png" Id="rId8" /><Relationship Type="http://schemas.openxmlformats.org/officeDocument/2006/relationships/image" Target="/xl/media/image69.png" Id="rId9" /><Relationship Type="http://schemas.openxmlformats.org/officeDocument/2006/relationships/image" Target="/xl/media/image70.png" Id="rId10" /><Relationship Type="http://schemas.openxmlformats.org/officeDocument/2006/relationships/image" Target="/xl/media/image71.png" Id="rId11" /><Relationship Type="http://schemas.openxmlformats.org/officeDocument/2006/relationships/image" Target="/xl/media/image72.png" Id="rId12" /><Relationship Type="http://schemas.openxmlformats.org/officeDocument/2006/relationships/image" Target="/xl/media/image73.png" Id="rId13" /><Relationship Type="http://schemas.openxmlformats.org/officeDocument/2006/relationships/image" Target="/xl/media/image74.png" Id="rId14" /><Relationship Type="http://schemas.openxmlformats.org/officeDocument/2006/relationships/image" Target="/xl/media/image75.png" Id="rId15" /><Relationship Type="http://schemas.openxmlformats.org/officeDocument/2006/relationships/image" Target="/xl/media/image76.png" Id="rId16" /><Relationship Type="http://schemas.openxmlformats.org/officeDocument/2006/relationships/image" Target="/xl/media/image77.png" Id="rId17" /><Relationship Type="http://schemas.openxmlformats.org/officeDocument/2006/relationships/image" Target="/xl/media/image78.png" Id="rId18" /><Relationship Type="http://schemas.openxmlformats.org/officeDocument/2006/relationships/image" Target="/xl/media/image79.png" Id="rId19" /><Relationship Type="http://schemas.openxmlformats.org/officeDocument/2006/relationships/image" Target="/xl/media/image80.png" Id="rId20" /><Relationship Type="http://schemas.openxmlformats.org/officeDocument/2006/relationships/image" Target="/xl/media/image81.png" Id="rId21" /><Relationship Type="http://schemas.openxmlformats.org/officeDocument/2006/relationships/image" Target="/xl/media/image82.png" Id="rId22" /><Relationship Type="http://schemas.openxmlformats.org/officeDocument/2006/relationships/image" Target="/xl/media/image83.png" Id="rId23" /><Relationship Type="http://schemas.openxmlformats.org/officeDocument/2006/relationships/image" Target="/xl/media/image84.png" Id="rId24" /><Relationship Type="http://schemas.openxmlformats.org/officeDocument/2006/relationships/image" Target="/xl/media/image85.png" Id="rId25" /><Relationship Type="http://schemas.openxmlformats.org/officeDocument/2006/relationships/image" Target="/xl/media/image86.png" Id="rId26" /><Relationship Type="http://schemas.openxmlformats.org/officeDocument/2006/relationships/image" Target="/xl/media/image87.png" Id="rId27" /><Relationship Type="http://schemas.openxmlformats.org/officeDocument/2006/relationships/image" Target="/xl/media/image88.png" Id="rId28" /><Relationship Type="http://schemas.openxmlformats.org/officeDocument/2006/relationships/image" Target="/xl/media/image89.png" Id="rId29" /><Relationship Type="http://schemas.openxmlformats.org/officeDocument/2006/relationships/image" Target="/xl/media/image90.png" Id="rId30" /><Relationship Type="http://schemas.openxmlformats.org/officeDocument/2006/relationships/image" Target="/xl/media/image91.png" Id="rId31" /><Relationship Type="http://schemas.openxmlformats.org/officeDocument/2006/relationships/image" Target="/xl/media/image92.png" Id="rId32" /><Relationship Type="http://schemas.openxmlformats.org/officeDocument/2006/relationships/image" Target="/xl/media/image93.png" Id="rId33" /><Relationship Type="http://schemas.openxmlformats.org/officeDocument/2006/relationships/image" Target="/xl/media/image94.png" Id="rId34" /><Relationship Type="http://schemas.openxmlformats.org/officeDocument/2006/relationships/image" Target="/xl/media/image95.png" Id="rId35" /><Relationship Type="http://schemas.openxmlformats.org/officeDocument/2006/relationships/image" Target="/xl/media/image96.png" Id="rId36" /><Relationship Type="http://schemas.openxmlformats.org/officeDocument/2006/relationships/image" Target="/xl/media/image97.png" Id="rId37" /><Relationship Type="http://schemas.openxmlformats.org/officeDocument/2006/relationships/image" Target="/xl/media/image98.png" Id="rId38" /><Relationship Type="http://schemas.openxmlformats.org/officeDocument/2006/relationships/image" Target="/xl/media/image99.png" Id="rId39" /><Relationship Type="http://schemas.openxmlformats.org/officeDocument/2006/relationships/image" Target="/xl/media/image100.png" Id="rId40" /><Relationship Type="http://schemas.openxmlformats.org/officeDocument/2006/relationships/image" Target="/xl/media/image101.png" Id="rId41" /><Relationship Type="http://schemas.openxmlformats.org/officeDocument/2006/relationships/image" Target="/xl/media/image102.png" Id="rId42" /><Relationship Type="http://schemas.openxmlformats.org/officeDocument/2006/relationships/image" Target="/xl/media/image103.png" Id="rId43" /><Relationship Type="http://schemas.openxmlformats.org/officeDocument/2006/relationships/image" Target="/xl/media/image104.png" Id="rId44" /><Relationship Type="http://schemas.openxmlformats.org/officeDocument/2006/relationships/image" Target="/xl/media/image105.png" Id="rId45" /><Relationship Type="http://schemas.openxmlformats.org/officeDocument/2006/relationships/image" Target="/xl/media/image106.png" Id="rId46" /><Relationship Type="http://schemas.openxmlformats.org/officeDocument/2006/relationships/image" Target="/xl/media/image107.png" Id="rId47" /><Relationship Type="http://schemas.openxmlformats.org/officeDocument/2006/relationships/image" Target="/xl/media/image108.png" Id="rId48" /><Relationship Type="http://schemas.openxmlformats.org/officeDocument/2006/relationships/image" Target="/xl/media/image109.png" Id="rId49" /><Relationship Type="http://schemas.openxmlformats.org/officeDocument/2006/relationships/image" Target="/xl/media/image110.png" Id="rId50" /><Relationship Type="http://schemas.openxmlformats.org/officeDocument/2006/relationships/image" Target="/xl/media/image111.png" Id="rId51" /><Relationship Type="http://schemas.openxmlformats.org/officeDocument/2006/relationships/image" Target="/xl/media/image112.png" Id="rId52" /><Relationship Type="http://schemas.openxmlformats.org/officeDocument/2006/relationships/image" Target="/xl/media/image113.png" Id="rId53" /><Relationship Type="http://schemas.openxmlformats.org/officeDocument/2006/relationships/image" Target="/xl/media/image114.png" Id="rId5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495300" cy="495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19</row>
      <rowOff>0</rowOff>
    </from>
    <ext cx="419100" cy="4191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</row>
      <rowOff>0</rowOff>
    </from>
    <ext cx="419100" cy="4191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1</row>
      <rowOff>0</rowOff>
    </from>
    <ext cx="495300" cy="495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19</row>
      <rowOff>0</rowOff>
    </from>
    <ext cx="419100" cy="4191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13</col>
      <colOff>0</colOff>
      <row>19</row>
      <rowOff>0</rowOff>
    </from>
    <ext cx="419100" cy="4191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36</row>
      <rowOff>0</rowOff>
    </from>
    <ext cx="495300" cy="4953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54</row>
      <rowOff>0</rowOff>
    </from>
    <ext cx="419100" cy="4191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54</row>
      <rowOff>0</rowOff>
    </from>
    <ext cx="419100" cy="4191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36</row>
      <rowOff>0</rowOff>
    </from>
    <ext cx="495300" cy="4953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54</row>
      <rowOff>0</rowOff>
    </from>
    <ext cx="419100" cy="4191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13</col>
      <colOff>0</colOff>
      <row>54</row>
      <rowOff>0</rowOff>
    </from>
    <ext cx="419100" cy="4191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71</row>
      <rowOff>0</rowOff>
    </from>
    <ext cx="495300" cy="4953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89</row>
      <rowOff>0</rowOff>
    </from>
    <ext cx="419100" cy="4191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89</row>
      <rowOff>0</rowOff>
    </from>
    <ext cx="419100" cy="4191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71</row>
      <rowOff>0</rowOff>
    </from>
    <ext cx="495300" cy="4953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89</row>
      <rowOff>0</rowOff>
    </from>
    <ext cx="419100" cy="4191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13</col>
      <colOff>0</colOff>
      <row>89</row>
      <rowOff>0</rowOff>
    </from>
    <ext cx="419100" cy="4191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106</row>
      <rowOff>0</rowOff>
    </from>
    <ext cx="495300" cy="4953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124</row>
      <rowOff>0</rowOff>
    </from>
    <ext cx="419100" cy="4191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124</row>
      <rowOff>0</rowOff>
    </from>
    <ext cx="419100" cy="4191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106</row>
      <rowOff>0</rowOff>
    </from>
    <ext cx="495300" cy="4953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124</row>
      <rowOff>0</rowOff>
    </from>
    <ext cx="419100" cy="4191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13</col>
      <colOff>0</colOff>
      <row>124</row>
      <rowOff>0</rowOff>
    </from>
    <ext cx="419100" cy="4191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141</row>
      <rowOff>0</rowOff>
    </from>
    <ext cx="495300" cy="4953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159</row>
      <rowOff>0</rowOff>
    </from>
    <ext cx="419100" cy="4191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159</row>
      <rowOff>0</rowOff>
    </from>
    <ext cx="419100" cy="4191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141</row>
      <rowOff>0</rowOff>
    </from>
    <ext cx="495300" cy="4953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159</row>
      <rowOff>0</rowOff>
    </from>
    <ext cx="419100" cy="41910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13</col>
      <colOff>0</colOff>
      <row>159</row>
      <rowOff>0</rowOff>
    </from>
    <ext cx="419100" cy="41910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176</row>
      <rowOff>0</rowOff>
    </from>
    <ext cx="495300" cy="49530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194</row>
      <rowOff>0</rowOff>
    </from>
    <ext cx="419100" cy="41910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194</row>
      <rowOff>0</rowOff>
    </from>
    <ext cx="419100" cy="41910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176</row>
      <rowOff>0</rowOff>
    </from>
    <ext cx="495300" cy="49530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194</row>
      <rowOff>0</rowOff>
    </from>
    <ext cx="419100" cy="4191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13</col>
      <colOff>0</colOff>
      <row>194</row>
      <rowOff>0</rowOff>
    </from>
    <ext cx="419100" cy="4191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211</row>
      <rowOff>0</rowOff>
    </from>
    <ext cx="495300" cy="49530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229</row>
      <rowOff>0</rowOff>
    </from>
    <ext cx="419100" cy="41910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229</row>
      <rowOff>0</rowOff>
    </from>
    <ext cx="419100" cy="41910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211</row>
      <rowOff>0</rowOff>
    </from>
    <ext cx="495300" cy="49530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229</row>
      <rowOff>0</rowOff>
    </from>
    <ext cx="419100" cy="41910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13</col>
      <colOff>0</colOff>
      <row>229</row>
      <rowOff>0</rowOff>
    </from>
    <ext cx="419100" cy="41910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246</row>
      <rowOff>0</rowOff>
    </from>
    <ext cx="495300" cy="49530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264</row>
      <rowOff>0</rowOff>
    </from>
    <ext cx="419100" cy="41910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264</row>
      <rowOff>0</rowOff>
    </from>
    <ext cx="419100" cy="41910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246</row>
      <rowOff>0</rowOff>
    </from>
    <ext cx="495300" cy="49530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264</row>
      <rowOff>0</rowOff>
    </from>
    <ext cx="419100" cy="41910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13</col>
      <colOff>0</colOff>
      <row>264</row>
      <rowOff>0</rowOff>
    </from>
    <ext cx="419100" cy="41910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281</row>
      <rowOff>0</rowOff>
    </from>
    <ext cx="495300" cy="49530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299</row>
      <rowOff>0</rowOff>
    </from>
    <ext cx="419100" cy="41910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299</row>
      <rowOff>0</rowOff>
    </from>
    <ext cx="419100" cy="41910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281</row>
      <rowOff>0</rowOff>
    </from>
    <ext cx="495300" cy="495300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299</row>
      <rowOff>0</rowOff>
    </from>
    <ext cx="419100" cy="419100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13</col>
      <colOff>0</colOff>
      <row>299</row>
      <rowOff>0</rowOff>
    </from>
    <ext cx="419100" cy="419100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316</row>
      <rowOff>0</rowOff>
    </from>
    <ext cx="495300" cy="49530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334</row>
      <rowOff>0</rowOff>
    </from>
    <ext cx="419100" cy="41910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334</row>
      <rowOff>0</rowOff>
    </from>
    <ext cx="419100" cy="41910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316</row>
      <rowOff>0</rowOff>
    </from>
    <ext cx="495300" cy="495300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11</col>
      <colOff>0</colOff>
      <row>334</row>
      <rowOff>0</rowOff>
    </from>
    <ext cx="419100" cy="41910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13</col>
      <colOff>0</colOff>
      <row>334</row>
      <rowOff>0</rowOff>
    </from>
    <ext cx="419100" cy="41910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219075</colOff>
      <row>7</row>
      <rowOff>0</rowOff>
    </from>
    <to>
      <col>1</col>
      <colOff>38174</colOff>
      <row>19</row>
      <rowOff>29419</rowOff>
    </to>
    <pic>
      <nvPicPr>
        <cNvPr id="9" name="Grafik 8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19075" y="3495675"/>
          <a:ext cx="533474" cy="604921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3</col>
      <colOff>2686050</colOff>
      <row>8</row>
      <rowOff>409575</rowOff>
    </from>
    <to>
      <col>4</col>
      <colOff>1381322</colOff>
      <row>19</row>
      <rowOff>210289</rowOff>
    </to>
    <pic>
      <nvPicPr>
        <cNvPr id="10" name="Grafik 9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10134600" y="4429125"/>
          <a:ext cx="1409897" cy="529663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190500</colOff>
      <row>0</row>
      <rowOff>0</rowOff>
    </from>
    <to>
      <col>4</col>
      <colOff>1401762</colOff>
      <row>4</row>
      <rowOff>19336</rowOff>
    </to>
    <pic>
      <nvPicPr>
        <cNvPr id="33" name="Grafik 32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190500" y="0"/>
          <a:ext cx="11374437" cy="2048161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228600</colOff>
      <row>0</row>
      <rowOff>19050</rowOff>
    </from>
    <to>
      <col>1</col>
      <colOff>28647</colOff>
      <row>8</row>
      <rowOff>276822</rowOff>
    </to>
    <pic>
      <nvPicPr>
        <cNvPr id="34" name="Grafik 33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228600" y="19050"/>
          <a:ext cx="514422" cy="427732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219075</colOff>
      <row>6</row>
      <rowOff>400050</rowOff>
    </from>
    <to>
      <col>4</col>
      <colOff>1392232</colOff>
      <row>9</row>
      <rowOff>114452</rowOff>
    </to>
    <pic>
      <nvPicPr>
        <cNvPr id="35" name="Grafik 34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219075" y="3486150"/>
          <a:ext cx="11336332" cy="108600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542925</colOff>
      <row>4</row>
      <rowOff>495300</rowOff>
    </from>
    <to>
      <col>2</col>
      <colOff>1267607</colOff>
      <row>5</row>
      <rowOff>276269</rowOff>
    </to>
    <pic>
      <nvPicPr>
        <cNvPr id="37" name="Grafik 3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542925" y="2524125"/>
          <a:ext cx="5601482" cy="31436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3914775</colOff>
      <row>2</row>
      <rowOff>476250</rowOff>
    </from>
    <to>
      <col>2</col>
      <colOff>1562353</colOff>
      <row>7</row>
      <rowOff>219379</rowOff>
    </to>
    <pic>
      <nvPicPr>
        <cNvPr id="38" name="Grafik 37"/>
        <cNvPicPr>
          <a:picLocks noChangeAspect="1"/>
        </cNvPicPr>
      </nvPicPr>
      <blipFill>
        <a:blip r:embed="rId7"/>
        <a:stretch>
          <a:fillRect/>
        </a:stretch>
      </blipFill>
      <spPr>
        <a:xfrm>
          <a:off x="4629150" y="1533525"/>
          <a:ext cx="1810003" cy="218152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285750</colOff>
      <row>5</row>
      <rowOff>466725</rowOff>
    </from>
    <to>
      <col>2</col>
      <colOff>810379</colOff>
      <row>6</row>
      <rowOff>181008</rowOff>
    </to>
    <pic>
      <nvPicPr>
        <cNvPr id="39" name="Grafik 38"/>
        <cNvPicPr>
          <a:picLocks noChangeAspect="1"/>
        </cNvPicPr>
      </nvPicPr>
      <blipFill>
        <a:blip r:embed="rId8"/>
        <a:stretch>
          <a:fillRect/>
        </a:stretch>
      </blipFill>
      <spPr>
        <a:xfrm>
          <a:off x="285750" y="3028950"/>
          <a:ext cx="5401429" cy="238158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4</col>
      <colOff>942975</colOff>
      <row>2</row>
      <rowOff>161925</rowOff>
    </from>
    <to>
      <col>4</col>
      <colOff>1381186</colOff>
      <row>7</row>
      <rowOff>209897</rowOff>
    </to>
    <pic>
      <nvPicPr>
        <cNvPr id="40" name="Grafik 39"/>
        <cNvPicPr>
          <a:picLocks noChangeAspect="1"/>
        </cNvPicPr>
      </nvPicPr>
      <blipFill>
        <a:blip r:embed="rId9"/>
        <a:stretch>
          <a:fillRect/>
        </a:stretch>
      </blipFill>
      <spPr>
        <a:xfrm>
          <a:off x="11106150" y="1219200"/>
          <a:ext cx="438211" cy="248637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2</col>
      <colOff>1019175</colOff>
      <row>5</row>
      <rowOff>142875</rowOff>
    </from>
    <to>
      <col>4</col>
      <colOff>1277124</colOff>
      <row>5</row>
      <rowOff>447718</rowOff>
    </to>
    <pic>
      <nvPicPr>
        <cNvPr id="41" name="Grafik 40"/>
        <cNvPicPr>
          <a:picLocks noChangeAspect="1"/>
        </cNvPicPr>
      </nvPicPr>
      <blipFill>
        <a:blip r:embed="rId10"/>
        <a:stretch>
          <a:fillRect/>
        </a:stretch>
      </blipFill>
      <spPr>
        <a:xfrm>
          <a:off x="5895975" y="2705100"/>
          <a:ext cx="5544324" cy="3048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2</col>
      <colOff>1047750</colOff>
      <row>3</row>
      <rowOff>209550</rowOff>
    </from>
    <to>
      <col>4</col>
      <colOff>1172330</colOff>
      <row>4</row>
      <rowOff>200091</rowOff>
    </to>
    <pic>
      <nvPicPr>
        <cNvPr id="42" name="Grafik 41"/>
        <cNvPicPr>
          <a:picLocks noChangeAspect="1"/>
        </cNvPicPr>
      </nvPicPr>
      <blipFill>
        <a:blip r:embed="rId11"/>
        <a:stretch>
          <a:fillRect/>
        </a:stretch>
      </blipFill>
      <spPr>
        <a:xfrm>
          <a:off x="5924550" y="1752600"/>
          <a:ext cx="5410955" cy="476316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200025</colOff>
      <row>19</row>
      <rowOff>66675</rowOff>
    </from>
    <to>
      <col>4</col>
      <colOff>1392235</colOff>
      <row>20</row>
      <rowOff>304908</rowOff>
    </to>
    <pic>
      <nvPicPr>
        <cNvPr id="43" name="Grafik 42"/>
        <cNvPicPr>
          <a:picLocks noChangeAspect="1"/>
        </cNvPicPr>
      </nvPicPr>
      <blipFill>
        <a:blip r:embed="rId12"/>
        <a:stretch>
          <a:fillRect/>
        </a:stretch>
      </blipFill>
      <spPr>
        <a:xfrm>
          <a:off x="200025" y="9572625"/>
          <a:ext cx="11355385" cy="77163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190500</colOff>
      <row>20</row>
      <rowOff>47625</rowOff>
    </from>
    <to>
      <col>1</col>
      <colOff>857443</colOff>
      <row>27</row>
      <rowOff>95632</rowOff>
    </to>
    <pic>
      <nvPicPr>
        <cNvPr id="44" name="Grafik 43"/>
        <cNvPicPr>
          <a:picLocks noChangeAspect="1"/>
        </cNvPicPr>
      </nvPicPr>
      <blipFill>
        <a:blip r:embed="rId13"/>
        <a:stretch>
          <a:fillRect/>
        </a:stretch>
      </blipFill>
      <spPr>
        <a:xfrm>
          <a:off x="190500" y="10096500"/>
          <a:ext cx="1381318" cy="273405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171450</colOff>
      <row>23</row>
      <rowOff>342900</rowOff>
    </from>
    <to>
      <col>2</col>
      <colOff>2058344</colOff>
      <row>25</row>
      <rowOff>219168</rowOff>
    </to>
    <pic>
      <nvPicPr>
        <cNvPr id="45" name="Grafik 44"/>
        <cNvPicPr>
          <a:picLocks noChangeAspect="1"/>
        </cNvPicPr>
      </nvPicPr>
      <blipFill>
        <a:blip r:embed="rId14"/>
        <a:stretch>
          <a:fillRect/>
        </a:stretch>
      </blipFill>
      <spPr>
        <a:xfrm>
          <a:off x="171450" y="11563350"/>
          <a:ext cx="6763694" cy="6668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2</col>
      <colOff>876300</colOff>
      <row>20</row>
      <rowOff>38100</rowOff>
    </from>
    <to>
      <col>2</col>
      <colOff>1076353</colOff>
      <row>25</row>
      <rowOff>19321</rowOff>
    </to>
    <pic>
      <nvPicPr>
        <cNvPr id="46" name="Grafik 45"/>
        <cNvPicPr>
          <a:picLocks noChangeAspect="1"/>
        </cNvPicPr>
      </nvPicPr>
      <blipFill>
        <a:blip r:embed="rId15"/>
        <a:stretch>
          <a:fillRect/>
        </a:stretch>
      </blipFill>
      <spPr>
        <a:xfrm>
          <a:off x="5753100" y="10086975"/>
          <a:ext cx="200053" cy="1943371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2</col>
      <colOff>2057400</colOff>
      <row>24</row>
      <rowOff>95250</rowOff>
    </from>
    <to>
      <col>3</col>
      <colOff>276335</colOff>
      <row>25</row>
      <rowOff>28619</rowOff>
    </to>
    <pic>
      <nvPicPr>
        <cNvPr id="48" name="Grafik 47"/>
        <cNvPicPr>
          <a:picLocks noChangeAspect="1"/>
        </cNvPicPr>
      </nvPicPr>
      <blipFill>
        <a:blip r:embed="rId16"/>
        <a:stretch>
          <a:fillRect/>
        </a:stretch>
      </blipFill>
      <spPr>
        <a:xfrm>
          <a:off x="6934200" y="11725275"/>
          <a:ext cx="790685" cy="31436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3</col>
      <colOff>209550</colOff>
      <row>24</row>
      <rowOff>314325</rowOff>
    </from>
    <to>
      <col>4</col>
      <colOff>1372141</colOff>
      <row>27</row>
      <rowOff>85847</rowOff>
    </to>
    <pic>
      <nvPicPr>
        <cNvPr id="49" name="Grafik 48"/>
        <cNvPicPr>
          <a:picLocks noChangeAspect="1"/>
        </cNvPicPr>
      </nvPicPr>
      <blipFill>
        <a:blip r:embed="rId17"/>
        <a:stretch>
          <a:fillRect/>
        </a:stretch>
      </blipFill>
      <spPr>
        <a:xfrm>
          <a:off x="7658100" y="11944350"/>
          <a:ext cx="3877216" cy="87642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4</col>
      <colOff>904875</colOff>
      <row>20</row>
      <rowOff>0</rowOff>
    </from>
    <to>
      <col>4</col>
      <colOff>1409770</colOff>
      <row>25</row>
      <rowOff>200327</rowOff>
    </to>
    <pic>
      <nvPicPr>
        <cNvPr id="50" name="Grafik 49"/>
        <cNvPicPr>
          <a:picLocks noChangeAspect="1"/>
        </cNvPicPr>
      </nvPicPr>
      <blipFill>
        <a:blip r:embed="rId18"/>
        <a:stretch>
          <a:fillRect/>
        </a:stretch>
      </blipFill>
      <spPr>
        <a:xfrm>
          <a:off x="11068050" y="10048875"/>
          <a:ext cx="504895" cy="216247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285750</colOff>
      <row>25</row>
      <rowOff>60846</rowOff>
    </from>
    <to>
      <col>4</col>
      <colOff>1401749</colOff>
      <row>27</row>
      <rowOff>97346</rowOff>
    </to>
    <pic>
      <nvPicPr>
        <cNvPr id="52" name="Grafik 51"/>
        <cNvPicPr>
          <a:picLocks noChangeAspect="1"/>
        </cNvPicPr>
      </nvPicPr>
      <blipFill>
        <a:blip r:embed="rId19"/>
        <a:stretch>
          <a:fillRect/>
        </a:stretch>
      </blipFill>
      <spPr>
        <a:xfrm>
          <a:off x="285750" y="12071871"/>
          <a:ext cx="11279174" cy="76040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3</col>
      <colOff>2679539</colOff>
      <row>25</row>
      <rowOff>265132</rowOff>
    </from>
    <to>
      <col>4</col>
      <colOff>1422442</colOff>
      <row>42</row>
      <rowOff>94584</rowOff>
    </to>
    <pic>
      <nvPicPr>
        <cNvPr id="56" name="Grafik 55"/>
        <cNvPicPr>
          <a:picLocks noChangeAspect="1"/>
        </cNvPicPr>
      </nvPicPr>
      <blipFill>
        <a:blip r:embed="rId20"/>
        <a:stretch>
          <a:fillRect/>
        </a:stretch>
      </blipFill>
      <spPr>
        <a:xfrm>
          <a:off x="10127727" y="12267838"/>
          <a:ext cx="1458493" cy="472759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284664</colOff>
      <row>31</row>
      <rowOff>54852</rowOff>
    </from>
    <to>
      <col>4</col>
      <colOff>590925</colOff>
      <row>32</row>
      <rowOff>45363</rowOff>
    </to>
    <pic>
      <nvPicPr>
        <cNvPr id="57" name="Grafik 56"/>
        <cNvPicPr>
          <a:picLocks noChangeAspect="1"/>
        </cNvPicPr>
      </nvPicPr>
      <blipFill>
        <a:blip r:embed="rId21"/>
        <a:stretch>
          <a:fillRect/>
        </a:stretch>
      </blipFill>
      <spPr>
        <a:xfrm>
          <a:off x="284664" y="13742518"/>
          <a:ext cx="10470280" cy="25576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2</col>
      <colOff>841214</colOff>
      <row>27</row>
      <rowOff>43899</rowOff>
    </from>
    <to>
      <col>2</col>
      <colOff>993635</colOff>
      <row>42</row>
      <rowOff>111408</rowOff>
    </to>
    <pic>
      <nvPicPr>
        <cNvPr id="58" name="Grafik 57"/>
        <cNvPicPr>
          <a:picLocks noChangeAspect="1"/>
        </cNvPicPr>
      </nvPicPr>
      <blipFill>
        <a:blip r:embed="rId22"/>
        <a:stretch>
          <a:fillRect/>
        </a:stretch>
      </blipFill>
      <spPr>
        <a:xfrm>
          <a:off x="5718255" y="12770022"/>
          <a:ext cx="152421" cy="424223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192234</colOff>
      <row>29</row>
      <rowOff>7900</rowOff>
    </from>
    <to>
      <col>4</col>
      <colOff>946233</colOff>
      <row>30</row>
      <rowOff>55561</rowOff>
    </to>
    <pic>
      <nvPicPr>
        <cNvPr id="60" name="Grafik 59"/>
        <cNvPicPr>
          <a:picLocks noChangeAspect="1"/>
        </cNvPicPr>
      </nvPicPr>
      <blipFill>
        <a:blip r:embed="rId23"/>
        <a:stretch>
          <a:fillRect/>
        </a:stretch>
      </blipFill>
      <spPr>
        <a:xfrm>
          <a:off x="192234" y="13162046"/>
          <a:ext cx="10918018" cy="25865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180975</colOff>
      <row>33</row>
      <rowOff>14208</rowOff>
    </from>
    <to>
      <col>4</col>
      <colOff>830184</colOff>
      <row>34</row>
      <rowOff>99972</rowOff>
    </to>
    <pic>
      <nvPicPr>
        <cNvPr id="62" name="Grafik 61"/>
        <cNvPicPr>
          <a:picLocks noChangeAspect="1"/>
        </cNvPicPr>
      </nvPicPr>
      <blipFill>
        <a:blip r:embed="rId24"/>
        <a:stretch>
          <a:fillRect/>
        </a:stretch>
      </blipFill>
      <spPr>
        <a:xfrm>
          <a:off x="180975" y="14301708"/>
          <a:ext cx="10813228" cy="275661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193031</colOff>
      <row>39</row>
      <rowOff>312275</rowOff>
    </from>
    <to>
      <col>4</col>
      <colOff>594555</colOff>
      <row>42</row>
      <rowOff>112568</rowOff>
    </to>
    <pic>
      <nvPicPr>
        <cNvPr id="63" name="Grafik 62"/>
        <cNvPicPr>
          <a:picLocks noChangeAspect="1"/>
        </cNvPicPr>
      </nvPicPr>
      <blipFill>
        <a:blip r:embed="rId25"/>
        <a:stretch>
          <a:fillRect/>
        </a:stretch>
      </blipFill>
      <spPr>
        <a:xfrm>
          <a:off x="193031" y="16462576"/>
          <a:ext cx="10565543" cy="55083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171450</colOff>
      <row>26</row>
      <rowOff>197975</rowOff>
    </from>
    <to>
      <col>0</col>
      <colOff>285766</colOff>
      <row>40</row>
      <rowOff>198561</rowOff>
    </to>
    <pic>
      <nvPicPr>
        <cNvPr id="64" name="Grafik 63"/>
        <cNvPicPr>
          <a:picLocks noChangeAspect="1"/>
        </cNvPicPr>
      </nvPicPr>
      <blipFill>
        <a:blip r:embed="rId26"/>
        <a:stretch>
          <a:fillRect/>
        </a:stretch>
      </blipFill>
      <spPr>
        <a:xfrm>
          <a:off x="171450" y="12523204"/>
          <a:ext cx="114316" cy="419640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304800</colOff>
      <row>39</row>
      <rowOff>47625</rowOff>
    </from>
    <to>
      <col>1</col>
      <colOff>1028801</colOff>
      <row>39</row>
      <rowOff>314362</rowOff>
    </to>
    <pic>
      <nvPicPr>
        <cNvPr id="65" name="Grafik 64"/>
        <cNvPicPr>
          <a:picLocks noChangeAspect="1"/>
        </cNvPicPr>
      </nvPicPr>
      <blipFill>
        <a:blip r:embed="rId27"/>
        <a:stretch>
          <a:fillRect/>
        </a:stretch>
      </blipFill>
      <spPr>
        <a:xfrm>
          <a:off x="1019175" y="16211550"/>
          <a:ext cx="724001" cy="266737"/>
        </a:xfrm>
        <a:prstGeom prst="rect">
          <avLst/>
        </a:prstGeom>
        <a:ln>
          <a:prstDash val="solid"/>
        </a:ln>
      </spPr>
    </pic>
    <clientData/>
  </twoCellAnchor>
  <twoCellAnchor>
    <from>
      <col>0</col>
      <colOff>219075</colOff>
      <row>50</row>
      <rowOff>0</rowOff>
    </from>
    <to>
      <col>1</col>
      <colOff>38174</colOff>
      <row>62</row>
      <rowOff>29419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>
    <from>
      <col>3</col>
      <colOff>2686050</colOff>
      <row>51</row>
      <rowOff>409575</rowOff>
    </from>
    <to>
      <col>4</col>
      <colOff>1381322</colOff>
      <row>62</row>
      <rowOff>210289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>
    <from>
      <col>0</col>
      <colOff>190500</colOff>
      <row>43</row>
      <rowOff>0</rowOff>
    </from>
    <to>
      <col>4</col>
      <colOff>1401762</colOff>
      <row>47</row>
      <rowOff>19336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>
    <from>
      <col>0</col>
      <colOff>228600</colOff>
      <row>43</row>
      <rowOff>19050</rowOff>
    </from>
    <to>
      <col>1</col>
      <colOff>28647</colOff>
      <row>51</row>
      <rowOff>276822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>
    <from>
      <col>0</col>
      <colOff>219075</colOff>
      <row>49</row>
      <rowOff>400050</rowOff>
    </from>
    <to>
      <col>4</col>
      <colOff>1392232</colOff>
      <row>52</row>
      <rowOff>114452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>
    <from>
      <col>0</col>
      <colOff>542925</colOff>
      <row>47</row>
      <rowOff>495300</rowOff>
    </from>
    <to>
      <col>2</col>
      <colOff>1267607</colOff>
      <row>48</row>
      <rowOff>276269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>
    <from>
      <col>1</col>
      <colOff>3914775</colOff>
      <row>45</row>
      <rowOff>476250</rowOff>
    </from>
    <to>
      <col>2</col>
      <colOff>1562353</colOff>
      <row>50</row>
      <rowOff>219379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>
    <from>
      <col>0</col>
      <colOff>285750</colOff>
      <row>48</row>
      <rowOff>466725</rowOff>
    </from>
    <to>
      <col>2</col>
      <colOff>810379</colOff>
      <row>49</row>
      <rowOff>181008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>
    <from>
      <col>4</col>
      <colOff>942975</colOff>
      <row>45</row>
      <rowOff>161925</rowOff>
    </from>
    <to>
      <col>4</col>
      <colOff>1381186</colOff>
      <row>50</row>
      <rowOff>209897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>
    <from>
      <col>2</col>
      <colOff>1019175</colOff>
      <row>48</row>
      <rowOff>142875</rowOff>
    </from>
    <to>
      <col>4</col>
      <colOff>1277124</colOff>
      <row>48</row>
      <rowOff>447718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>
    <from>
      <col>2</col>
      <colOff>1047750</colOff>
      <row>46</row>
      <rowOff>209550</rowOff>
    </from>
    <to>
      <col>4</col>
      <colOff>1172330</colOff>
      <row>47</row>
      <rowOff>200091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>
    <from>
      <col>0</col>
      <colOff>200025</colOff>
      <row>62</row>
      <rowOff>66675</rowOff>
    </from>
    <to>
      <col>4</col>
      <colOff>1392235</colOff>
      <row>63</row>
      <rowOff>304908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>
    <from>
      <col>0</col>
      <colOff>190500</colOff>
      <row>63</row>
      <rowOff>47625</rowOff>
    </from>
    <to>
      <col>1</col>
      <colOff>857443</colOff>
      <row>70</row>
      <rowOff>95632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>
    <from>
      <col>0</col>
      <colOff>171450</colOff>
      <row>66</row>
      <rowOff>342900</rowOff>
    </from>
    <to>
      <col>2</col>
      <colOff>2058344</colOff>
      <row>68</row>
      <rowOff>219168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>
    <from>
      <col>2</col>
      <colOff>876300</colOff>
      <row>63</row>
      <rowOff>38100</rowOff>
    </from>
    <to>
      <col>2</col>
      <colOff>1076353</colOff>
      <row>68</row>
      <rowOff>19321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>
    <from>
      <col>2</col>
      <colOff>2057400</colOff>
      <row>67</row>
      <rowOff>95250</rowOff>
    </from>
    <to>
      <col>3</col>
      <colOff>276335</colOff>
      <row>68</row>
      <rowOff>28619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>
    <from>
      <col>3</col>
      <colOff>209550</colOff>
      <row>67</row>
      <rowOff>314325</rowOff>
    </from>
    <to>
      <col>4</col>
      <colOff>1372141</colOff>
      <row>70</row>
      <rowOff>85847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>
    <from>
      <col>4</col>
      <colOff>904875</colOff>
      <row>63</row>
      <rowOff>0</rowOff>
    </from>
    <to>
      <col>4</col>
      <colOff>1409770</colOff>
      <row>68</row>
      <rowOff>200327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>
    <from>
      <col>0</col>
      <colOff>285750</colOff>
      <row>68</row>
      <rowOff>60846</rowOff>
    </from>
    <to>
      <col>4</col>
      <colOff>1401749</colOff>
      <row>70</row>
      <rowOff>97346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>
    <from>
      <col>3</col>
      <colOff>2679539</colOff>
      <row>68</row>
      <rowOff>265132</rowOff>
    </from>
    <to>
      <col>5</col>
      <colOff>3217</colOff>
      <row>85</row>
      <rowOff>94584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>
    <from>
      <col>0</col>
      <colOff>284664</colOff>
      <row>74</row>
      <rowOff>54852</rowOff>
    </from>
    <to>
      <col>4</col>
      <colOff>590925</colOff>
      <row>75</row>
      <rowOff>45363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>
    <from>
      <col>2</col>
      <colOff>841214</colOff>
      <row>70</row>
      <rowOff>43899</rowOff>
    </from>
    <to>
      <col>2</col>
      <colOff>993635</colOff>
      <row>85</row>
      <rowOff>111408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>
    <from>
      <col>0</col>
      <colOff>192234</colOff>
      <row>72</row>
      <rowOff>7900</rowOff>
    </from>
    <to>
      <col>4</col>
      <colOff>946233</colOff>
      <row>73</row>
      <rowOff>55561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>
    <from>
      <col>0</col>
      <colOff>180975</colOff>
      <row>76</row>
      <rowOff>14208</rowOff>
    </from>
    <to>
      <col>4</col>
      <colOff>830184</colOff>
      <row>77</row>
      <rowOff>99972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>
    <from>
      <col>0</col>
      <colOff>193031</colOff>
      <row>82</row>
      <rowOff>312275</rowOff>
    </from>
    <to>
      <col>4</col>
      <colOff>594555</colOff>
      <row>85</row>
      <rowOff>112568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>
    <from>
      <col>0</col>
      <colOff>171450</colOff>
      <row>69</row>
      <rowOff>197975</rowOff>
    </from>
    <to>
      <col>0</col>
      <colOff>285766</colOff>
      <row>83</row>
      <rowOff>198561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>
    <from>
      <col>1</col>
      <colOff>304800</colOff>
      <row>82</row>
      <rowOff>47625</rowOff>
    </from>
    <to>
      <col>1</col>
      <colOff>1028801</colOff>
      <row>82</row>
      <rowOff>314362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H3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2" customWidth="1" min="3" max="3"/>
    <col width="16" customWidth="1" min="4" max="4"/>
    <col width="18" customWidth="1" min="5" max="5"/>
    <col width="22" customWidth="1" min="6" max="6"/>
    <col width="8" customWidth="1" min="7" max="7"/>
    <col width="12" customWidth="1" min="8" max="8"/>
  </cols>
  <sheetData>
    <row r="1" ht="38" customHeight="1">
      <c r="A1" s="1" t="inlineStr">
        <is>
          <t>EH-Kurs – Teilnehmerliste 2026</t>
        </is>
      </c>
    </row>
    <row r="3" ht="22" customHeight="1">
      <c r="B3" s="2" t="inlineStr">
        <is>
          <t>Datum:</t>
        </is>
      </c>
      <c r="C3" s="3" t="n"/>
      <c r="E3" s="2" t="inlineStr">
        <is>
          <t>Beginn:</t>
        </is>
      </c>
      <c r="F3" s="4" t="n"/>
      <c r="G3" s="2" t="inlineStr">
        <is>
          <t>Ende:</t>
        </is>
      </c>
      <c r="H3" s="4" t="n"/>
    </row>
    <row r="4" ht="22" customHeight="1">
      <c r="B4" s="2" t="inlineStr">
        <is>
          <t>Lehrkraft:</t>
        </is>
      </c>
      <c r="C4" s="5" t="n"/>
      <c r="E4" s="2" t="inlineStr">
        <is>
          <t>Kursart:</t>
        </is>
      </c>
      <c r="F4" s="5" t="n"/>
    </row>
    <row r="5" ht="22" customHeight="1">
      <c r="B5" s="2" t="inlineStr">
        <is>
          <t>Registriernr.:</t>
        </is>
      </c>
      <c r="C5" s="5" t="n"/>
      <c r="E5" s="2" t="inlineStr">
        <is>
          <t>QSEH-Kennziffer:</t>
        </is>
      </c>
      <c r="F5" s="6" t="inlineStr">
        <is>
          <t>7.0103</t>
        </is>
      </c>
    </row>
    <row r="6" ht="22" customHeight="1">
      <c r="B6" s="2" t="inlineStr">
        <is>
          <t>Lehrgangsort:</t>
        </is>
      </c>
      <c r="C6" s="5" t="inlineStr">
        <is>
          <t>Mercedes-Benz AG, PKW-Werk Rastatt</t>
        </is>
      </c>
    </row>
    <row r="7" ht="22" customHeight="1">
      <c r="B7" s="2" t="inlineStr">
        <is>
          <t>Verantw. Arzt:</t>
        </is>
      </c>
      <c r="C7" s="6" t="inlineStr">
        <is>
          <t>Dr. Schmidt, Sabine</t>
        </is>
      </c>
      <c r="E7" s="2" t="inlineStr">
        <is>
          <t>Tel.:</t>
        </is>
      </c>
      <c r="F7" s="6" t="inlineStr">
        <is>
          <t>07222/91-22111</t>
        </is>
      </c>
    </row>
    <row r="8" ht="22" customHeight="1">
      <c r="B8" s="2" t="inlineStr">
        <is>
          <t>Masken-Charge:</t>
        </is>
      </c>
      <c r="C8" s="5" t="n"/>
    </row>
    <row r="10" ht="25" customHeight="1">
      <c r="A10" s="7" t="inlineStr">
        <is>
          <t>Nr</t>
        </is>
      </c>
      <c r="B10" s="7" t="inlineStr">
        <is>
          <t>Nachname</t>
        </is>
      </c>
      <c r="C10" s="7" t="inlineStr">
        <is>
          <t>Vorname</t>
        </is>
      </c>
      <c r="D10" s="7" t="inlineStr">
        <is>
          <t>Geburtsdatum</t>
        </is>
      </c>
      <c r="E10" s="7" t="inlineStr">
        <is>
          <t>Ersthelfer (x)</t>
        </is>
      </c>
    </row>
    <row r="11" ht="22" customHeight="1">
      <c r="A11" s="8" t="n">
        <v>1</v>
      </c>
      <c r="B11" s="9" t="n"/>
      <c r="C11" s="9" t="n"/>
      <c r="D11" s="10" t="n"/>
      <c r="E11" s="11" t="n"/>
    </row>
    <row r="12" ht="22" customHeight="1">
      <c r="A12" s="12" t="n">
        <v>2</v>
      </c>
      <c r="B12" s="13" t="n"/>
      <c r="C12" s="13" t="n"/>
      <c r="D12" s="14" t="n"/>
      <c r="E12" s="15" t="n"/>
    </row>
    <row r="13" ht="22" customHeight="1">
      <c r="A13" s="8" t="n">
        <v>3</v>
      </c>
      <c r="B13" s="9" t="n"/>
      <c r="C13" s="9" t="n"/>
      <c r="D13" s="10" t="n"/>
      <c r="E13" s="11" t="n"/>
    </row>
    <row r="14" ht="22" customHeight="1">
      <c r="A14" s="12" t="n">
        <v>4</v>
      </c>
      <c r="B14" s="13" t="n"/>
      <c r="C14" s="13" t="n"/>
      <c r="D14" s="14" t="n"/>
      <c r="E14" s="15" t="n"/>
    </row>
    <row r="15" ht="22" customHeight="1">
      <c r="A15" s="8" t="n">
        <v>5</v>
      </c>
      <c r="B15" s="9" t="n"/>
      <c r="C15" s="9" t="n"/>
      <c r="D15" s="10" t="n"/>
      <c r="E15" s="11" t="n"/>
    </row>
    <row r="16" ht="22" customHeight="1">
      <c r="A16" s="12" t="n">
        <v>6</v>
      </c>
      <c r="B16" s="13" t="n"/>
      <c r="C16" s="13" t="n"/>
      <c r="D16" s="14" t="n"/>
      <c r="E16" s="15" t="n"/>
    </row>
    <row r="17" ht="22" customHeight="1">
      <c r="A17" s="8" t="n">
        <v>7</v>
      </c>
      <c r="B17" s="9" t="n"/>
      <c r="C17" s="9" t="n"/>
      <c r="D17" s="10" t="n"/>
      <c r="E17" s="11" t="n"/>
    </row>
    <row r="18" ht="22" customHeight="1">
      <c r="A18" s="12" t="n">
        <v>8</v>
      </c>
      <c r="B18" s="13" t="n"/>
      <c r="C18" s="13" t="n"/>
      <c r="D18" s="14" t="n"/>
      <c r="E18" s="15" t="n"/>
    </row>
    <row r="19" ht="22" customHeight="1">
      <c r="A19" s="8" t="n">
        <v>9</v>
      </c>
      <c r="B19" s="9" t="n"/>
      <c r="C19" s="9" t="n"/>
      <c r="D19" s="10" t="n"/>
      <c r="E19" s="11" t="n"/>
    </row>
    <row r="20" ht="22" customHeight="1">
      <c r="A20" s="12" t="n">
        <v>10</v>
      </c>
      <c r="B20" s="13" t="n"/>
      <c r="C20" s="13" t="n"/>
      <c r="D20" s="14" t="n"/>
      <c r="E20" s="15" t="n"/>
    </row>
    <row r="21" ht="22" customHeight="1">
      <c r="A21" s="8" t="n">
        <v>11</v>
      </c>
      <c r="B21" s="9" t="n"/>
      <c r="C21" s="9" t="n"/>
      <c r="D21" s="10" t="n"/>
      <c r="E21" s="11" t="n"/>
    </row>
    <row r="22" ht="22" customHeight="1">
      <c r="A22" s="12" t="n">
        <v>12</v>
      </c>
      <c r="B22" s="13" t="n"/>
      <c r="C22" s="13" t="n"/>
      <c r="D22" s="14" t="n"/>
      <c r="E22" s="15" t="n"/>
    </row>
    <row r="23" ht="22" customHeight="1">
      <c r="A23" s="8" t="n">
        <v>13</v>
      </c>
      <c r="B23" s="9" t="n"/>
      <c r="C23" s="9" t="n"/>
      <c r="D23" s="10" t="n"/>
      <c r="E23" s="11" t="n"/>
    </row>
    <row r="24" ht="22" customHeight="1">
      <c r="A24" s="12" t="n">
        <v>14</v>
      </c>
      <c r="B24" s="13" t="n"/>
      <c r="C24" s="13" t="n"/>
      <c r="D24" s="14" t="n"/>
      <c r="E24" s="15" t="n"/>
    </row>
    <row r="25" ht="22" customHeight="1">
      <c r="A25" s="8" t="n">
        <v>15</v>
      </c>
      <c r="B25" s="9" t="n"/>
      <c r="C25" s="9" t="n"/>
      <c r="D25" s="10" t="n"/>
      <c r="E25" s="11" t="n"/>
    </row>
    <row r="26" ht="22" customHeight="1">
      <c r="A26" s="12" t="n">
        <v>16</v>
      </c>
      <c r="B26" s="13" t="n"/>
      <c r="C26" s="13" t="n"/>
      <c r="D26" s="14" t="n"/>
      <c r="E26" s="15" t="n"/>
    </row>
    <row r="27" ht="22" customHeight="1">
      <c r="A27" s="8" t="n">
        <v>17</v>
      </c>
      <c r="B27" s="9" t="n"/>
      <c r="C27" s="9" t="n"/>
      <c r="D27" s="10" t="n"/>
      <c r="E27" s="11" t="n"/>
    </row>
    <row r="28" ht="22" customHeight="1">
      <c r="A28" s="12" t="n">
        <v>18</v>
      </c>
      <c r="B28" s="13" t="n"/>
      <c r="C28" s="13" t="n"/>
      <c r="D28" s="14" t="n"/>
      <c r="E28" s="15" t="n"/>
    </row>
    <row r="29" ht="22" customHeight="1">
      <c r="A29" s="8" t="n">
        <v>19</v>
      </c>
      <c r="B29" s="9" t="n"/>
      <c r="C29" s="9" t="n"/>
      <c r="D29" s="10" t="n"/>
      <c r="E29" s="11" t="n"/>
    </row>
    <row r="30" ht="22" customHeight="1">
      <c r="A30" s="12" t="n">
        <v>20</v>
      </c>
      <c r="B30" s="13" t="n"/>
      <c r="C30" s="13" t="n"/>
      <c r="D30" s="14" t="n"/>
      <c r="E30" s="15" t="n"/>
    </row>
    <row r="32" ht="25" customHeight="1">
      <c r="B32" s="2" t="inlineStr">
        <is>
          <t>Gesamtanzahl:</t>
        </is>
      </c>
      <c r="C32" s="16">
        <f>COUNTA(B11:B30)</f>
        <v/>
      </c>
      <c r="D32" s="2" t="inlineStr">
        <is>
          <t>davon Ersthelfer:</t>
        </is>
      </c>
      <c r="E32" s="16">
        <f>COUNTIF(E11:E30,"x")</f>
        <v/>
      </c>
    </row>
  </sheetData>
  <mergeCells count="2">
    <mergeCell ref="C6:E6"/>
    <mergeCell ref="A1:H1"/>
  </mergeCells>
  <conditionalFormatting sqref="B11:B30">
    <cfRule type="expression" priority="1" dxfId="0">
      <formula>AND($B11="",$C11&lt;&gt;"")</formula>
    </cfRule>
  </conditionalFormatting>
  <conditionalFormatting sqref="C11:C30">
    <cfRule type="expression" priority="2" dxfId="0">
      <formula>AND($C11="",$B11&lt;&gt;"")</formula>
    </cfRule>
  </conditionalFormatting>
  <dataValidations count="3">
    <dataValidation sqref="C4" showDropDown="0" showInputMessage="0" showErrorMessage="0" allowBlank="1" type="list">
      <formula1>=Lehrkraefte</formula1>
    </dataValidation>
    <dataValidation sqref="F4" showDropDown="0" showInputMessage="0" showErrorMessage="0" allowBlank="1" type="list">
      <formula1>"EH-Ausbildung,EH-Fortbildung,EH-Schulung"</formula1>
    </dataValidation>
    <dataValidation sqref="E11:E30" showDropDown="0" showInputMessage="0" showErrorMessage="0" allowBlank="1" type="list">
      <formula1>"x"</formula1>
    </dataValidation>
  </dataValidations>
  <pageMargins left="0.5" right="0.5" top="0.5" bottom="0.5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1B5E20"/>
    <outlinePr summaryBelow="1" summaryRight="1"/>
    <pageSetUpPr fitToPage="1"/>
  </sheetPr>
  <dimension ref="A1:S350"/>
  <sheetViews>
    <sheetView workbookViewId="0">
      <selection activeCell="A1" sqref="A1"/>
    </sheetView>
  </sheetViews>
  <sheetFormatPr baseColWidth="8" defaultRowHeight="15"/>
  <cols>
    <col width="1.5" customWidth="1" min="1" max="1"/>
    <col width="4.5" customWidth="1" min="2" max="2"/>
    <col width="4.5" customWidth="1" min="3" max="3"/>
    <col width="9.5" customWidth="1" min="4" max="4"/>
    <col width="9.5" customWidth="1" min="5" max="5"/>
    <col width="7" customWidth="1" min="6" max="6"/>
    <col width="5" customWidth="1" min="7" max="7"/>
    <col width="3" customWidth="1" min="8" max="8"/>
    <col width="1.5" customWidth="1" min="9" max="9"/>
    <col width="0.5" customWidth="1" min="10" max="10"/>
    <col width="1.5" customWidth="1" min="11" max="11"/>
    <col width="4.5" customWidth="1" min="12" max="12"/>
    <col width="4.5" customWidth="1" min="13" max="13"/>
    <col width="9.5" customWidth="1" min="14" max="14"/>
    <col width="9.5" customWidth="1" min="15" max="15"/>
    <col width="7" customWidth="1" min="16" max="16"/>
    <col width="5" customWidth="1" min="17" max="17"/>
    <col width="3" customWidth="1" min="18" max="18"/>
    <col width="1.5" customWidth="1" min="19" max="19"/>
  </cols>
  <sheetData>
    <row r="1" ht="12" customHeight="1">
      <c r="A1" s="17" t="n"/>
      <c r="B1" s="17" t="n"/>
      <c r="C1" s="17" t="n"/>
      <c r="D1" s="17" t="n"/>
      <c r="E1" s="17" t="n"/>
      <c r="F1" s="17" t="n"/>
      <c r="G1" s="17" t="n"/>
      <c r="H1" s="17" t="n"/>
      <c r="I1" s="17" t="n"/>
      <c r="J1" s="18" t="n"/>
      <c r="K1" s="19" t="n"/>
      <c r="L1" s="17" t="n"/>
      <c r="M1" s="17" t="n"/>
      <c r="N1" s="17" t="n"/>
      <c r="O1" s="17" t="n"/>
      <c r="P1" s="17" t="n"/>
      <c r="Q1" s="17" t="n"/>
      <c r="R1" s="17" t="n"/>
      <c r="S1" s="17" t="n"/>
    </row>
    <row r="2" ht="28" customHeight="1">
      <c r="A2" s="17" t="n"/>
      <c r="B2" s="17" t="n"/>
      <c r="C2" s="17" t="n"/>
      <c r="D2" s="20" t="inlineStr">
        <is>
          <t>Bescheinigung</t>
        </is>
      </c>
      <c r="E2" s="17" t="n"/>
      <c r="F2" s="17" t="n"/>
      <c r="G2" s="17" t="n"/>
      <c r="H2" s="17" t="n"/>
      <c r="I2" s="17" t="n"/>
      <c r="J2" s="18" t="n"/>
      <c r="K2" s="19" t="n"/>
      <c r="L2" s="17" t="n"/>
      <c r="M2" s="17" t="n"/>
      <c r="N2" s="20" t="inlineStr">
        <is>
          <t>Bescheinigung</t>
        </is>
      </c>
      <c r="O2" s="17" t="n"/>
      <c r="P2" s="17" t="n"/>
      <c r="Q2" s="17" t="n"/>
      <c r="R2" s="17" t="n"/>
      <c r="S2" s="17" t="n"/>
    </row>
    <row r="3" ht="16" customHeight="1">
      <c r="A3" s="17" t="n"/>
      <c r="B3" s="17" t="n"/>
      <c r="C3" s="17" t="n"/>
      <c r="D3" s="21" t="inlineStr">
        <is>
          <t>über die Teilnahme an einer Erste-Hilfe-</t>
        </is>
      </c>
      <c r="E3" s="17" t="n"/>
      <c r="F3" s="17" t="n"/>
      <c r="G3" s="17" t="n"/>
      <c r="H3" s="17" t="n"/>
      <c r="I3" s="17" t="n"/>
      <c r="J3" s="18" t="n"/>
      <c r="K3" s="19" t="n"/>
      <c r="L3" s="17" t="n"/>
      <c r="M3" s="17" t="n"/>
      <c r="N3" s="21" t="inlineStr">
        <is>
          <t>über die Teilnahme an einer Erste-Hilfe-</t>
        </is>
      </c>
      <c r="O3" s="17" t="n"/>
      <c r="P3" s="17" t="n"/>
      <c r="Q3" s="17" t="n"/>
      <c r="R3" s="17" t="n"/>
      <c r="S3" s="17" t="n"/>
    </row>
    <row r="4" ht="15" customHeight="1">
      <c r="A4" s="17" t="n"/>
      <c r="B4" s="17" t="n"/>
      <c r="C4" s="17" t="n"/>
      <c r="D4" s="22">
        <f>IF(Teilnehmer!F4="EH-Ausbildung","☑","☐")</f>
        <v/>
      </c>
      <c r="E4" s="21" t="inlineStr">
        <is>
          <t>Ausbildung¹ für betriebliche Ersthelfende</t>
        </is>
      </c>
      <c r="F4" s="17" t="n"/>
      <c r="G4" s="17" t="n"/>
      <c r="H4" s="17" t="n"/>
      <c r="I4" s="17" t="n"/>
      <c r="J4" s="18" t="n"/>
      <c r="K4" s="19" t="n"/>
      <c r="L4" s="17" t="n"/>
      <c r="M4" s="17" t="n"/>
      <c r="N4" s="22">
        <f>IF(Teilnehmer!F4="EH-Ausbildung","☑","☐")</f>
        <v/>
      </c>
      <c r="O4" s="21" t="inlineStr">
        <is>
          <t>Ausbildung¹ für betriebliche Ersthelfende</t>
        </is>
      </c>
      <c r="P4" s="17" t="n"/>
      <c r="Q4" s="17" t="n"/>
      <c r="R4" s="17" t="n"/>
      <c r="S4" s="17" t="n"/>
    </row>
    <row r="5" ht="15" customHeight="1">
      <c r="A5" s="17" t="n"/>
      <c r="B5" s="17" t="n"/>
      <c r="C5" s="17" t="n"/>
      <c r="D5" s="22">
        <f>IF(Teilnehmer!F4="EH-Fortbildung","☑","☐")</f>
        <v/>
      </c>
      <c r="E5" s="21" t="inlineStr">
        <is>
          <t>Fortbildung für betriebliche Ersthelfende</t>
        </is>
      </c>
      <c r="F5" s="17" t="n"/>
      <c r="G5" s="17" t="n"/>
      <c r="H5" s="17" t="n"/>
      <c r="I5" s="17" t="n"/>
      <c r="J5" s="18" t="n"/>
      <c r="K5" s="19" t="n"/>
      <c r="L5" s="17" t="n"/>
      <c r="M5" s="17" t="n"/>
      <c r="N5" s="22">
        <f>IF(Teilnehmer!F4="EH-Fortbildung","☑","☐")</f>
        <v/>
      </c>
      <c r="O5" s="21" t="inlineStr">
        <is>
          <t>Fortbildung für betriebliche Ersthelfende</t>
        </is>
      </c>
      <c r="P5" s="17" t="n"/>
      <c r="Q5" s="17" t="n"/>
      <c r="R5" s="17" t="n"/>
      <c r="S5" s="17" t="n"/>
    </row>
    <row r="6" ht="15" customHeight="1">
      <c r="A6" s="17" t="n"/>
      <c r="B6" s="17" t="n"/>
      <c r="C6" s="17" t="n"/>
      <c r="D6" s="22">
        <f>IF(Teilnehmer!F4="EH-Schulung","☑","☐")</f>
        <v/>
      </c>
      <c r="E6" s="21" t="inlineStr">
        <is>
          <t>Schulung in Bildungs- und Betreuungs-</t>
        </is>
      </c>
      <c r="F6" s="17" t="n"/>
      <c r="G6" s="17" t="n"/>
      <c r="H6" s="17" t="n"/>
      <c r="I6" s="17" t="n"/>
      <c r="J6" s="18" t="n"/>
      <c r="K6" s="19" t="n"/>
      <c r="L6" s="17" t="n"/>
      <c r="M6" s="17" t="n"/>
      <c r="N6" s="22">
        <f>IF(Teilnehmer!F4="EH-Schulung","☑","☐")</f>
        <v/>
      </c>
      <c r="O6" s="21" t="inlineStr">
        <is>
          <t>Schulung in Bildungs- und Betreuungs-</t>
        </is>
      </c>
      <c r="P6" s="17" t="n"/>
      <c r="Q6" s="17" t="n"/>
      <c r="R6" s="17" t="n"/>
      <c r="S6" s="17" t="n"/>
    </row>
    <row r="7" ht="13" customHeight="1">
      <c r="A7" s="17" t="n"/>
      <c r="B7" s="17" t="n"/>
      <c r="C7" s="17" t="n"/>
      <c r="D7" s="23" t="inlineStr">
        <is>
          <t>einrichtungen für Kinder</t>
        </is>
      </c>
      <c r="E7" s="17" t="n"/>
      <c r="F7" s="17" t="n"/>
      <c r="G7" s="17" t="n"/>
      <c r="H7" s="17" t="n"/>
      <c r="I7" s="17" t="n"/>
      <c r="J7" s="18" t="n"/>
      <c r="K7" s="19" t="n"/>
      <c r="L7" s="17" t="n"/>
      <c r="M7" s="17" t="n"/>
      <c r="N7" s="23" t="inlineStr">
        <is>
          <t>einrichtungen für Kinder</t>
        </is>
      </c>
      <c r="O7" s="17" t="n"/>
      <c r="P7" s="17" t="n"/>
      <c r="Q7" s="17" t="n"/>
      <c r="R7" s="17" t="n"/>
      <c r="S7" s="17" t="n"/>
    </row>
    <row r="8" ht="10" customHeight="1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8" t="n"/>
      <c r="K8" s="19" t="n"/>
      <c r="L8" s="17" t="n"/>
      <c r="M8" s="17" t="n"/>
      <c r="N8" s="17" t="n"/>
      <c r="O8" s="17" t="n"/>
      <c r="P8" s="17" t="n"/>
      <c r="Q8" s="17" t="n"/>
      <c r="R8" s="17" t="n"/>
      <c r="S8" s="17" t="n"/>
    </row>
    <row r="9" ht="9" customHeight="1">
      <c r="A9" s="24" t="n"/>
      <c r="B9" s="24" t="n"/>
      <c r="C9" s="24" t="n"/>
      <c r="D9" s="24" t="n"/>
      <c r="E9" s="24" t="n"/>
      <c r="F9" s="24" t="n"/>
      <c r="G9" s="24" t="n"/>
      <c r="H9" s="24" t="n"/>
      <c r="I9" s="24" t="n"/>
      <c r="J9" s="18" t="n"/>
      <c r="K9" s="25" t="n"/>
      <c r="L9" s="24" t="n"/>
      <c r="M9" s="24" t="n"/>
      <c r="N9" s="24" t="n"/>
      <c r="O9" s="24" t="n"/>
      <c r="P9" s="24" t="n"/>
      <c r="Q9" s="24" t="n"/>
      <c r="R9" s="24" t="n"/>
      <c r="S9" s="24" t="n"/>
    </row>
    <row r="10" ht="18" customHeight="1">
      <c r="A10" s="24" t="n"/>
      <c r="B10" s="26">
        <f>Teilnehmer!B11</f>
        <v/>
      </c>
      <c r="C10" s="24" t="n"/>
      <c r="D10" s="24" t="n"/>
      <c r="E10" s="24" t="n"/>
      <c r="F10" s="26">
        <f>Teilnehmer!C11</f>
        <v/>
      </c>
      <c r="G10" s="24" t="n"/>
      <c r="H10" s="27" t="inlineStr">
        <is>
          <t>geb. am:</t>
        </is>
      </c>
      <c r="I10" s="26">
        <f>TEXT(Teilnehmer!D11,"DD.MM.YYYY")</f>
        <v/>
      </c>
      <c r="J10" s="18" t="n"/>
      <c r="K10" s="25" t="n"/>
      <c r="L10" s="26">
        <f>Teilnehmer!B12</f>
        <v/>
      </c>
      <c r="M10" s="24" t="n"/>
      <c r="N10" s="24" t="n"/>
      <c r="O10" s="24" t="n"/>
      <c r="P10" s="26">
        <f>Teilnehmer!C12</f>
        <v/>
      </c>
      <c r="Q10" s="24" t="n"/>
      <c r="R10" s="27" t="inlineStr">
        <is>
          <t>geb. am:</t>
        </is>
      </c>
      <c r="S10" s="26">
        <f>TEXT(Teilnehmer!D12,"DD.MM.YYYY")</f>
        <v/>
      </c>
    </row>
    <row r="11" ht="9" customHeight="1">
      <c r="A11" s="24" t="n"/>
      <c r="B11" s="28" t="inlineStr">
        <is>
          <t>Name</t>
        </is>
      </c>
      <c r="C11" s="24" t="n"/>
      <c r="D11" s="24" t="n"/>
      <c r="E11" s="24" t="n"/>
      <c r="F11" s="28" t="inlineStr">
        <is>
          <t>Vorname</t>
        </is>
      </c>
      <c r="G11" s="24" t="n"/>
      <c r="H11" s="24" t="n"/>
      <c r="I11" s="24" t="n"/>
      <c r="J11" s="18" t="n"/>
      <c r="K11" s="25" t="n"/>
      <c r="L11" s="28" t="inlineStr">
        <is>
          <t>Name</t>
        </is>
      </c>
      <c r="M11" s="24" t="n"/>
      <c r="N11" s="24" t="n"/>
      <c r="O11" s="24" t="n"/>
      <c r="P11" s="28" t="inlineStr">
        <is>
          <t>Vorname</t>
        </is>
      </c>
      <c r="Q11" s="24" t="n"/>
      <c r="R11" s="24" t="n"/>
      <c r="S11" s="24" t="n"/>
    </row>
    <row r="12" ht="16" customHeight="1">
      <c r="A12" s="24" t="n"/>
      <c r="B12" s="29" t="inlineStr">
        <is>
          <t>hat an dem 9 Unterrichtseinheiten (Nettounterrichtszeit 9 × 45 Minuten) umfassenden Lehrgang</t>
        </is>
      </c>
      <c r="C12" s="24" t="n"/>
      <c r="D12" s="24" t="n"/>
      <c r="E12" s="24" t="n"/>
      <c r="F12" s="24" t="n"/>
      <c r="G12" s="24" t="n"/>
      <c r="H12" s="24" t="n"/>
      <c r="I12" s="24" t="n"/>
      <c r="J12" s="18" t="n"/>
      <c r="K12" s="25" t="n"/>
      <c r="L12" s="29" t="inlineStr">
        <is>
          <t>hat an dem 9 Unterrichtseinheiten (Nettounterrichtszeit 9 × 45 Minuten) umfassenden Lehrgang</t>
        </is>
      </c>
      <c r="M12" s="24" t="n"/>
      <c r="N12" s="24" t="n"/>
      <c r="O12" s="24" t="n"/>
      <c r="P12" s="24" t="n"/>
      <c r="Q12" s="24" t="n"/>
      <c r="R12" s="24" t="n"/>
      <c r="S12" s="24" t="n"/>
    </row>
    <row r="13" ht="9" customHeight="1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18" t="n"/>
      <c r="K13" s="25" t="n"/>
      <c r="L13" s="24" t="n"/>
      <c r="M13" s="24" t="n"/>
      <c r="N13" s="24" t="n"/>
      <c r="O13" s="24" t="n"/>
      <c r="P13" s="24" t="n"/>
      <c r="Q13" s="24" t="n"/>
      <c r="R13" s="24" t="n"/>
      <c r="S13" s="24" t="n"/>
    </row>
    <row r="14" ht="16" customHeight="1">
      <c r="A14" s="24" t="n"/>
      <c r="B14" s="27" t="inlineStr">
        <is>
          <t>am</t>
        </is>
      </c>
      <c r="C14" s="30">
        <f>TEXT(Teilnehmer!C3,"DD.MM.YYYY")</f>
        <v/>
      </c>
      <c r="D14" s="27" t="inlineStr">
        <is>
          <t>in der Zeit von</t>
        </is>
      </c>
      <c r="E14" s="30">
        <f>TEXT(Teilnehmer!F3,"HH:MM")</f>
        <v/>
      </c>
      <c r="F14" s="31" t="inlineStr">
        <is>
          <t>Uhr bis</t>
        </is>
      </c>
      <c r="G14" s="30">
        <f>TEXT(Teilnehmer!H3,"HH:MM")</f>
        <v/>
      </c>
      <c r="H14" s="27" t="inlineStr">
        <is>
          <t>Uhr</t>
        </is>
      </c>
      <c r="I14" s="24" t="n"/>
      <c r="J14" s="18" t="n"/>
      <c r="K14" s="25" t="n"/>
      <c r="L14" s="27" t="inlineStr">
        <is>
          <t>am</t>
        </is>
      </c>
      <c r="M14" s="30">
        <f>TEXT(Teilnehmer!C3,"DD.MM.YYYY")</f>
        <v/>
      </c>
      <c r="N14" s="27" t="inlineStr">
        <is>
          <t>in der Zeit von</t>
        </is>
      </c>
      <c r="O14" s="30">
        <f>TEXT(Teilnehmer!F3,"HH:MM")</f>
        <v/>
      </c>
      <c r="P14" s="31" t="inlineStr">
        <is>
          <t>Uhr bis</t>
        </is>
      </c>
      <c r="Q14" s="30">
        <f>TEXT(Teilnehmer!H3,"HH:MM")</f>
        <v/>
      </c>
      <c r="R14" s="27" t="inlineStr">
        <is>
          <t>Uhr</t>
        </is>
      </c>
      <c r="S14" s="24" t="n"/>
    </row>
    <row r="15" ht="9" customHeight="1">
      <c r="A15" s="24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18" t="n"/>
      <c r="K15" s="25" t="n"/>
      <c r="L15" s="24" t="n"/>
      <c r="M15" s="24" t="n"/>
      <c r="N15" s="24" t="n"/>
      <c r="O15" s="24" t="n"/>
      <c r="P15" s="24" t="n"/>
      <c r="Q15" s="24" t="n"/>
      <c r="R15" s="24" t="n"/>
      <c r="S15" s="24" t="n"/>
    </row>
    <row r="16" ht="16" customHeight="1">
      <c r="A16" s="24" t="n"/>
      <c r="B16" s="27" t="inlineStr">
        <is>
          <t>unter der Leitung von</t>
        </is>
      </c>
      <c r="C16" s="24" t="n"/>
      <c r="D16" s="32">
        <f>Teilnehmer!C4</f>
        <v/>
      </c>
      <c r="E16" s="33" t="n"/>
      <c r="F16" s="33" t="n"/>
      <c r="G16" s="33" t="n"/>
      <c r="H16" s="27" t="inlineStr">
        <is>
          <t>erfolgreich</t>
        </is>
      </c>
      <c r="I16" s="27" t="inlineStr">
        <is>
          <t>teilgen.</t>
        </is>
      </c>
      <c r="J16" s="18" t="n"/>
      <c r="K16" s="25" t="n"/>
      <c r="L16" s="27" t="inlineStr">
        <is>
          <t>unter der Leitung von</t>
        </is>
      </c>
      <c r="M16" s="24" t="n"/>
      <c r="N16" s="32">
        <f>Teilnehmer!C4</f>
        <v/>
      </c>
      <c r="O16" s="33" t="n"/>
      <c r="P16" s="33" t="n"/>
      <c r="Q16" s="33" t="n"/>
      <c r="R16" s="27" t="inlineStr">
        <is>
          <t>erfolgreich</t>
        </is>
      </c>
      <c r="S16" s="27" t="inlineStr">
        <is>
          <t>teilgen.</t>
        </is>
      </c>
    </row>
    <row r="17" ht="9" customHeight="1">
      <c r="A17" s="24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18" t="n"/>
      <c r="K17" s="25" t="n"/>
      <c r="L17" s="24" t="n"/>
      <c r="M17" s="24" t="n"/>
      <c r="N17" s="24" t="n"/>
      <c r="O17" s="24" t="n"/>
      <c r="P17" s="24" t="n"/>
      <c r="Q17" s="24" t="n"/>
      <c r="R17" s="24" t="n"/>
      <c r="S17" s="24" t="n"/>
    </row>
    <row r="18" ht="14" customHeight="1">
      <c r="A18" s="24" t="n"/>
      <c r="B18" s="27" t="inlineStr">
        <is>
          <t>Teilnehmerunterlagen ausgehändigt:    ☐ Ja    ☐ Nein</t>
        </is>
      </c>
      <c r="C18" s="24" t="n"/>
      <c r="D18" s="24" t="n"/>
      <c r="E18" s="24" t="n"/>
      <c r="F18" s="24" t="n"/>
      <c r="G18" s="24" t="n"/>
      <c r="H18" s="24" t="n"/>
      <c r="I18" s="24" t="n"/>
      <c r="J18" s="18" t="n"/>
      <c r="K18" s="25" t="n"/>
      <c r="L18" s="27" t="inlineStr">
        <is>
          <t>Teilnehmerunterlagen ausgehändigt:    ☐ Ja    ☐ Nein</t>
        </is>
      </c>
      <c r="M18" s="24" t="n"/>
      <c r="N18" s="24" t="n"/>
      <c r="O18" s="24" t="n"/>
      <c r="P18" s="24" t="n"/>
      <c r="Q18" s="24" t="n"/>
      <c r="R18" s="24" t="n"/>
      <c r="S18" s="24" t="n"/>
    </row>
    <row r="19" ht="8" customHeight="1">
      <c r="A19" s="24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18" t="n"/>
      <c r="K19" s="25" t="n"/>
      <c r="L19" s="24" t="n"/>
      <c r="M19" s="24" t="n"/>
      <c r="N19" s="24" t="n"/>
      <c r="O19" s="24" t="n"/>
      <c r="P19" s="24" t="n"/>
      <c r="Q19" s="24" t="n"/>
      <c r="R19" s="24" t="n"/>
      <c r="S19" s="24" t="n"/>
    </row>
    <row r="20" ht="16" customHeight="1">
      <c r="A20" s="24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18" t="n"/>
      <c r="K20" s="25" t="n"/>
      <c r="L20" s="24" t="n"/>
      <c r="M20" s="24" t="n"/>
      <c r="N20" s="24" t="n"/>
      <c r="O20" s="24" t="n"/>
      <c r="P20" s="24" t="n"/>
      <c r="Q20" s="24" t="n"/>
      <c r="R20" s="24" t="n"/>
      <c r="S20" s="24" t="n"/>
    </row>
    <row r="21" ht="16" customHeight="1">
      <c r="A21" s="24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18" t="n"/>
      <c r="K21" s="25" t="n"/>
      <c r="L21" s="24" t="n"/>
      <c r="M21" s="24" t="n"/>
      <c r="N21" s="24" t="n"/>
      <c r="O21" s="24" t="n"/>
      <c r="P21" s="24" t="n"/>
      <c r="Q21" s="24" t="n"/>
      <c r="R21" s="24" t="n"/>
      <c r="S21" s="24" t="n"/>
    </row>
    <row r="22" ht="16" customHeight="1">
      <c r="A22" s="24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18" t="n"/>
      <c r="K22" s="25" t="n"/>
      <c r="L22" s="24" t="n"/>
      <c r="M22" s="24" t="n"/>
      <c r="N22" s="24" t="n"/>
      <c r="O22" s="24" t="n"/>
      <c r="P22" s="24" t="n"/>
      <c r="Q22" s="24" t="n"/>
      <c r="R22" s="24" t="n"/>
      <c r="S22" s="24" t="n"/>
    </row>
    <row r="23" ht="16" customHeight="1">
      <c r="A23" s="24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18" t="n"/>
      <c r="K23" s="25" t="n"/>
      <c r="L23" s="24" t="n"/>
      <c r="M23" s="24" t="n"/>
      <c r="N23" s="24" t="n"/>
      <c r="O23" s="24" t="n"/>
      <c r="P23" s="24" t="n"/>
      <c r="Q23" s="24" t="n"/>
      <c r="R23" s="24" t="n"/>
      <c r="S23" s="24" t="n"/>
    </row>
    <row r="24" ht="16" customHeight="1">
      <c r="A24" s="24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18" t="n"/>
      <c r="K24" s="25" t="n"/>
      <c r="L24" s="24" t="n"/>
      <c r="M24" s="24" t="n"/>
      <c r="N24" s="24" t="n"/>
      <c r="O24" s="24" t="n"/>
      <c r="P24" s="24" t="n"/>
      <c r="Q24" s="24" t="n"/>
      <c r="R24" s="24" t="n"/>
      <c r="S24" s="24" t="n"/>
    </row>
    <row r="25" ht="13" customHeight="1">
      <c r="A25" s="24" t="n"/>
      <c r="B25" s="34" t="inlineStr">
        <is>
          <t>Erste Hilfe Handbuch
(DGUV Information 204-007)</t>
        </is>
      </c>
      <c r="C25" s="24" t="n"/>
      <c r="D25" s="24" t="n"/>
      <c r="E25" s="34" t="inlineStr">
        <is>
          <t>Handbuch zur Ersten Hilfe in Bildungs-
und Betreuungseinrichtungen für Kinder
(DGUV Information 204-008)</t>
        </is>
      </c>
      <c r="F25" s="24" t="n"/>
      <c r="G25" s="24" t="n"/>
      <c r="H25" s="24" t="n"/>
      <c r="I25" s="24" t="n"/>
      <c r="J25" s="18" t="n"/>
      <c r="K25" s="25" t="n"/>
      <c r="L25" s="34" t="inlineStr">
        <is>
          <t>Erste Hilfe Handbuch
(DGUV Information 204-007)</t>
        </is>
      </c>
      <c r="M25" s="24" t="n"/>
      <c r="N25" s="24" t="n"/>
      <c r="O25" s="34" t="inlineStr">
        <is>
          <t>Handbuch zur Ersten Hilfe in Bildungs-
und Betreuungseinrichtungen für Kinder
(DGUV Information 204-008)</t>
        </is>
      </c>
      <c r="P25" s="24" t="n"/>
      <c r="Q25" s="24" t="n"/>
      <c r="R25" s="24" t="n"/>
      <c r="S25" s="24" t="n"/>
    </row>
    <row r="26" ht="12" customHeight="1">
      <c r="A26" s="24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18" t="n"/>
      <c r="K26" s="25" t="n"/>
      <c r="L26" s="24" t="n"/>
      <c r="M26" s="24" t="n"/>
      <c r="N26" s="24" t="n"/>
      <c r="O26" s="24" t="n"/>
      <c r="P26" s="24" t="n"/>
      <c r="Q26" s="24" t="n"/>
      <c r="R26" s="24" t="n"/>
      <c r="S26" s="24" t="n"/>
    </row>
    <row r="27" ht="8" customHeight="1">
      <c r="A27" s="24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18" t="n"/>
      <c r="K27" s="25" t="n"/>
      <c r="L27" s="24" t="n"/>
      <c r="M27" s="24" t="n"/>
      <c r="N27" s="24" t="n"/>
      <c r="O27" s="24" t="n"/>
      <c r="P27" s="24" t="n"/>
      <c r="Q27" s="24" t="n"/>
      <c r="R27" s="24" t="n"/>
      <c r="S27" s="24" t="n"/>
    </row>
    <row r="28" ht="20" customHeight="1">
      <c r="A28" s="24" t="n"/>
      <c r="B28" s="26">
        <f>Teilnehmer!C7&amp;", den "&amp;TEXT(Teilnehmer!C3,"DD.MM.YYYY")</f>
        <v/>
      </c>
      <c r="C28" s="24" t="n"/>
      <c r="D28" s="24" t="n"/>
      <c r="E28" s="35" t="n"/>
      <c r="F28" s="24" t="n"/>
      <c r="G28" s="24" t="n"/>
      <c r="H28" s="24" t="n"/>
      <c r="I28" s="24" t="n"/>
      <c r="J28" s="18" t="n"/>
      <c r="K28" s="25" t="n"/>
      <c r="L28" s="26">
        <f>Teilnehmer!C7&amp;", den "&amp;TEXT(Teilnehmer!C3,"DD.MM.YYYY")</f>
        <v/>
      </c>
      <c r="M28" s="24" t="n"/>
      <c r="N28" s="24" t="n"/>
      <c r="O28" s="35" t="n"/>
      <c r="P28" s="24" t="n"/>
      <c r="Q28" s="24" t="n"/>
      <c r="R28" s="24" t="n"/>
      <c r="S28" s="24" t="n"/>
    </row>
    <row r="29" ht="13" customHeight="1">
      <c r="A29" s="24" t="n"/>
      <c r="B29" s="28" t="inlineStr">
        <is>
          <t>Ort</t>
        </is>
      </c>
      <c r="C29" s="24" t="n"/>
      <c r="D29" s="28" t="inlineStr">
        <is>
          <t>Datum</t>
        </is>
      </c>
      <c r="E29" s="28" t="inlineStr">
        <is>
          <t>Unterschrift der Lehrkraft</t>
        </is>
      </c>
      <c r="F29" s="24" t="n"/>
      <c r="G29" s="24" t="n"/>
      <c r="H29" s="24" t="n"/>
      <c r="I29" s="24" t="n"/>
      <c r="J29" s="18" t="n"/>
      <c r="K29" s="25" t="n"/>
      <c r="L29" s="28" t="inlineStr">
        <is>
          <t>Ort</t>
        </is>
      </c>
      <c r="M29" s="24" t="n"/>
      <c r="N29" s="28" t="inlineStr">
        <is>
          <t>Datum</t>
        </is>
      </c>
      <c r="O29" s="28" t="inlineStr">
        <is>
          <t>Unterschrift der Lehrkraft</t>
        </is>
      </c>
      <c r="P29" s="24" t="n"/>
      <c r="Q29" s="24" t="n"/>
      <c r="R29" s="24" t="n"/>
      <c r="S29" s="24" t="n"/>
    </row>
    <row r="30" ht="8" customHeight="1">
      <c r="A30" s="24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18" t="n"/>
      <c r="K30" s="25" t="n"/>
      <c r="L30" s="24" t="n"/>
      <c r="M30" s="24" t="n"/>
      <c r="N30" s="24" t="n"/>
      <c r="O30" s="24" t="n"/>
      <c r="P30" s="24" t="n"/>
      <c r="Q30" s="24" t="n"/>
      <c r="R30" s="24" t="n"/>
      <c r="S30" s="24" t="n"/>
    </row>
    <row r="31" ht="3" customHeight="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8" t="n"/>
      <c r="K31" s="19" t="n"/>
      <c r="L31" s="17" t="n"/>
      <c r="M31" s="17" t="n"/>
      <c r="N31" s="17" t="n"/>
      <c r="O31" s="17" t="n"/>
      <c r="P31" s="17" t="n"/>
      <c r="Q31" s="17" t="n"/>
      <c r="R31" s="17" t="n"/>
      <c r="S31" s="17" t="n"/>
    </row>
    <row r="32" ht="18" customHeight="1">
      <c r="A32" s="17" t="n"/>
      <c r="B32" s="36" t="inlineStr">
        <is>
          <t>Name der ermächtigten Stelle:</t>
        </is>
      </c>
      <c r="C32" s="17" t="n"/>
      <c r="D32" s="37" t="inlineStr">
        <is>
          <t>Mercedes-Benz AG</t>
        </is>
      </c>
      <c r="E32" s="17" t="n"/>
      <c r="F32" s="17" t="n"/>
      <c r="G32" s="17" t="n"/>
      <c r="H32" s="17" t="n"/>
      <c r="I32" s="17" t="n"/>
      <c r="J32" s="18" t="n"/>
      <c r="K32" s="19" t="n"/>
      <c r="L32" s="36" t="inlineStr">
        <is>
          <t>Name der ermächtigten Stelle:</t>
        </is>
      </c>
      <c r="M32" s="17" t="n"/>
      <c r="N32" s="37" t="inlineStr">
        <is>
          <t>Mercedes-Benz AG</t>
        </is>
      </c>
      <c r="O32" s="17" t="n"/>
      <c r="P32" s="17" t="n"/>
      <c r="Q32" s="17" t="n"/>
      <c r="R32" s="17" t="n"/>
      <c r="S32" s="17" t="n"/>
    </row>
    <row r="33" ht="16" customHeight="1">
      <c r="A33" s="17" t="n"/>
      <c r="B33" s="38" t="inlineStr">
        <is>
          <t>Kennnummer gemäß
§ 26 DGUV Vorschrift 1:</t>
        </is>
      </c>
      <c r="C33" s="17" t="n"/>
      <c r="D33" s="37" t="inlineStr">
        <is>
          <t>7.0103</t>
        </is>
      </c>
      <c r="E33" s="17" t="n"/>
      <c r="F33" s="17" t="n"/>
      <c r="G33" s="17" t="n"/>
      <c r="H33" s="17" t="n"/>
      <c r="I33" s="17" t="n"/>
      <c r="J33" s="18" t="n"/>
      <c r="K33" s="19" t="n"/>
      <c r="L33" s="38" t="inlineStr">
        <is>
          <t>Kennnummer gemäß
§ 26 DGUV Vorschrift 1:</t>
        </is>
      </c>
      <c r="M33" s="17" t="n"/>
      <c r="N33" s="37" t="inlineStr">
        <is>
          <t>7.0103</t>
        </is>
      </c>
      <c r="O33" s="17" t="n"/>
      <c r="P33" s="17" t="n"/>
      <c r="Q33" s="17" t="n"/>
      <c r="R33" s="17" t="n"/>
      <c r="S33" s="17" t="n"/>
    </row>
    <row r="34" ht="16" customHeight="1">
      <c r="A34" s="17" t="n"/>
      <c r="B34" s="36" t="inlineStr">
        <is>
          <t>Registriernummer der Schulung:</t>
        </is>
      </c>
      <c r="C34" s="17" t="n"/>
      <c r="D34" s="37">
        <f>Teilnehmer!C5</f>
        <v/>
      </c>
      <c r="E34" s="17" t="n"/>
      <c r="F34" s="17" t="n"/>
      <c r="G34" s="17" t="n"/>
      <c r="H34" s="17" t="n"/>
      <c r="I34" s="17" t="n"/>
      <c r="J34" s="18" t="n"/>
      <c r="K34" s="19" t="n"/>
      <c r="L34" s="36" t="inlineStr">
        <is>
          <t>Registriernummer der Schulung:</t>
        </is>
      </c>
      <c r="M34" s="17" t="n"/>
      <c r="N34" s="37">
        <f>Teilnehmer!C5</f>
        <v/>
      </c>
      <c r="O34" s="17" t="n"/>
      <c r="P34" s="17" t="n"/>
      <c r="Q34" s="17" t="n"/>
      <c r="R34" s="17" t="n"/>
      <c r="S34" s="17" t="n"/>
    </row>
    <row r="35" ht="11" customHeight="1">
      <c r="A35" s="39" t="inlineStr">
        <is>
          <t>¹ Die Teilnahme an der Ausbildung in betrieblicher Erster Hilfe gilt als Schulung in Erster Hilfe gem. § 19 FeV.   |   Stand Oktober 2023</t>
        </is>
      </c>
      <c r="B35" s="17" t="n"/>
      <c r="C35" s="17" t="n"/>
      <c r="D35" s="17" t="n"/>
      <c r="E35" s="17" t="n"/>
      <c r="F35" s="17" t="n"/>
      <c r="G35" s="17" t="n"/>
      <c r="H35" s="17" t="n"/>
      <c r="I35" s="17" t="n"/>
      <c r="J35" s="18" t="n"/>
      <c r="K35" s="40" t="inlineStr">
        <is>
          <t>¹ Die Teilnahme an der Ausbildung in betrieblicher Erster Hilfe gilt als Schulung in Erster Hilfe gem. § 19 FeV.   |   Stand Oktober 2023</t>
        </is>
      </c>
      <c r="L35" s="17" t="n"/>
      <c r="M35" s="17" t="n"/>
      <c r="N35" s="17" t="n"/>
      <c r="O35" s="17" t="n"/>
      <c r="P35" s="17" t="n"/>
      <c r="Q35" s="17" t="n"/>
      <c r="R35" s="17" t="n"/>
      <c r="S35" s="17" t="n"/>
    </row>
    <row r="36" ht="12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8" t="n"/>
      <c r="K36" s="19" t="n"/>
      <c r="L36" s="17" t="n"/>
      <c r="M36" s="17" t="n"/>
      <c r="N36" s="17" t="n"/>
      <c r="O36" s="17" t="n"/>
      <c r="P36" s="17" t="n"/>
      <c r="Q36" s="17" t="n"/>
      <c r="R36" s="17" t="n"/>
      <c r="S36" s="17" t="n"/>
    </row>
    <row r="37" ht="28" customHeight="1">
      <c r="A37" s="17" t="n"/>
      <c r="B37" s="17" t="n"/>
      <c r="C37" s="17" t="n"/>
      <c r="D37" s="20" t="inlineStr">
        <is>
          <t>Bescheinigung</t>
        </is>
      </c>
      <c r="E37" s="17" t="n"/>
      <c r="F37" s="17" t="n"/>
      <c r="G37" s="17" t="n"/>
      <c r="H37" s="17" t="n"/>
      <c r="I37" s="17" t="n"/>
      <c r="J37" s="18" t="n"/>
      <c r="K37" s="19" t="n"/>
      <c r="L37" s="17" t="n"/>
      <c r="M37" s="17" t="n"/>
      <c r="N37" s="20" t="inlineStr">
        <is>
          <t>Bescheinigung</t>
        </is>
      </c>
      <c r="O37" s="17" t="n"/>
      <c r="P37" s="17" t="n"/>
      <c r="Q37" s="17" t="n"/>
      <c r="R37" s="17" t="n"/>
      <c r="S37" s="17" t="n"/>
    </row>
    <row r="38" ht="16" customHeight="1">
      <c r="A38" s="17" t="n"/>
      <c r="B38" s="17" t="n"/>
      <c r="C38" s="17" t="n"/>
      <c r="D38" s="21" t="inlineStr">
        <is>
          <t>über die Teilnahme an einer Erste-Hilfe-</t>
        </is>
      </c>
      <c r="E38" s="17" t="n"/>
      <c r="F38" s="17" t="n"/>
      <c r="G38" s="17" t="n"/>
      <c r="H38" s="17" t="n"/>
      <c r="I38" s="17" t="n"/>
      <c r="J38" s="18" t="n"/>
      <c r="K38" s="19" t="n"/>
      <c r="L38" s="17" t="n"/>
      <c r="M38" s="17" t="n"/>
      <c r="N38" s="21" t="inlineStr">
        <is>
          <t>über die Teilnahme an einer Erste-Hilfe-</t>
        </is>
      </c>
      <c r="O38" s="17" t="n"/>
      <c r="P38" s="17" t="n"/>
      <c r="Q38" s="17" t="n"/>
      <c r="R38" s="17" t="n"/>
      <c r="S38" s="17" t="n"/>
    </row>
    <row r="39" ht="15" customHeight="1">
      <c r="A39" s="17" t="n"/>
      <c r="B39" s="17" t="n"/>
      <c r="C39" s="17" t="n"/>
      <c r="D39" s="22">
        <f>IF(Teilnehmer!F4="EH-Ausbildung","☑","☐")</f>
        <v/>
      </c>
      <c r="E39" s="21" t="inlineStr">
        <is>
          <t>Ausbildung¹ für betriebliche Ersthelfende</t>
        </is>
      </c>
      <c r="F39" s="17" t="n"/>
      <c r="G39" s="17" t="n"/>
      <c r="H39" s="17" t="n"/>
      <c r="I39" s="17" t="n"/>
      <c r="J39" s="18" t="n"/>
      <c r="K39" s="19" t="n"/>
      <c r="L39" s="17" t="n"/>
      <c r="M39" s="17" t="n"/>
      <c r="N39" s="22">
        <f>IF(Teilnehmer!F4="EH-Ausbildung","☑","☐")</f>
        <v/>
      </c>
      <c r="O39" s="21" t="inlineStr">
        <is>
          <t>Ausbildung¹ für betriebliche Ersthelfende</t>
        </is>
      </c>
      <c r="P39" s="17" t="n"/>
      <c r="Q39" s="17" t="n"/>
      <c r="R39" s="17" t="n"/>
      <c r="S39" s="17" t="n"/>
    </row>
    <row r="40" ht="15" customHeight="1">
      <c r="A40" s="17" t="n"/>
      <c r="B40" s="17" t="n"/>
      <c r="C40" s="17" t="n"/>
      <c r="D40" s="22">
        <f>IF(Teilnehmer!F4="EH-Fortbildung","☑","☐")</f>
        <v/>
      </c>
      <c r="E40" s="21" t="inlineStr">
        <is>
          <t>Fortbildung für betriebliche Ersthelfende</t>
        </is>
      </c>
      <c r="F40" s="17" t="n"/>
      <c r="G40" s="17" t="n"/>
      <c r="H40" s="17" t="n"/>
      <c r="I40" s="17" t="n"/>
      <c r="J40" s="18" t="n"/>
      <c r="K40" s="19" t="n"/>
      <c r="L40" s="17" t="n"/>
      <c r="M40" s="17" t="n"/>
      <c r="N40" s="22">
        <f>IF(Teilnehmer!F4="EH-Fortbildung","☑","☐")</f>
        <v/>
      </c>
      <c r="O40" s="21" t="inlineStr">
        <is>
          <t>Fortbildung für betriebliche Ersthelfende</t>
        </is>
      </c>
      <c r="P40" s="17" t="n"/>
      <c r="Q40" s="17" t="n"/>
      <c r="R40" s="17" t="n"/>
      <c r="S40" s="17" t="n"/>
    </row>
    <row r="41" ht="15" customHeight="1">
      <c r="A41" s="17" t="n"/>
      <c r="B41" s="17" t="n"/>
      <c r="C41" s="17" t="n"/>
      <c r="D41" s="22">
        <f>IF(Teilnehmer!F4="EH-Schulung","☑","☐")</f>
        <v/>
      </c>
      <c r="E41" s="21" t="inlineStr">
        <is>
          <t>Schulung in Bildungs- und Betreuungs-</t>
        </is>
      </c>
      <c r="F41" s="17" t="n"/>
      <c r="G41" s="17" t="n"/>
      <c r="H41" s="17" t="n"/>
      <c r="I41" s="17" t="n"/>
      <c r="J41" s="18" t="n"/>
      <c r="K41" s="19" t="n"/>
      <c r="L41" s="17" t="n"/>
      <c r="M41" s="17" t="n"/>
      <c r="N41" s="22">
        <f>IF(Teilnehmer!F4="EH-Schulung","☑","☐")</f>
        <v/>
      </c>
      <c r="O41" s="21" t="inlineStr">
        <is>
          <t>Schulung in Bildungs- und Betreuungs-</t>
        </is>
      </c>
      <c r="P41" s="17" t="n"/>
      <c r="Q41" s="17" t="n"/>
      <c r="R41" s="17" t="n"/>
      <c r="S41" s="17" t="n"/>
    </row>
    <row r="42" ht="13" customHeight="1">
      <c r="A42" s="17" t="n"/>
      <c r="B42" s="17" t="n"/>
      <c r="C42" s="17" t="n"/>
      <c r="D42" s="23" t="inlineStr">
        <is>
          <t>einrichtungen für Kinder</t>
        </is>
      </c>
      <c r="E42" s="17" t="n"/>
      <c r="F42" s="17" t="n"/>
      <c r="G42" s="17" t="n"/>
      <c r="H42" s="17" t="n"/>
      <c r="I42" s="17" t="n"/>
      <c r="J42" s="18" t="n"/>
      <c r="K42" s="19" t="n"/>
      <c r="L42" s="17" t="n"/>
      <c r="M42" s="17" t="n"/>
      <c r="N42" s="23" t="inlineStr">
        <is>
          <t>einrichtungen für Kinder</t>
        </is>
      </c>
      <c r="O42" s="17" t="n"/>
      <c r="P42" s="17" t="n"/>
      <c r="Q42" s="17" t="n"/>
      <c r="R42" s="17" t="n"/>
      <c r="S42" s="17" t="n"/>
    </row>
    <row r="43" ht="10" customHeight="1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8" t="n"/>
      <c r="K43" s="19" t="n"/>
      <c r="L43" s="17" t="n"/>
      <c r="M43" s="17" t="n"/>
      <c r="N43" s="17" t="n"/>
      <c r="O43" s="17" t="n"/>
      <c r="P43" s="17" t="n"/>
      <c r="Q43" s="17" t="n"/>
      <c r="R43" s="17" t="n"/>
      <c r="S43" s="17" t="n"/>
    </row>
    <row r="44" ht="9" customHeight="1">
      <c r="A44" s="24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18" t="n"/>
      <c r="K44" s="25" t="n"/>
      <c r="L44" s="24" t="n"/>
      <c r="M44" s="24" t="n"/>
      <c r="N44" s="24" t="n"/>
      <c r="O44" s="24" t="n"/>
      <c r="P44" s="24" t="n"/>
      <c r="Q44" s="24" t="n"/>
      <c r="R44" s="24" t="n"/>
      <c r="S44" s="24" t="n"/>
    </row>
    <row r="45" ht="18" customHeight="1">
      <c r="A45" s="24" t="n"/>
      <c r="B45" s="26">
        <f>Teilnehmer!B13</f>
        <v/>
      </c>
      <c r="C45" s="24" t="n"/>
      <c r="D45" s="24" t="n"/>
      <c r="E45" s="24" t="n"/>
      <c r="F45" s="26">
        <f>Teilnehmer!C13</f>
        <v/>
      </c>
      <c r="G45" s="24" t="n"/>
      <c r="H45" s="27" t="inlineStr">
        <is>
          <t>geb. am:</t>
        </is>
      </c>
      <c r="I45" s="26">
        <f>TEXT(Teilnehmer!D13,"DD.MM.YYYY")</f>
        <v/>
      </c>
      <c r="J45" s="18" t="n"/>
      <c r="K45" s="25" t="n"/>
      <c r="L45" s="26">
        <f>Teilnehmer!B14</f>
        <v/>
      </c>
      <c r="M45" s="24" t="n"/>
      <c r="N45" s="24" t="n"/>
      <c r="O45" s="24" t="n"/>
      <c r="P45" s="26">
        <f>Teilnehmer!C14</f>
        <v/>
      </c>
      <c r="Q45" s="24" t="n"/>
      <c r="R45" s="27" t="inlineStr">
        <is>
          <t>geb. am:</t>
        </is>
      </c>
      <c r="S45" s="26">
        <f>TEXT(Teilnehmer!D14,"DD.MM.YYYY")</f>
        <v/>
      </c>
    </row>
    <row r="46" ht="9" customHeight="1">
      <c r="A46" s="24" t="n"/>
      <c r="B46" s="28" t="inlineStr">
        <is>
          <t>Name</t>
        </is>
      </c>
      <c r="C46" s="24" t="n"/>
      <c r="D46" s="24" t="n"/>
      <c r="E46" s="24" t="n"/>
      <c r="F46" s="28" t="inlineStr">
        <is>
          <t>Vorname</t>
        </is>
      </c>
      <c r="G46" s="24" t="n"/>
      <c r="H46" s="24" t="n"/>
      <c r="I46" s="24" t="n"/>
      <c r="J46" s="18" t="n"/>
      <c r="K46" s="25" t="n"/>
      <c r="L46" s="28" t="inlineStr">
        <is>
          <t>Name</t>
        </is>
      </c>
      <c r="M46" s="24" t="n"/>
      <c r="N46" s="24" t="n"/>
      <c r="O46" s="24" t="n"/>
      <c r="P46" s="28" t="inlineStr">
        <is>
          <t>Vorname</t>
        </is>
      </c>
      <c r="Q46" s="24" t="n"/>
      <c r="R46" s="24" t="n"/>
      <c r="S46" s="24" t="n"/>
    </row>
    <row r="47" ht="16" customHeight="1">
      <c r="A47" s="24" t="n"/>
      <c r="B47" s="29" t="inlineStr">
        <is>
          <t>hat an dem 9 Unterrichtseinheiten (Nettounterrichtszeit 9 × 45 Minuten) umfassenden Lehrgang</t>
        </is>
      </c>
      <c r="C47" s="24" t="n"/>
      <c r="D47" s="24" t="n"/>
      <c r="E47" s="24" t="n"/>
      <c r="F47" s="24" t="n"/>
      <c r="G47" s="24" t="n"/>
      <c r="H47" s="24" t="n"/>
      <c r="I47" s="24" t="n"/>
      <c r="J47" s="18" t="n"/>
      <c r="K47" s="25" t="n"/>
      <c r="L47" s="29" t="inlineStr">
        <is>
          <t>hat an dem 9 Unterrichtseinheiten (Nettounterrichtszeit 9 × 45 Minuten) umfassenden Lehrgang</t>
        </is>
      </c>
      <c r="M47" s="24" t="n"/>
      <c r="N47" s="24" t="n"/>
      <c r="O47" s="24" t="n"/>
      <c r="P47" s="24" t="n"/>
      <c r="Q47" s="24" t="n"/>
      <c r="R47" s="24" t="n"/>
      <c r="S47" s="24" t="n"/>
    </row>
    <row r="48" ht="9" customHeight="1">
      <c r="A48" s="24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18" t="n"/>
      <c r="K48" s="25" t="n"/>
      <c r="L48" s="24" t="n"/>
      <c r="M48" s="24" t="n"/>
      <c r="N48" s="24" t="n"/>
      <c r="O48" s="24" t="n"/>
      <c r="P48" s="24" t="n"/>
      <c r="Q48" s="24" t="n"/>
      <c r="R48" s="24" t="n"/>
      <c r="S48" s="24" t="n"/>
    </row>
    <row r="49" ht="16" customHeight="1">
      <c r="A49" s="24" t="n"/>
      <c r="B49" s="27" t="inlineStr">
        <is>
          <t>am</t>
        </is>
      </c>
      <c r="C49" s="30">
        <f>TEXT(Teilnehmer!C3,"DD.MM.YYYY")</f>
        <v/>
      </c>
      <c r="D49" s="27" t="inlineStr">
        <is>
          <t>in der Zeit von</t>
        </is>
      </c>
      <c r="E49" s="30">
        <f>TEXT(Teilnehmer!F3,"HH:MM")</f>
        <v/>
      </c>
      <c r="F49" s="31" t="inlineStr">
        <is>
          <t>Uhr bis</t>
        </is>
      </c>
      <c r="G49" s="30">
        <f>TEXT(Teilnehmer!H3,"HH:MM")</f>
        <v/>
      </c>
      <c r="H49" s="27" t="inlineStr">
        <is>
          <t>Uhr</t>
        </is>
      </c>
      <c r="I49" s="24" t="n"/>
      <c r="J49" s="18" t="n"/>
      <c r="K49" s="25" t="n"/>
      <c r="L49" s="27" t="inlineStr">
        <is>
          <t>am</t>
        </is>
      </c>
      <c r="M49" s="30">
        <f>TEXT(Teilnehmer!C3,"DD.MM.YYYY")</f>
        <v/>
      </c>
      <c r="N49" s="27" t="inlineStr">
        <is>
          <t>in der Zeit von</t>
        </is>
      </c>
      <c r="O49" s="30">
        <f>TEXT(Teilnehmer!F3,"HH:MM")</f>
        <v/>
      </c>
      <c r="P49" s="31" t="inlineStr">
        <is>
          <t>Uhr bis</t>
        </is>
      </c>
      <c r="Q49" s="30">
        <f>TEXT(Teilnehmer!H3,"HH:MM")</f>
        <v/>
      </c>
      <c r="R49" s="27" t="inlineStr">
        <is>
          <t>Uhr</t>
        </is>
      </c>
      <c r="S49" s="24" t="n"/>
    </row>
    <row r="50" ht="9" customHeight="1">
      <c r="A50" s="24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18" t="n"/>
      <c r="K50" s="25" t="n"/>
      <c r="L50" s="24" t="n"/>
      <c r="M50" s="24" t="n"/>
      <c r="N50" s="24" t="n"/>
      <c r="O50" s="24" t="n"/>
      <c r="P50" s="24" t="n"/>
      <c r="Q50" s="24" t="n"/>
      <c r="R50" s="24" t="n"/>
      <c r="S50" s="24" t="n"/>
    </row>
    <row r="51" ht="16" customHeight="1">
      <c r="A51" s="24" t="n"/>
      <c r="B51" s="27" t="inlineStr">
        <is>
          <t>unter der Leitung von</t>
        </is>
      </c>
      <c r="C51" s="24" t="n"/>
      <c r="D51" s="32">
        <f>Teilnehmer!C4</f>
        <v/>
      </c>
      <c r="E51" s="33" t="n"/>
      <c r="F51" s="33" t="n"/>
      <c r="G51" s="33" t="n"/>
      <c r="H51" s="27" t="inlineStr">
        <is>
          <t>erfolgreich</t>
        </is>
      </c>
      <c r="I51" s="27" t="inlineStr">
        <is>
          <t>teilgen.</t>
        </is>
      </c>
      <c r="J51" s="18" t="n"/>
      <c r="K51" s="25" t="n"/>
      <c r="L51" s="27" t="inlineStr">
        <is>
          <t>unter der Leitung von</t>
        </is>
      </c>
      <c r="M51" s="24" t="n"/>
      <c r="N51" s="32">
        <f>Teilnehmer!C4</f>
        <v/>
      </c>
      <c r="O51" s="33" t="n"/>
      <c r="P51" s="33" t="n"/>
      <c r="Q51" s="33" t="n"/>
      <c r="R51" s="27" t="inlineStr">
        <is>
          <t>erfolgreich</t>
        </is>
      </c>
      <c r="S51" s="27" t="inlineStr">
        <is>
          <t>teilgen.</t>
        </is>
      </c>
    </row>
    <row r="52" ht="9" customHeight="1">
      <c r="A52" s="24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18" t="n"/>
      <c r="K52" s="25" t="n"/>
      <c r="L52" s="24" t="n"/>
      <c r="M52" s="24" t="n"/>
      <c r="N52" s="24" t="n"/>
      <c r="O52" s="24" t="n"/>
      <c r="P52" s="24" t="n"/>
      <c r="Q52" s="24" t="n"/>
      <c r="R52" s="24" t="n"/>
      <c r="S52" s="24" t="n"/>
    </row>
    <row r="53" ht="14" customHeight="1">
      <c r="A53" s="24" t="n"/>
      <c r="B53" s="27" t="inlineStr">
        <is>
          <t>Teilnehmerunterlagen ausgehändigt:    ☐ Ja    ☐ Nein</t>
        </is>
      </c>
      <c r="C53" s="24" t="n"/>
      <c r="D53" s="24" t="n"/>
      <c r="E53" s="24" t="n"/>
      <c r="F53" s="24" t="n"/>
      <c r="G53" s="24" t="n"/>
      <c r="H53" s="24" t="n"/>
      <c r="I53" s="24" t="n"/>
      <c r="J53" s="18" t="n"/>
      <c r="K53" s="25" t="n"/>
      <c r="L53" s="27" t="inlineStr">
        <is>
          <t>Teilnehmerunterlagen ausgehändigt:    ☐ Ja    ☐ Nein</t>
        </is>
      </c>
      <c r="M53" s="24" t="n"/>
      <c r="N53" s="24" t="n"/>
      <c r="O53" s="24" t="n"/>
      <c r="P53" s="24" t="n"/>
      <c r="Q53" s="24" t="n"/>
      <c r="R53" s="24" t="n"/>
      <c r="S53" s="24" t="n"/>
    </row>
    <row r="54" ht="8" customHeight="1">
      <c r="A54" s="24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18" t="n"/>
      <c r="K54" s="25" t="n"/>
      <c r="L54" s="24" t="n"/>
      <c r="M54" s="24" t="n"/>
      <c r="N54" s="24" t="n"/>
      <c r="O54" s="24" t="n"/>
      <c r="P54" s="24" t="n"/>
      <c r="Q54" s="24" t="n"/>
      <c r="R54" s="24" t="n"/>
      <c r="S54" s="24" t="n"/>
    </row>
    <row r="55" ht="16" customHeight="1">
      <c r="A55" s="24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18" t="n"/>
      <c r="K55" s="25" t="n"/>
      <c r="L55" s="24" t="n"/>
      <c r="M55" s="24" t="n"/>
      <c r="N55" s="24" t="n"/>
      <c r="O55" s="24" t="n"/>
      <c r="P55" s="24" t="n"/>
      <c r="Q55" s="24" t="n"/>
      <c r="R55" s="24" t="n"/>
      <c r="S55" s="24" t="n"/>
    </row>
    <row r="56" ht="16" customHeight="1">
      <c r="A56" s="24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18" t="n"/>
      <c r="K56" s="25" t="n"/>
      <c r="L56" s="24" t="n"/>
      <c r="M56" s="24" t="n"/>
      <c r="N56" s="24" t="n"/>
      <c r="O56" s="24" t="n"/>
      <c r="P56" s="24" t="n"/>
      <c r="Q56" s="24" t="n"/>
      <c r="R56" s="24" t="n"/>
      <c r="S56" s="24" t="n"/>
    </row>
    <row r="57" ht="16" customHeight="1">
      <c r="A57" s="24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18" t="n"/>
      <c r="K57" s="25" t="n"/>
      <c r="L57" s="24" t="n"/>
      <c r="M57" s="24" t="n"/>
      <c r="N57" s="24" t="n"/>
      <c r="O57" s="24" t="n"/>
      <c r="P57" s="24" t="n"/>
      <c r="Q57" s="24" t="n"/>
      <c r="R57" s="24" t="n"/>
      <c r="S57" s="24" t="n"/>
    </row>
    <row r="58" ht="16" customHeight="1">
      <c r="A58" s="24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18" t="n"/>
      <c r="K58" s="25" t="n"/>
      <c r="L58" s="24" t="n"/>
      <c r="M58" s="24" t="n"/>
      <c r="N58" s="24" t="n"/>
      <c r="O58" s="24" t="n"/>
      <c r="P58" s="24" t="n"/>
      <c r="Q58" s="24" t="n"/>
      <c r="R58" s="24" t="n"/>
      <c r="S58" s="24" t="n"/>
    </row>
    <row r="59" ht="16" customHeight="1">
      <c r="A59" s="24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18" t="n"/>
      <c r="K59" s="25" t="n"/>
      <c r="L59" s="24" t="n"/>
      <c r="M59" s="24" t="n"/>
      <c r="N59" s="24" t="n"/>
      <c r="O59" s="24" t="n"/>
      <c r="P59" s="24" t="n"/>
      <c r="Q59" s="24" t="n"/>
      <c r="R59" s="24" t="n"/>
      <c r="S59" s="24" t="n"/>
    </row>
    <row r="60" ht="13" customHeight="1">
      <c r="A60" s="24" t="n"/>
      <c r="B60" s="34" t="inlineStr">
        <is>
          <t>Erste Hilfe Handbuch
(DGUV Information 204-007)</t>
        </is>
      </c>
      <c r="C60" s="24" t="n"/>
      <c r="D60" s="24" t="n"/>
      <c r="E60" s="34" t="inlineStr">
        <is>
          <t>Handbuch zur Ersten Hilfe in Bildungs-
und Betreuungseinrichtungen für Kinder
(DGUV Information 204-008)</t>
        </is>
      </c>
      <c r="F60" s="24" t="n"/>
      <c r="G60" s="24" t="n"/>
      <c r="H60" s="24" t="n"/>
      <c r="I60" s="24" t="n"/>
      <c r="J60" s="18" t="n"/>
      <c r="K60" s="25" t="n"/>
      <c r="L60" s="34" t="inlineStr">
        <is>
          <t>Erste Hilfe Handbuch
(DGUV Information 204-007)</t>
        </is>
      </c>
      <c r="M60" s="24" t="n"/>
      <c r="N60" s="24" t="n"/>
      <c r="O60" s="34" t="inlineStr">
        <is>
          <t>Handbuch zur Ersten Hilfe in Bildungs-
und Betreuungseinrichtungen für Kinder
(DGUV Information 204-008)</t>
        </is>
      </c>
      <c r="P60" s="24" t="n"/>
      <c r="Q60" s="24" t="n"/>
      <c r="R60" s="24" t="n"/>
      <c r="S60" s="24" t="n"/>
    </row>
    <row r="61" ht="12" customHeight="1">
      <c r="A61" s="24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18" t="n"/>
      <c r="K61" s="25" t="n"/>
      <c r="L61" s="24" t="n"/>
      <c r="M61" s="24" t="n"/>
      <c r="N61" s="24" t="n"/>
      <c r="O61" s="24" t="n"/>
      <c r="P61" s="24" t="n"/>
      <c r="Q61" s="24" t="n"/>
      <c r="R61" s="24" t="n"/>
      <c r="S61" s="24" t="n"/>
    </row>
    <row r="62" ht="8" customHeight="1">
      <c r="A62" s="24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18" t="n"/>
      <c r="K62" s="25" t="n"/>
      <c r="L62" s="24" t="n"/>
      <c r="M62" s="24" t="n"/>
      <c r="N62" s="24" t="n"/>
      <c r="O62" s="24" t="n"/>
      <c r="P62" s="24" t="n"/>
      <c r="Q62" s="24" t="n"/>
      <c r="R62" s="24" t="n"/>
      <c r="S62" s="24" t="n"/>
    </row>
    <row r="63" ht="20" customHeight="1">
      <c r="A63" s="24" t="n"/>
      <c r="B63" s="26">
        <f>Teilnehmer!C7&amp;", den "&amp;TEXT(Teilnehmer!C3,"DD.MM.YYYY")</f>
        <v/>
      </c>
      <c r="C63" s="24" t="n"/>
      <c r="D63" s="24" t="n"/>
      <c r="E63" s="35" t="n"/>
      <c r="F63" s="24" t="n"/>
      <c r="G63" s="24" t="n"/>
      <c r="H63" s="24" t="n"/>
      <c r="I63" s="24" t="n"/>
      <c r="J63" s="18" t="n"/>
      <c r="K63" s="25" t="n"/>
      <c r="L63" s="26">
        <f>Teilnehmer!C7&amp;", den "&amp;TEXT(Teilnehmer!C3,"DD.MM.YYYY")</f>
        <v/>
      </c>
      <c r="M63" s="24" t="n"/>
      <c r="N63" s="24" t="n"/>
      <c r="O63" s="35" t="n"/>
      <c r="P63" s="24" t="n"/>
      <c r="Q63" s="24" t="n"/>
      <c r="R63" s="24" t="n"/>
      <c r="S63" s="24" t="n"/>
    </row>
    <row r="64" ht="13" customHeight="1">
      <c r="A64" s="24" t="n"/>
      <c r="B64" s="28" t="inlineStr">
        <is>
          <t>Ort</t>
        </is>
      </c>
      <c r="C64" s="24" t="n"/>
      <c r="D64" s="28" t="inlineStr">
        <is>
          <t>Datum</t>
        </is>
      </c>
      <c r="E64" s="28" t="inlineStr">
        <is>
          <t>Unterschrift der Lehrkraft</t>
        </is>
      </c>
      <c r="F64" s="24" t="n"/>
      <c r="G64" s="24" t="n"/>
      <c r="H64" s="24" t="n"/>
      <c r="I64" s="24" t="n"/>
      <c r="J64" s="18" t="n"/>
      <c r="K64" s="25" t="n"/>
      <c r="L64" s="28" t="inlineStr">
        <is>
          <t>Ort</t>
        </is>
      </c>
      <c r="M64" s="24" t="n"/>
      <c r="N64" s="28" t="inlineStr">
        <is>
          <t>Datum</t>
        </is>
      </c>
      <c r="O64" s="28" t="inlineStr">
        <is>
          <t>Unterschrift der Lehrkraft</t>
        </is>
      </c>
      <c r="P64" s="24" t="n"/>
      <c r="Q64" s="24" t="n"/>
      <c r="R64" s="24" t="n"/>
      <c r="S64" s="24" t="n"/>
    </row>
    <row r="65" ht="8" customHeight="1">
      <c r="A65" s="24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18" t="n"/>
      <c r="K65" s="25" t="n"/>
      <c r="L65" s="24" t="n"/>
      <c r="M65" s="24" t="n"/>
      <c r="N65" s="24" t="n"/>
      <c r="O65" s="24" t="n"/>
      <c r="P65" s="24" t="n"/>
      <c r="Q65" s="24" t="n"/>
      <c r="R65" s="24" t="n"/>
      <c r="S65" s="24" t="n"/>
    </row>
    <row r="66" ht="3" customHeight="1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8" t="n"/>
      <c r="K66" s="19" t="n"/>
      <c r="L66" s="17" t="n"/>
      <c r="M66" s="17" t="n"/>
      <c r="N66" s="17" t="n"/>
      <c r="O66" s="17" t="n"/>
      <c r="P66" s="17" t="n"/>
      <c r="Q66" s="17" t="n"/>
      <c r="R66" s="17" t="n"/>
      <c r="S66" s="17" t="n"/>
    </row>
    <row r="67" ht="18" customHeight="1">
      <c r="A67" s="17" t="n"/>
      <c r="B67" s="36" t="inlineStr">
        <is>
          <t>Name der ermächtigten Stelle:</t>
        </is>
      </c>
      <c r="C67" s="17" t="n"/>
      <c r="D67" s="37" t="inlineStr">
        <is>
          <t>Mercedes-Benz AG</t>
        </is>
      </c>
      <c r="E67" s="17" t="n"/>
      <c r="F67" s="17" t="n"/>
      <c r="G67" s="17" t="n"/>
      <c r="H67" s="17" t="n"/>
      <c r="I67" s="17" t="n"/>
      <c r="J67" s="18" t="n"/>
      <c r="K67" s="19" t="n"/>
      <c r="L67" s="36" t="inlineStr">
        <is>
          <t>Name der ermächtigten Stelle:</t>
        </is>
      </c>
      <c r="M67" s="17" t="n"/>
      <c r="N67" s="37" t="inlineStr">
        <is>
          <t>Mercedes-Benz AG</t>
        </is>
      </c>
      <c r="O67" s="17" t="n"/>
      <c r="P67" s="17" t="n"/>
      <c r="Q67" s="17" t="n"/>
      <c r="R67" s="17" t="n"/>
      <c r="S67" s="17" t="n"/>
    </row>
    <row r="68" ht="16" customHeight="1">
      <c r="A68" s="17" t="n"/>
      <c r="B68" s="38" t="inlineStr">
        <is>
          <t>Kennnummer gemäß
§ 26 DGUV Vorschrift 1:</t>
        </is>
      </c>
      <c r="C68" s="17" t="n"/>
      <c r="D68" s="37" t="inlineStr">
        <is>
          <t>7.0103</t>
        </is>
      </c>
      <c r="E68" s="17" t="n"/>
      <c r="F68" s="17" t="n"/>
      <c r="G68" s="17" t="n"/>
      <c r="H68" s="17" t="n"/>
      <c r="I68" s="17" t="n"/>
      <c r="J68" s="18" t="n"/>
      <c r="K68" s="19" t="n"/>
      <c r="L68" s="38" t="inlineStr">
        <is>
          <t>Kennnummer gemäß
§ 26 DGUV Vorschrift 1:</t>
        </is>
      </c>
      <c r="M68" s="17" t="n"/>
      <c r="N68" s="37" t="inlineStr">
        <is>
          <t>7.0103</t>
        </is>
      </c>
      <c r="O68" s="17" t="n"/>
      <c r="P68" s="17" t="n"/>
      <c r="Q68" s="17" t="n"/>
      <c r="R68" s="17" t="n"/>
      <c r="S68" s="17" t="n"/>
    </row>
    <row r="69" ht="16" customHeight="1">
      <c r="A69" s="17" t="n"/>
      <c r="B69" s="36" t="inlineStr">
        <is>
          <t>Registriernummer der Schulung:</t>
        </is>
      </c>
      <c r="C69" s="17" t="n"/>
      <c r="D69" s="37">
        <f>Teilnehmer!C5</f>
        <v/>
      </c>
      <c r="E69" s="17" t="n"/>
      <c r="F69" s="17" t="n"/>
      <c r="G69" s="17" t="n"/>
      <c r="H69" s="17" t="n"/>
      <c r="I69" s="17" t="n"/>
      <c r="J69" s="18" t="n"/>
      <c r="K69" s="19" t="n"/>
      <c r="L69" s="36" t="inlineStr">
        <is>
          <t>Registriernummer der Schulung:</t>
        </is>
      </c>
      <c r="M69" s="17" t="n"/>
      <c r="N69" s="37">
        <f>Teilnehmer!C5</f>
        <v/>
      </c>
      <c r="O69" s="17" t="n"/>
      <c r="P69" s="17" t="n"/>
      <c r="Q69" s="17" t="n"/>
      <c r="R69" s="17" t="n"/>
      <c r="S69" s="17" t="n"/>
    </row>
    <row r="70" ht="11" customHeight="1">
      <c r="A70" s="39" t="inlineStr">
        <is>
          <t>¹ Die Teilnahme an der Ausbildung in betrieblicher Erster Hilfe gilt als Schulung in Erster Hilfe gem. § 19 FeV.   |   Stand Oktober 2023</t>
        </is>
      </c>
      <c r="B70" s="17" t="n"/>
      <c r="C70" s="17" t="n"/>
      <c r="D70" s="17" t="n"/>
      <c r="E70" s="17" t="n"/>
      <c r="F70" s="17" t="n"/>
      <c r="G70" s="17" t="n"/>
      <c r="H70" s="17" t="n"/>
      <c r="I70" s="17" t="n"/>
      <c r="J70" s="18" t="n"/>
      <c r="K70" s="40" t="inlineStr">
        <is>
          <t>¹ Die Teilnahme an der Ausbildung in betrieblicher Erster Hilfe gilt als Schulung in Erster Hilfe gem. § 19 FeV.   |   Stand Oktober 2023</t>
        </is>
      </c>
      <c r="L70" s="17" t="n"/>
      <c r="M70" s="17" t="n"/>
      <c r="N70" s="17" t="n"/>
      <c r="O70" s="17" t="n"/>
      <c r="P70" s="17" t="n"/>
      <c r="Q70" s="17" t="n"/>
      <c r="R70" s="17" t="n"/>
      <c r="S70" s="17" t="n"/>
    </row>
    <row r="71" ht="12" customHeight="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8" t="n"/>
      <c r="K71" s="19" t="n"/>
      <c r="L71" s="17" t="n"/>
      <c r="M71" s="17" t="n"/>
      <c r="N71" s="17" t="n"/>
      <c r="O71" s="17" t="n"/>
      <c r="P71" s="17" t="n"/>
      <c r="Q71" s="17" t="n"/>
      <c r="R71" s="17" t="n"/>
      <c r="S71" s="17" t="n"/>
    </row>
    <row r="72" ht="28" customHeight="1">
      <c r="A72" s="17" t="n"/>
      <c r="B72" s="17" t="n"/>
      <c r="C72" s="17" t="n"/>
      <c r="D72" s="20" t="inlineStr">
        <is>
          <t>Bescheinigung</t>
        </is>
      </c>
      <c r="E72" s="17" t="n"/>
      <c r="F72" s="17" t="n"/>
      <c r="G72" s="17" t="n"/>
      <c r="H72" s="17" t="n"/>
      <c r="I72" s="17" t="n"/>
      <c r="J72" s="18" t="n"/>
      <c r="K72" s="19" t="n"/>
      <c r="L72" s="17" t="n"/>
      <c r="M72" s="17" t="n"/>
      <c r="N72" s="20" t="inlineStr">
        <is>
          <t>Bescheinigung</t>
        </is>
      </c>
      <c r="O72" s="17" t="n"/>
      <c r="P72" s="17" t="n"/>
      <c r="Q72" s="17" t="n"/>
      <c r="R72" s="17" t="n"/>
      <c r="S72" s="17" t="n"/>
    </row>
    <row r="73" ht="16" customHeight="1">
      <c r="A73" s="17" t="n"/>
      <c r="B73" s="17" t="n"/>
      <c r="C73" s="17" t="n"/>
      <c r="D73" s="21" t="inlineStr">
        <is>
          <t>über die Teilnahme an einer Erste-Hilfe-</t>
        </is>
      </c>
      <c r="E73" s="17" t="n"/>
      <c r="F73" s="17" t="n"/>
      <c r="G73" s="17" t="n"/>
      <c r="H73" s="17" t="n"/>
      <c r="I73" s="17" t="n"/>
      <c r="J73" s="18" t="n"/>
      <c r="K73" s="19" t="n"/>
      <c r="L73" s="17" t="n"/>
      <c r="M73" s="17" t="n"/>
      <c r="N73" s="21" t="inlineStr">
        <is>
          <t>über die Teilnahme an einer Erste-Hilfe-</t>
        </is>
      </c>
      <c r="O73" s="17" t="n"/>
      <c r="P73" s="17" t="n"/>
      <c r="Q73" s="17" t="n"/>
      <c r="R73" s="17" t="n"/>
      <c r="S73" s="17" t="n"/>
    </row>
    <row r="74" ht="15" customHeight="1">
      <c r="A74" s="17" t="n"/>
      <c r="B74" s="17" t="n"/>
      <c r="C74" s="17" t="n"/>
      <c r="D74" s="22">
        <f>IF(Teilnehmer!F4="EH-Ausbildung","☑","☐")</f>
        <v/>
      </c>
      <c r="E74" s="21" t="inlineStr">
        <is>
          <t>Ausbildung¹ für betriebliche Ersthelfende</t>
        </is>
      </c>
      <c r="F74" s="17" t="n"/>
      <c r="G74" s="17" t="n"/>
      <c r="H74" s="17" t="n"/>
      <c r="I74" s="17" t="n"/>
      <c r="J74" s="18" t="n"/>
      <c r="K74" s="19" t="n"/>
      <c r="L74" s="17" t="n"/>
      <c r="M74" s="17" t="n"/>
      <c r="N74" s="22">
        <f>IF(Teilnehmer!F4="EH-Ausbildung","☑","☐")</f>
        <v/>
      </c>
      <c r="O74" s="21" t="inlineStr">
        <is>
          <t>Ausbildung¹ für betriebliche Ersthelfende</t>
        </is>
      </c>
      <c r="P74" s="17" t="n"/>
      <c r="Q74" s="17" t="n"/>
      <c r="R74" s="17" t="n"/>
      <c r="S74" s="17" t="n"/>
    </row>
    <row r="75" ht="15" customHeight="1">
      <c r="A75" s="17" t="n"/>
      <c r="B75" s="17" t="n"/>
      <c r="C75" s="17" t="n"/>
      <c r="D75" s="22">
        <f>IF(Teilnehmer!F4="EH-Fortbildung","☑","☐")</f>
        <v/>
      </c>
      <c r="E75" s="21" t="inlineStr">
        <is>
          <t>Fortbildung für betriebliche Ersthelfende</t>
        </is>
      </c>
      <c r="F75" s="17" t="n"/>
      <c r="G75" s="17" t="n"/>
      <c r="H75" s="17" t="n"/>
      <c r="I75" s="17" t="n"/>
      <c r="J75" s="18" t="n"/>
      <c r="K75" s="19" t="n"/>
      <c r="L75" s="17" t="n"/>
      <c r="M75" s="17" t="n"/>
      <c r="N75" s="22">
        <f>IF(Teilnehmer!F4="EH-Fortbildung","☑","☐")</f>
        <v/>
      </c>
      <c r="O75" s="21" t="inlineStr">
        <is>
          <t>Fortbildung für betriebliche Ersthelfende</t>
        </is>
      </c>
      <c r="P75" s="17" t="n"/>
      <c r="Q75" s="17" t="n"/>
      <c r="R75" s="17" t="n"/>
      <c r="S75" s="17" t="n"/>
    </row>
    <row r="76" ht="15" customHeight="1">
      <c r="A76" s="17" t="n"/>
      <c r="B76" s="17" t="n"/>
      <c r="C76" s="17" t="n"/>
      <c r="D76" s="22">
        <f>IF(Teilnehmer!F4="EH-Schulung","☑","☐")</f>
        <v/>
      </c>
      <c r="E76" s="21" t="inlineStr">
        <is>
          <t>Schulung in Bildungs- und Betreuungs-</t>
        </is>
      </c>
      <c r="F76" s="17" t="n"/>
      <c r="G76" s="17" t="n"/>
      <c r="H76" s="17" t="n"/>
      <c r="I76" s="17" t="n"/>
      <c r="J76" s="18" t="n"/>
      <c r="K76" s="19" t="n"/>
      <c r="L76" s="17" t="n"/>
      <c r="M76" s="17" t="n"/>
      <c r="N76" s="22">
        <f>IF(Teilnehmer!F4="EH-Schulung","☑","☐")</f>
        <v/>
      </c>
      <c r="O76" s="21" t="inlineStr">
        <is>
          <t>Schulung in Bildungs- und Betreuungs-</t>
        </is>
      </c>
      <c r="P76" s="17" t="n"/>
      <c r="Q76" s="17" t="n"/>
      <c r="R76" s="17" t="n"/>
      <c r="S76" s="17" t="n"/>
    </row>
    <row r="77" ht="13" customHeight="1">
      <c r="A77" s="17" t="n"/>
      <c r="B77" s="17" t="n"/>
      <c r="C77" s="17" t="n"/>
      <c r="D77" s="23" t="inlineStr">
        <is>
          <t>einrichtungen für Kinder</t>
        </is>
      </c>
      <c r="E77" s="17" t="n"/>
      <c r="F77" s="17" t="n"/>
      <c r="G77" s="17" t="n"/>
      <c r="H77" s="17" t="n"/>
      <c r="I77" s="17" t="n"/>
      <c r="J77" s="18" t="n"/>
      <c r="K77" s="19" t="n"/>
      <c r="L77" s="17" t="n"/>
      <c r="M77" s="17" t="n"/>
      <c r="N77" s="23" t="inlineStr">
        <is>
          <t>einrichtungen für Kinder</t>
        </is>
      </c>
      <c r="O77" s="17" t="n"/>
      <c r="P77" s="17" t="n"/>
      <c r="Q77" s="17" t="n"/>
      <c r="R77" s="17" t="n"/>
      <c r="S77" s="17" t="n"/>
    </row>
    <row r="78" ht="10" customHeight="1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8" t="n"/>
      <c r="K78" s="19" t="n"/>
      <c r="L78" s="17" t="n"/>
      <c r="M78" s="17" t="n"/>
      <c r="N78" s="17" t="n"/>
      <c r="O78" s="17" t="n"/>
      <c r="P78" s="17" t="n"/>
      <c r="Q78" s="17" t="n"/>
      <c r="R78" s="17" t="n"/>
      <c r="S78" s="17" t="n"/>
    </row>
    <row r="79" ht="9" customHeight="1">
      <c r="A79" s="24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18" t="n"/>
      <c r="K79" s="25" t="n"/>
      <c r="L79" s="24" t="n"/>
      <c r="M79" s="24" t="n"/>
      <c r="N79" s="24" t="n"/>
      <c r="O79" s="24" t="n"/>
      <c r="P79" s="24" t="n"/>
      <c r="Q79" s="24" t="n"/>
      <c r="R79" s="24" t="n"/>
      <c r="S79" s="24" t="n"/>
    </row>
    <row r="80" ht="18" customHeight="1">
      <c r="A80" s="24" t="n"/>
      <c r="B80" s="26">
        <f>Teilnehmer!B15</f>
        <v/>
      </c>
      <c r="C80" s="24" t="n"/>
      <c r="D80" s="24" t="n"/>
      <c r="E80" s="24" t="n"/>
      <c r="F80" s="26">
        <f>Teilnehmer!C15</f>
        <v/>
      </c>
      <c r="G80" s="24" t="n"/>
      <c r="H80" s="27" t="inlineStr">
        <is>
          <t>geb. am:</t>
        </is>
      </c>
      <c r="I80" s="26">
        <f>TEXT(Teilnehmer!D15,"DD.MM.YYYY")</f>
        <v/>
      </c>
      <c r="J80" s="18" t="n"/>
      <c r="K80" s="25" t="n"/>
      <c r="L80" s="26">
        <f>Teilnehmer!B16</f>
        <v/>
      </c>
      <c r="M80" s="24" t="n"/>
      <c r="N80" s="24" t="n"/>
      <c r="O80" s="24" t="n"/>
      <c r="P80" s="26">
        <f>Teilnehmer!C16</f>
        <v/>
      </c>
      <c r="Q80" s="24" t="n"/>
      <c r="R80" s="27" t="inlineStr">
        <is>
          <t>geb. am:</t>
        </is>
      </c>
      <c r="S80" s="26">
        <f>TEXT(Teilnehmer!D16,"DD.MM.YYYY")</f>
        <v/>
      </c>
    </row>
    <row r="81" ht="9" customHeight="1">
      <c r="A81" s="24" t="n"/>
      <c r="B81" s="28" t="inlineStr">
        <is>
          <t>Name</t>
        </is>
      </c>
      <c r="C81" s="24" t="n"/>
      <c r="D81" s="24" t="n"/>
      <c r="E81" s="24" t="n"/>
      <c r="F81" s="28" t="inlineStr">
        <is>
          <t>Vorname</t>
        </is>
      </c>
      <c r="G81" s="24" t="n"/>
      <c r="H81" s="24" t="n"/>
      <c r="I81" s="24" t="n"/>
      <c r="J81" s="18" t="n"/>
      <c r="K81" s="25" t="n"/>
      <c r="L81" s="28" t="inlineStr">
        <is>
          <t>Name</t>
        </is>
      </c>
      <c r="M81" s="24" t="n"/>
      <c r="N81" s="24" t="n"/>
      <c r="O81" s="24" t="n"/>
      <c r="P81" s="28" t="inlineStr">
        <is>
          <t>Vorname</t>
        </is>
      </c>
      <c r="Q81" s="24" t="n"/>
      <c r="R81" s="24" t="n"/>
      <c r="S81" s="24" t="n"/>
    </row>
    <row r="82" ht="16" customHeight="1">
      <c r="A82" s="24" t="n"/>
      <c r="B82" s="29" t="inlineStr">
        <is>
          <t>hat an dem 9 Unterrichtseinheiten (Nettounterrichtszeit 9 × 45 Minuten) umfassenden Lehrgang</t>
        </is>
      </c>
      <c r="C82" s="24" t="n"/>
      <c r="D82" s="24" t="n"/>
      <c r="E82" s="24" t="n"/>
      <c r="F82" s="24" t="n"/>
      <c r="G82" s="24" t="n"/>
      <c r="H82" s="24" t="n"/>
      <c r="I82" s="24" t="n"/>
      <c r="J82" s="18" t="n"/>
      <c r="K82" s="25" t="n"/>
      <c r="L82" s="29" t="inlineStr">
        <is>
          <t>hat an dem 9 Unterrichtseinheiten (Nettounterrichtszeit 9 × 45 Minuten) umfassenden Lehrgang</t>
        </is>
      </c>
      <c r="M82" s="24" t="n"/>
      <c r="N82" s="24" t="n"/>
      <c r="O82" s="24" t="n"/>
      <c r="P82" s="24" t="n"/>
      <c r="Q82" s="24" t="n"/>
      <c r="R82" s="24" t="n"/>
      <c r="S82" s="24" t="n"/>
    </row>
    <row r="83" ht="9" customHeight="1">
      <c r="A83" s="24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18" t="n"/>
      <c r="K83" s="25" t="n"/>
      <c r="L83" s="24" t="n"/>
      <c r="M83" s="24" t="n"/>
      <c r="N83" s="24" t="n"/>
      <c r="O83" s="24" t="n"/>
      <c r="P83" s="24" t="n"/>
      <c r="Q83" s="24" t="n"/>
      <c r="R83" s="24" t="n"/>
      <c r="S83" s="24" t="n"/>
    </row>
    <row r="84" ht="16" customHeight="1">
      <c r="A84" s="24" t="n"/>
      <c r="B84" s="27" t="inlineStr">
        <is>
          <t>am</t>
        </is>
      </c>
      <c r="C84" s="30">
        <f>TEXT(Teilnehmer!C3,"DD.MM.YYYY")</f>
        <v/>
      </c>
      <c r="D84" s="27" t="inlineStr">
        <is>
          <t>in der Zeit von</t>
        </is>
      </c>
      <c r="E84" s="30">
        <f>TEXT(Teilnehmer!F3,"HH:MM")</f>
        <v/>
      </c>
      <c r="F84" s="31" t="inlineStr">
        <is>
          <t>Uhr bis</t>
        </is>
      </c>
      <c r="G84" s="30">
        <f>TEXT(Teilnehmer!H3,"HH:MM")</f>
        <v/>
      </c>
      <c r="H84" s="27" t="inlineStr">
        <is>
          <t>Uhr</t>
        </is>
      </c>
      <c r="I84" s="24" t="n"/>
      <c r="J84" s="18" t="n"/>
      <c r="K84" s="25" t="n"/>
      <c r="L84" s="27" t="inlineStr">
        <is>
          <t>am</t>
        </is>
      </c>
      <c r="M84" s="30">
        <f>TEXT(Teilnehmer!C3,"DD.MM.YYYY")</f>
        <v/>
      </c>
      <c r="N84" s="27" t="inlineStr">
        <is>
          <t>in der Zeit von</t>
        </is>
      </c>
      <c r="O84" s="30">
        <f>TEXT(Teilnehmer!F3,"HH:MM")</f>
        <v/>
      </c>
      <c r="P84" s="31" t="inlineStr">
        <is>
          <t>Uhr bis</t>
        </is>
      </c>
      <c r="Q84" s="30">
        <f>TEXT(Teilnehmer!H3,"HH:MM")</f>
        <v/>
      </c>
      <c r="R84" s="27" t="inlineStr">
        <is>
          <t>Uhr</t>
        </is>
      </c>
      <c r="S84" s="24" t="n"/>
    </row>
    <row r="85" ht="9" customHeight="1">
      <c r="A85" s="24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18" t="n"/>
      <c r="K85" s="25" t="n"/>
      <c r="L85" s="24" t="n"/>
      <c r="M85" s="24" t="n"/>
      <c r="N85" s="24" t="n"/>
      <c r="O85" s="24" t="n"/>
      <c r="P85" s="24" t="n"/>
      <c r="Q85" s="24" t="n"/>
      <c r="R85" s="24" t="n"/>
      <c r="S85" s="24" t="n"/>
    </row>
    <row r="86" ht="16" customHeight="1">
      <c r="A86" s="24" t="n"/>
      <c r="B86" s="27" t="inlineStr">
        <is>
          <t>unter der Leitung von</t>
        </is>
      </c>
      <c r="C86" s="24" t="n"/>
      <c r="D86" s="32">
        <f>Teilnehmer!C4</f>
        <v/>
      </c>
      <c r="E86" s="33" t="n"/>
      <c r="F86" s="33" t="n"/>
      <c r="G86" s="33" t="n"/>
      <c r="H86" s="27" t="inlineStr">
        <is>
          <t>erfolgreich</t>
        </is>
      </c>
      <c r="I86" s="27" t="inlineStr">
        <is>
          <t>teilgen.</t>
        </is>
      </c>
      <c r="J86" s="18" t="n"/>
      <c r="K86" s="25" t="n"/>
      <c r="L86" s="27" t="inlineStr">
        <is>
          <t>unter der Leitung von</t>
        </is>
      </c>
      <c r="M86" s="24" t="n"/>
      <c r="N86" s="32">
        <f>Teilnehmer!C4</f>
        <v/>
      </c>
      <c r="O86" s="33" t="n"/>
      <c r="P86" s="33" t="n"/>
      <c r="Q86" s="33" t="n"/>
      <c r="R86" s="27" t="inlineStr">
        <is>
          <t>erfolgreich</t>
        </is>
      </c>
      <c r="S86" s="27" t="inlineStr">
        <is>
          <t>teilgen.</t>
        </is>
      </c>
    </row>
    <row r="87" ht="9" customHeight="1">
      <c r="A87" s="24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18" t="n"/>
      <c r="K87" s="25" t="n"/>
      <c r="L87" s="24" t="n"/>
      <c r="M87" s="24" t="n"/>
      <c r="N87" s="24" t="n"/>
      <c r="O87" s="24" t="n"/>
      <c r="P87" s="24" t="n"/>
      <c r="Q87" s="24" t="n"/>
      <c r="R87" s="24" t="n"/>
      <c r="S87" s="24" t="n"/>
    </row>
    <row r="88" ht="14" customHeight="1">
      <c r="A88" s="24" t="n"/>
      <c r="B88" s="27" t="inlineStr">
        <is>
          <t>Teilnehmerunterlagen ausgehändigt:    ☐ Ja    ☐ Nein</t>
        </is>
      </c>
      <c r="C88" s="24" t="n"/>
      <c r="D88" s="24" t="n"/>
      <c r="E88" s="24" t="n"/>
      <c r="F88" s="24" t="n"/>
      <c r="G88" s="24" t="n"/>
      <c r="H88" s="24" t="n"/>
      <c r="I88" s="24" t="n"/>
      <c r="J88" s="18" t="n"/>
      <c r="K88" s="25" t="n"/>
      <c r="L88" s="27" t="inlineStr">
        <is>
          <t>Teilnehmerunterlagen ausgehändigt:    ☐ Ja    ☐ Nein</t>
        </is>
      </c>
      <c r="M88" s="24" t="n"/>
      <c r="N88" s="24" t="n"/>
      <c r="O88" s="24" t="n"/>
      <c r="P88" s="24" t="n"/>
      <c r="Q88" s="24" t="n"/>
      <c r="R88" s="24" t="n"/>
      <c r="S88" s="24" t="n"/>
    </row>
    <row r="89" ht="8" customHeight="1">
      <c r="A89" s="24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18" t="n"/>
      <c r="K89" s="25" t="n"/>
      <c r="L89" s="24" t="n"/>
      <c r="M89" s="24" t="n"/>
      <c r="N89" s="24" t="n"/>
      <c r="O89" s="24" t="n"/>
      <c r="P89" s="24" t="n"/>
      <c r="Q89" s="24" t="n"/>
      <c r="R89" s="24" t="n"/>
      <c r="S89" s="24" t="n"/>
    </row>
    <row r="90" ht="16" customHeight="1">
      <c r="A90" s="24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18" t="n"/>
      <c r="K90" s="25" t="n"/>
      <c r="L90" s="24" t="n"/>
      <c r="M90" s="24" t="n"/>
      <c r="N90" s="24" t="n"/>
      <c r="O90" s="24" t="n"/>
      <c r="P90" s="24" t="n"/>
      <c r="Q90" s="24" t="n"/>
      <c r="R90" s="24" t="n"/>
      <c r="S90" s="24" t="n"/>
    </row>
    <row r="91" ht="16" customHeight="1">
      <c r="A91" s="24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18" t="n"/>
      <c r="K91" s="25" t="n"/>
      <c r="L91" s="24" t="n"/>
      <c r="M91" s="24" t="n"/>
      <c r="N91" s="24" t="n"/>
      <c r="O91" s="24" t="n"/>
      <c r="P91" s="24" t="n"/>
      <c r="Q91" s="24" t="n"/>
      <c r="R91" s="24" t="n"/>
      <c r="S91" s="24" t="n"/>
    </row>
    <row r="92" ht="16" customHeight="1">
      <c r="A92" s="24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18" t="n"/>
      <c r="K92" s="25" t="n"/>
      <c r="L92" s="24" t="n"/>
      <c r="M92" s="24" t="n"/>
      <c r="N92" s="24" t="n"/>
      <c r="O92" s="24" t="n"/>
      <c r="P92" s="24" t="n"/>
      <c r="Q92" s="24" t="n"/>
      <c r="R92" s="24" t="n"/>
      <c r="S92" s="24" t="n"/>
    </row>
    <row r="93" ht="16" customHeight="1">
      <c r="A93" s="24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18" t="n"/>
      <c r="K93" s="25" t="n"/>
      <c r="L93" s="24" t="n"/>
      <c r="M93" s="24" t="n"/>
      <c r="N93" s="24" t="n"/>
      <c r="O93" s="24" t="n"/>
      <c r="P93" s="24" t="n"/>
      <c r="Q93" s="24" t="n"/>
      <c r="R93" s="24" t="n"/>
      <c r="S93" s="24" t="n"/>
    </row>
    <row r="94" ht="16" customHeight="1">
      <c r="A94" s="24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18" t="n"/>
      <c r="K94" s="25" t="n"/>
      <c r="L94" s="24" t="n"/>
      <c r="M94" s="24" t="n"/>
      <c r="N94" s="24" t="n"/>
      <c r="O94" s="24" t="n"/>
      <c r="P94" s="24" t="n"/>
      <c r="Q94" s="24" t="n"/>
      <c r="R94" s="24" t="n"/>
      <c r="S94" s="24" t="n"/>
    </row>
    <row r="95" ht="13" customHeight="1">
      <c r="A95" s="24" t="n"/>
      <c r="B95" s="34" t="inlineStr">
        <is>
          <t>Erste Hilfe Handbuch
(DGUV Information 204-007)</t>
        </is>
      </c>
      <c r="C95" s="24" t="n"/>
      <c r="D95" s="24" t="n"/>
      <c r="E95" s="34" t="inlineStr">
        <is>
          <t>Handbuch zur Ersten Hilfe in Bildungs-
und Betreuungseinrichtungen für Kinder
(DGUV Information 204-008)</t>
        </is>
      </c>
      <c r="F95" s="24" t="n"/>
      <c r="G95" s="24" t="n"/>
      <c r="H95" s="24" t="n"/>
      <c r="I95" s="24" t="n"/>
      <c r="J95" s="18" t="n"/>
      <c r="K95" s="25" t="n"/>
      <c r="L95" s="34" t="inlineStr">
        <is>
          <t>Erste Hilfe Handbuch
(DGUV Information 204-007)</t>
        </is>
      </c>
      <c r="M95" s="24" t="n"/>
      <c r="N95" s="24" t="n"/>
      <c r="O95" s="34" t="inlineStr">
        <is>
          <t>Handbuch zur Ersten Hilfe in Bildungs-
und Betreuungseinrichtungen für Kinder
(DGUV Information 204-008)</t>
        </is>
      </c>
      <c r="P95" s="24" t="n"/>
      <c r="Q95" s="24" t="n"/>
      <c r="R95" s="24" t="n"/>
      <c r="S95" s="24" t="n"/>
    </row>
    <row r="96" ht="12" customHeight="1">
      <c r="A96" s="24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18" t="n"/>
      <c r="K96" s="25" t="n"/>
      <c r="L96" s="24" t="n"/>
      <c r="M96" s="24" t="n"/>
      <c r="N96" s="24" t="n"/>
      <c r="O96" s="24" t="n"/>
      <c r="P96" s="24" t="n"/>
      <c r="Q96" s="24" t="n"/>
      <c r="R96" s="24" t="n"/>
      <c r="S96" s="24" t="n"/>
    </row>
    <row r="97" ht="8" customHeight="1">
      <c r="A97" s="24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18" t="n"/>
      <c r="K97" s="25" t="n"/>
      <c r="L97" s="24" t="n"/>
      <c r="M97" s="24" t="n"/>
      <c r="N97" s="24" t="n"/>
      <c r="O97" s="24" t="n"/>
      <c r="P97" s="24" t="n"/>
      <c r="Q97" s="24" t="n"/>
      <c r="R97" s="24" t="n"/>
      <c r="S97" s="24" t="n"/>
    </row>
    <row r="98" ht="20" customHeight="1">
      <c r="A98" s="24" t="n"/>
      <c r="B98" s="26">
        <f>Teilnehmer!C7&amp;", den "&amp;TEXT(Teilnehmer!C3,"DD.MM.YYYY")</f>
        <v/>
      </c>
      <c r="C98" s="24" t="n"/>
      <c r="D98" s="24" t="n"/>
      <c r="E98" s="35" t="n"/>
      <c r="F98" s="24" t="n"/>
      <c r="G98" s="24" t="n"/>
      <c r="H98" s="24" t="n"/>
      <c r="I98" s="24" t="n"/>
      <c r="J98" s="18" t="n"/>
      <c r="K98" s="25" t="n"/>
      <c r="L98" s="26">
        <f>Teilnehmer!C7&amp;", den "&amp;TEXT(Teilnehmer!C3,"DD.MM.YYYY")</f>
        <v/>
      </c>
      <c r="M98" s="24" t="n"/>
      <c r="N98" s="24" t="n"/>
      <c r="O98" s="35" t="n"/>
      <c r="P98" s="24" t="n"/>
      <c r="Q98" s="24" t="n"/>
      <c r="R98" s="24" t="n"/>
      <c r="S98" s="24" t="n"/>
    </row>
    <row r="99" ht="13" customHeight="1">
      <c r="A99" s="24" t="n"/>
      <c r="B99" s="28" t="inlineStr">
        <is>
          <t>Ort</t>
        </is>
      </c>
      <c r="C99" s="24" t="n"/>
      <c r="D99" s="28" t="inlineStr">
        <is>
          <t>Datum</t>
        </is>
      </c>
      <c r="E99" s="28" t="inlineStr">
        <is>
          <t>Unterschrift der Lehrkraft</t>
        </is>
      </c>
      <c r="F99" s="24" t="n"/>
      <c r="G99" s="24" t="n"/>
      <c r="H99" s="24" t="n"/>
      <c r="I99" s="24" t="n"/>
      <c r="J99" s="18" t="n"/>
      <c r="K99" s="25" t="n"/>
      <c r="L99" s="28" t="inlineStr">
        <is>
          <t>Ort</t>
        </is>
      </c>
      <c r="M99" s="24" t="n"/>
      <c r="N99" s="28" t="inlineStr">
        <is>
          <t>Datum</t>
        </is>
      </c>
      <c r="O99" s="28" t="inlineStr">
        <is>
          <t>Unterschrift der Lehrkraft</t>
        </is>
      </c>
      <c r="P99" s="24" t="n"/>
      <c r="Q99" s="24" t="n"/>
      <c r="R99" s="24" t="n"/>
      <c r="S99" s="24" t="n"/>
    </row>
    <row r="100" ht="8" customHeight="1">
      <c r="A100" s="24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18" t="n"/>
      <c r="K100" s="25" t="n"/>
      <c r="L100" s="24" t="n"/>
      <c r="M100" s="24" t="n"/>
      <c r="N100" s="24" t="n"/>
      <c r="O100" s="24" t="n"/>
      <c r="P100" s="24" t="n"/>
      <c r="Q100" s="24" t="n"/>
      <c r="R100" s="24" t="n"/>
      <c r="S100" s="24" t="n"/>
    </row>
    <row r="101" ht="3" customHeight="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8" t="n"/>
      <c r="K101" s="19" t="n"/>
      <c r="L101" s="17" t="n"/>
      <c r="M101" s="17" t="n"/>
      <c r="N101" s="17" t="n"/>
      <c r="O101" s="17" t="n"/>
      <c r="P101" s="17" t="n"/>
      <c r="Q101" s="17" t="n"/>
      <c r="R101" s="17" t="n"/>
      <c r="S101" s="17" t="n"/>
    </row>
    <row r="102" ht="18" customHeight="1">
      <c r="A102" s="17" t="n"/>
      <c r="B102" s="36" t="inlineStr">
        <is>
          <t>Name der ermächtigten Stelle:</t>
        </is>
      </c>
      <c r="C102" s="17" t="n"/>
      <c r="D102" s="37" t="inlineStr">
        <is>
          <t>Mercedes-Benz AG</t>
        </is>
      </c>
      <c r="E102" s="17" t="n"/>
      <c r="F102" s="17" t="n"/>
      <c r="G102" s="17" t="n"/>
      <c r="H102" s="17" t="n"/>
      <c r="I102" s="17" t="n"/>
      <c r="J102" s="18" t="n"/>
      <c r="K102" s="19" t="n"/>
      <c r="L102" s="36" t="inlineStr">
        <is>
          <t>Name der ermächtigten Stelle:</t>
        </is>
      </c>
      <c r="M102" s="17" t="n"/>
      <c r="N102" s="37" t="inlineStr">
        <is>
          <t>Mercedes-Benz AG</t>
        </is>
      </c>
      <c r="O102" s="17" t="n"/>
      <c r="P102" s="17" t="n"/>
      <c r="Q102" s="17" t="n"/>
      <c r="R102" s="17" t="n"/>
      <c r="S102" s="17" t="n"/>
    </row>
    <row r="103" ht="16" customHeight="1">
      <c r="A103" s="17" t="n"/>
      <c r="B103" s="38" t="inlineStr">
        <is>
          <t>Kennnummer gemäß
§ 26 DGUV Vorschrift 1:</t>
        </is>
      </c>
      <c r="C103" s="17" t="n"/>
      <c r="D103" s="37" t="inlineStr">
        <is>
          <t>7.0103</t>
        </is>
      </c>
      <c r="E103" s="17" t="n"/>
      <c r="F103" s="17" t="n"/>
      <c r="G103" s="17" t="n"/>
      <c r="H103" s="17" t="n"/>
      <c r="I103" s="17" t="n"/>
      <c r="J103" s="18" t="n"/>
      <c r="K103" s="19" t="n"/>
      <c r="L103" s="38" t="inlineStr">
        <is>
          <t>Kennnummer gemäß
§ 26 DGUV Vorschrift 1:</t>
        </is>
      </c>
      <c r="M103" s="17" t="n"/>
      <c r="N103" s="37" t="inlineStr">
        <is>
          <t>7.0103</t>
        </is>
      </c>
      <c r="O103" s="17" t="n"/>
      <c r="P103" s="17" t="n"/>
      <c r="Q103" s="17" t="n"/>
      <c r="R103" s="17" t="n"/>
      <c r="S103" s="17" t="n"/>
    </row>
    <row r="104" ht="16" customHeight="1">
      <c r="A104" s="17" t="n"/>
      <c r="B104" s="36" t="inlineStr">
        <is>
          <t>Registriernummer der Schulung:</t>
        </is>
      </c>
      <c r="C104" s="17" t="n"/>
      <c r="D104" s="37">
        <f>Teilnehmer!C5</f>
        <v/>
      </c>
      <c r="E104" s="17" t="n"/>
      <c r="F104" s="17" t="n"/>
      <c r="G104" s="17" t="n"/>
      <c r="H104" s="17" t="n"/>
      <c r="I104" s="17" t="n"/>
      <c r="J104" s="18" t="n"/>
      <c r="K104" s="19" t="n"/>
      <c r="L104" s="36" t="inlineStr">
        <is>
          <t>Registriernummer der Schulung:</t>
        </is>
      </c>
      <c r="M104" s="17" t="n"/>
      <c r="N104" s="37">
        <f>Teilnehmer!C5</f>
        <v/>
      </c>
      <c r="O104" s="17" t="n"/>
      <c r="P104" s="17" t="n"/>
      <c r="Q104" s="17" t="n"/>
      <c r="R104" s="17" t="n"/>
      <c r="S104" s="17" t="n"/>
    </row>
    <row r="105" ht="11" customHeight="1">
      <c r="A105" s="39" t="inlineStr">
        <is>
          <t>¹ Die Teilnahme an der Ausbildung in betrieblicher Erster Hilfe gilt als Schulung in Erster Hilfe gem. § 19 FeV.   |   Stand Oktober 2023</t>
        </is>
      </c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8" t="n"/>
      <c r="K105" s="40" t="inlineStr">
        <is>
          <t>¹ Die Teilnahme an der Ausbildung in betrieblicher Erster Hilfe gilt als Schulung in Erster Hilfe gem. § 19 FeV.   |   Stand Oktober 2023</t>
        </is>
      </c>
      <c r="L105" s="17" t="n"/>
      <c r="M105" s="17" t="n"/>
      <c r="N105" s="17" t="n"/>
      <c r="O105" s="17" t="n"/>
      <c r="P105" s="17" t="n"/>
      <c r="Q105" s="17" t="n"/>
      <c r="R105" s="17" t="n"/>
      <c r="S105" s="17" t="n"/>
    </row>
    <row r="106" ht="12" customHeight="1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8" t="n"/>
      <c r="K106" s="19" t="n"/>
      <c r="L106" s="17" t="n"/>
      <c r="M106" s="17" t="n"/>
      <c r="N106" s="17" t="n"/>
      <c r="O106" s="17" t="n"/>
      <c r="P106" s="17" t="n"/>
      <c r="Q106" s="17" t="n"/>
      <c r="R106" s="17" t="n"/>
      <c r="S106" s="17" t="n"/>
    </row>
    <row r="107" ht="28" customHeight="1">
      <c r="A107" s="17" t="n"/>
      <c r="B107" s="17" t="n"/>
      <c r="C107" s="17" t="n"/>
      <c r="D107" s="20" t="inlineStr">
        <is>
          <t>Bescheinigung</t>
        </is>
      </c>
      <c r="E107" s="17" t="n"/>
      <c r="F107" s="17" t="n"/>
      <c r="G107" s="17" t="n"/>
      <c r="H107" s="17" t="n"/>
      <c r="I107" s="17" t="n"/>
      <c r="J107" s="18" t="n"/>
      <c r="K107" s="19" t="n"/>
      <c r="L107" s="17" t="n"/>
      <c r="M107" s="17" t="n"/>
      <c r="N107" s="20" t="inlineStr">
        <is>
          <t>Bescheinigung</t>
        </is>
      </c>
      <c r="O107" s="17" t="n"/>
      <c r="P107" s="17" t="n"/>
      <c r="Q107" s="17" t="n"/>
      <c r="R107" s="17" t="n"/>
      <c r="S107" s="17" t="n"/>
    </row>
    <row r="108" ht="16" customHeight="1">
      <c r="A108" s="17" t="n"/>
      <c r="B108" s="17" t="n"/>
      <c r="C108" s="17" t="n"/>
      <c r="D108" s="21" t="inlineStr">
        <is>
          <t>über die Teilnahme an einer Erste-Hilfe-</t>
        </is>
      </c>
      <c r="E108" s="17" t="n"/>
      <c r="F108" s="17" t="n"/>
      <c r="G108" s="17" t="n"/>
      <c r="H108" s="17" t="n"/>
      <c r="I108" s="17" t="n"/>
      <c r="J108" s="18" t="n"/>
      <c r="K108" s="19" t="n"/>
      <c r="L108" s="17" t="n"/>
      <c r="M108" s="17" t="n"/>
      <c r="N108" s="21" t="inlineStr">
        <is>
          <t>über die Teilnahme an einer Erste-Hilfe-</t>
        </is>
      </c>
      <c r="O108" s="17" t="n"/>
      <c r="P108" s="17" t="n"/>
      <c r="Q108" s="17" t="n"/>
      <c r="R108" s="17" t="n"/>
      <c r="S108" s="17" t="n"/>
    </row>
    <row r="109" ht="15" customHeight="1">
      <c r="A109" s="17" t="n"/>
      <c r="B109" s="17" t="n"/>
      <c r="C109" s="17" t="n"/>
      <c r="D109" s="22">
        <f>IF(Teilnehmer!F4="EH-Ausbildung","☑","☐")</f>
        <v/>
      </c>
      <c r="E109" s="21" t="inlineStr">
        <is>
          <t>Ausbildung¹ für betriebliche Ersthelfende</t>
        </is>
      </c>
      <c r="F109" s="17" t="n"/>
      <c r="G109" s="17" t="n"/>
      <c r="H109" s="17" t="n"/>
      <c r="I109" s="17" t="n"/>
      <c r="J109" s="18" t="n"/>
      <c r="K109" s="19" t="n"/>
      <c r="L109" s="17" t="n"/>
      <c r="M109" s="17" t="n"/>
      <c r="N109" s="22">
        <f>IF(Teilnehmer!F4="EH-Ausbildung","☑","☐")</f>
        <v/>
      </c>
      <c r="O109" s="21" t="inlineStr">
        <is>
          <t>Ausbildung¹ für betriebliche Ersthelfende</t>
        </is>
      </c>
      <c r="P109" s="17" t="n"/>
      <c r="Q109" s="17" t="n"/>
      <c r="R109" s="17" t="n"/>
      <c r="S109" s="17" t="n"/>
    </row>
    <row r="110" ht="15" customHeight="1">
      <c r="A110" s="17" t="n"/>
      <c r="B110" s="17" t="n"/>
      <c r="C110" s="17" t="n"/>
      <c r="D110" s="22">
        <f>IF(Teilnehmer!F4="EH-Fortbildung","☑","☐")</f>
        <v/>
      </c>
      <c r="E110" s="21" t="inlineStr">
        <is>
          <t>Fortbildung für betriebliche Ersthelfende</t>
        </is>
      </c>
      <c r="F110" s="17" t="n"/>
      <c r="G110" s="17" t="n"/>
      <c r="H110" s="17" t="n"/>
      <c r="I110" s="17" t="n"/>
      <c r="J110" s="18" t="n"/>
      <c r="K110" s="19" t="n"/>
      <c r="L110" s="17" t="n"/>
      <c r="M110" s="17" t="n"/>
      <c r="N110" s="22">
        <f>IF(Teilnehmer!F4="EH-Fortbildung","☑","☐")</f>
        <v/>
      </c>
      <c r="O110" s="21" t="inlineStr">
        <is>
          <t>Fortbildung für betriebliche Ersthelfende</t>
        </is>
      </c>
      <c r="P110" s="17" t="n"/>
      <c r="Q110" s="17" t="n"/>
      <c r="R110" s="17" t="n"/>
      <c r="S110" s="17" t="n"/>
    </row>
    <row r="111" ht="15" customHeight="1">
      <c r="A111" s="17" t="n"/>
      <c r="B111" s="17" t="n"/>
      <c r="C111" s="17" t="n"/>
      <c r="D111" s="22">
        <f>IF(Teilnehmer!F4="EH-Schulung","☑","☐")</f>
        <v/>
      </c>
      <c r="E111" s="21" t="inlineStr">
        <is>
          <t>Schulung in Bildungs- und Betreuungs-</t>
        </is>
      </c>
      <c r="F111" s="17" t="n"/>
      <c r="G111" s="17" t="n"/>
      <c r="H111" s="17" t="n"/>
      <c r="I111" s="17" t="n"/>
      <c r="J111" s="18" t="n"/>
      <c r="K111" s="19" t="n"/>
      <c r="L111" s="17" t="n"/>
      <c r="M111" s="17" t="n"/>
      <c r="N111" s="22">
        <f>IF(Teilnehmer!F4="EH-Schulung","☑","☐")</f>
        <v/>
      </c>
      <c r="O111" s="21" t="inlineStr">
        <is>
          <t>Schulung in Bildungs- und Betreuungs-</t>
        </is>
      </c>
      <c r="P111" s="17" t="n"/>
      <c r="Q111" s="17" t="n"/>
      <c r="R111" s="17" t="n"/>
      <c r="S111" s="17" t="n"/>
    </row>
    <row r="112" ht="13" customHeight="1">
      <c r="A112" s="17" t="n"/>
      <c r="B112" s="17" t="n"/>
      <c r="C112" s="17" t="n"/>
      <c r="D112" s="23" t="inlineStr">
        <is>
          <t>einrichtungen für Kinder</t>
        </is>
      </c>
      <c r="E112" s="17" t="n"/>
      <c r="F112" s="17" t="n"/>
      <c r="G112" s="17" t="n"/>
      <c r="H112" s="17" t="n"/>
      <c r="I112" s="17" t="n"/>
      <c r="J112" s="18" t="n"/>
      <c r="K112" s="19" t="n"/>
      <c r="L112" s="17" t="n"/>
      <c r="M112" s="17" t="n"/>
      <c r="N112" s="23" t="inlineStr">
        <is>
          <t>einrichtungen für Kinder</t>
        </is>
      </c>
      <c r="O112" s="17" t="n"/>
      <c r="P112" s="17" t="n"/>
      <c r="Q112" s="17" t="n"/>
      <c r="R112" s="17" t="n"/>
      <c r="S112" s="17" t="n"/>
    </row>
    <row r="113" ht="10" customHeight="1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8" t="n"/>
      <c r="K113" s="19" t="n"/>
      <c r="L113" s="17" t="n"/>
      <c r="M113" s="17" t="n"/>
      <c r="N113" s="17" t="n"/>
      <c r="O113" s="17" t="n"/>
      <c r="P113" s="17" t="n"/>
      <c r="Q113" s="17" t="n"/>
      <c r="R113" s="17" t="n"/>
      <c r="S113" s="17" t="n"/>
    </row>
    <row r="114" ht="9" customHeight="1">
      <c r="A114" s="24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18" t="n"/>
      <c r="K114" s="25" t="n"/>
      <c r="L114" s="24" t="n"/>
      <c r="M114" s="24" t="n"/>
      <c r="N114" s="24" t="n"/>
      <c r="O114" s="24" t="n"/>
      <c r="P114" s="24" t="n"/>
      <c r="Q114" s="24" t="n"/>
      <c r="R114" s="24" t="n"/>
      <c r="S114" s="24" t="n"/>
    </row>
    <row r="115" ht="18" customHeight="1">
      <c r="A115" s="24" t="n"/>
      <c r="B115" s="26">
        <f>Teilnehmer!B17</f>
        <v/>
      </c>
      <c r="C115" s="24" t="n"/>
      <c r="D115" s="24" t="n"/>
      <c r="E115" s="24" t="n"/>
      <c r="F115" s="26">
        <f>Teilnehmer!C17</f>
        <v/>
      </c>
      <c r="G115" s="24" t="n"/>
      <c r="H115" s="27" t="inlineStr">
        <is>
          <t>geb. am:</t>
        </is>
      </c>
      <c r="I115" s="26">
        <f>TEXT(Teilnehmer!D17,"DD.MM.YYYY")</f>
        <v/>
      </c>
      <c r="J115" s="18" t="n"/>
      <c r="K115" s="25" t="n"/>
      <c r="L115" s="26">
        <f>Teilnehmer!B18</f>
        <v/>
      </c>
      <c r="M115" s="24" t="n"/>
      <c r="N115" s="24" t="n"/>
      <c r="O115" s="24" t="n"/>
      <c r="P115" s="26">
        <f>Teilnehmer!C18</f>
        <v/>
      </c>
      <c r="Q115" s="24" t="n"/>
      <c r="R115" s="27" t="inlineStr">
        <is>
          <t>geb. am:</t>
        </is>
      </c>
      <c r="S115" s="26">
        <f>TEXT(Teilnehmer!D18,"DD.MM.YYYY")</f>
        <v/>
      </c>
    </row>
    <row r="116" ht="9" customHeight="1">
      <c r="A116" s="24" t="n"/>
      <c r="B116" s="28" t="inlineStr">
        <is>
          <t>Name</t>
        </is>
      </c>
      <c r="C116" s="24" t="n"/>
      <c r="D116" s="24" t="n"/>
      <c r="E116" s="24" t="n"/>
      <c r="F116" s="28" t="inlineStr">
        <is>
          <t>Vorname</t>
        </is>
      </c>
      <c r="G116" s="24" t="n"/>
      <c r="H116" s="24" t="n"/>
      <c r="I116" s="24" t="n"/>
      <c r="J116" s="18" t="n"/>
      <c r="K116" s="25" t="n"/>
      <c r="L116" s="28" t="inlineStr">
        <is>
          <t>Name</t>
        </is>
      </c>
      <c r="M116" s="24" t="n"/>
      <c r="N116" s="24" t="n"/>
      <c r="O116" s="24" t="n"/>
      <c r="P116" s="28" t="inlineStr">
        <is>
          <t>Vorname</t>
        </is>
      </c>
      <c r="Q116" s="24" t="n"/>
      <c r="R116" s="24" t="n"/>
      <c r="S116" s="24" t="n"/>
    </row>
    <row r="117" ht="16" customHeight="1">
      <c r="A117" s="24" t="n"/>
      <c r="B117" s="29" t="inlineStr">
        <is>
          <t>hat an dem 9 Unterrichtseinheiten (Nettounterrichtszeit 9 × 45 Minuten) umfassenden Lehrgang</t>
        </is>
      </c>
      <c r="C117" s="24" t="n"/>
      <c r="D117" s="24" t="n"/>
      <c r="E117" s="24" t="n"/>
      <c r="F117" s="24" t="n"/>
      <c r="G117" s="24" t="n"/>
      <c r="H117" s="24" t="n"/>
      <c r="I117" s="24" t="n"/>
      <c r="J117" s="18" t="n"/>
      <c r="K117" s="25" t="n"/>
      <c r="L117" s="29" t="inlineStr">
        <is>
          <t>hat an dem 9 Unterrichtseinheiten (Nettounterrichtszeit 9 × 45 Minuten) umfassenden Lehrgang</t>
        </is>
      </c>
      <c r="M117" s="24" t="n"/>
      <c r="N117" s="24" t="n"/>
      <c r="O117" s="24" t="n"/>
      <c r="P117" s="24" t="n"/>
      <c r="Q117" s="24" t="n"/>
      <c r="R117" s="24" t="n"/>
      <c r="S117" s="24" t="n"/>
    </row>
    <row r="118" ht="9" customHeight="1">
      <c r="A118" s="24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18" t="n"/>
      <c r="K118" s="25" t="n"/>
      <c r="L118" s="24" t="n"/>
      <c r="M118" s="24" t="n"/>
      <c r="N118" s="24" t="n"/>
      <c r="O118" s="24" t="n"/>
      <c r="P118" s="24" t="n"/>
      <c r="Q118" s="24" t="n"/>
      <c r="R118" s="24" t="n"/>
      <c r="S118" s="24" t="n"/>
    </row>
    <row r="119" ht="16" customHeight="1">
      <c r="A119" s="24" t="n"/>
      <c r="B119" s="27" t="inlineStr">
        <is>
          <t>am</t>
        </is>
      </c>
      <c r="C119" s="30">
        <f>TEXT(Teilnehmer!C3,"DD.MM.YYYY")</f>
        <v/>
      </c>
      <c r="D119" s="27" t="inlineStr">
        <is>
          <t>in der Zeit von</t>
        </is>
      </c>
      <c r="E119" s="30">
        <f>TEXT(Teilnehmer!F3,"HH:MM")</f>
        <v/>
      </c>
      <c r="F119" s="31" t="inlineStr">
        <is>
          <t>Uhr bis</t>
        </is>
      </c>
      <c r="G119" s="30">
        <f>TEXT(Teilnehmer!H3,"HH:MM")</f>
        <v/>
      </c>
      <c r="H119" s="27" t="inlineStr">
        <is>
          <t>Uhr</t>
        </is>
      </c>
      <c r="I119" s="24" t="n"/>
      <c r="J119" s="18" t="n"/>
      <c r="K119" s="25" t="n"/>
      <c r="L119" s="27" t="inlineStr">
        <is>
          <t>am</t>
        </is>
      </c>
      <c r="M119" s="30">
        <f>TEXT(Teilnehmer!C3,"DD.MM.YYYY")</f>
        <v/>
      </c>
      <c r="N119" s="27" t="inlineStr">
        <is>
          <t>in der Zeit von</t>
        </is>
      </c>
      <c r="O119" s="30">
        <f>TEXT(Teilnehmer!F3,"HH:MM")</f>
        <v/>
      </c>
      <c r="P119" s="31" t="inlineStr">
        <is>
          <t>Uhr bis</t>
        </is>
      </c>
      <c r="Q119" s="30">
        <f>TEXT(Teilnehmer!H3,"HH:MM")</f>
        <v/>
      </c>
      <c r="R119" s="27" t="inlineStr">
        <is>
          <t>Uhr</t>
        </is>
      </c>
      <c r="S119" s="24" t="n"/>
    </row>
    <row r="120" ht="9" customHeight="1">
      <c r="A120" s="24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18" t="n"/>
      <c r="K120" s="25" t="n"/>
      <c r="L120" s="24" t="n"/>
      <c r="M120" s="24" t="n"/>
      <c r="N120" s="24" t="n"/>
      <c r="O120" s="24" t="n"/>
      <c r="P120" s="24" t="n"/>
      <c r="Q120" s="24" t="n"/>
      <c r="R120" s="24" t="n"/>
      <c r="S120" s="24" t="n"/>
    </row>
    <row r="121" ht="16" customHeight="1">
      <c r="A121" s="24" t="n"/>
      <c r="B121" s="27" t="inlineStr">
        <is>
          <t>unter der Leitung von</t>
        </is>
      </c>
      <c r="C121" s="24" t="n"/>
      <c r="D121" s="32">
        <f>Teilnehmer!C4</f>
        <v/>
      </c>
      <c r="E121" s="33" t="n"/>
      <c r="F121" s="33" t="n"/>
      <c r="G121" s="33" t="n"/>
      <c r="H121" s="27" t="inlineStr">
        <is>
          <t>erfolgreich</t>
        </is>
      </c>
      <c r="I121" s="27" t="inlineStr">
        <is>
          <t>teilgen.</t>
        </is>
      </c>
      <c r="J121" s="18" t="n"/>
      <c r="K121" s="25" t="n"/>
      <c r="L121" s="27" t="inlineStr">
        <is>
          <t>unter der Leitung von</t>
        </is>
      </c>
      <c r="M121" s="24" t="n"/>
      <c r="N121" s="32">
        <f>Teilnehmer!C4</f>
        <v/>
      </c>
      <c r="O121" s="33" t="n"/>
      <c r="P121" s="33" t="n"/>
      <c r="Q121" s="33" t="n"/>
      <c r="R121" s="27" t="inlineStr">
        <is>
          <t>erfolgreich</t>
        </is>
      </c>
      <c r="S121" s="27" t="inlineStr">
        <is>
          <t>teilgen.</t>
        </is>
      </c>
    </row>
    <row r="122" ht="9" customHeight="1">
      <c r="A122" s="24" t="n"/>
      <c r="B122" s="24" t="n"/>
      <c r="C122" s="24" t="n"/>
      <c r="D122" s="24" t="n"/>
      <c r="E122" s="24" t="n"/>
      <c r="F122" s="24" t="n"/>
      <c r="G122" s="24" t="n"/>
      <c r="H122" s="24" t="n"/>
      <c r="I122" s="24" t="n"/>
      <c r="J122" s="18" t="n"/>
      <c r="K122" s="25" t="n"/>
      <c r="L122" s="24" t="n"/>
      <c r="M122" s="24" t="n"/>
      <c r="N122" s="24" t="n"/>
      <c r="O122" s="24" t="n"/>
      <c r="P122" s="24" t="n"/>
      <c r="Q122" s="24" t="n"/>
      <c r="R122" s="24" t="n"/>
      <c r="S122" s="24" t="n"/>
    </row>
    <row r="123" ht="14" customHeight="1">
      <c r="A123" s="24" t="n"/>
      <c r="B123" s="27" t="inlineStr">
        <is>
          <t>Teilnehmerunterlagen ausgehändigt:    ☐ Ja    ☐ Nein</t>
        </is>
      </c>
      <c r="C123" s="24" t="n"/>
      <c r="D123" s="24" t="n"/>
      <c r="E123" s="24" t="n"/>
      <c r="F123" s="24" t="n"/>
      <c r="G123" s="24" t="n"/>
      <c r="H123" s="24" t="n"/>
      <c r="I123" s="24" t="n"/>
      <c r="J123" s="18" t="n"/>
      <c r="K123" s="25" t="n"/>
      <c r="L123" s="27" t="inlineStr">
        <is>
          <t>Teilnehmerunterlagen ausgehändigt:    ☐ Ja    ☐ Nein</t>
        </is>
      </c>
      <c r="M123" s="24" t="n"/>
      <c r="N123" s="24" t="n"/>
      <c r="O123" s="24" t="n"/>
      <c r="P123" s="24" t="n"/>
      <c r="Q123" s="24" t="n"/>
      <c r="R123" s="24" t="n"/>
      <c r="S123" s="24" t="n"/>
    </row>
    <row r="124" ht="8" customHeight="1">
      <c r="A124" s="24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18" t="n"/>
      <c r="K124" s="25" t="n"/>
      <c r="L124" s="24" t="n"/>
      <c r="M124" s="24" t="n"/>
      <c r="N124" s="24" t="n"/>
      <c r="O124" s="24" t="n"/>
      <c r="P124" s="24" t="n"/>
      <c r="Q124" s="24" t="n"/>
      <c r="R124" s="24" t="n"/>
      <c r="S124" s="24" t="n"/>
    </row>
    <row r="125" ht="16" customHeight="1">
      <c r="A125" s="24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18" t="n"/>
      <c r="K125" s="25" t="n"/>
      <c r="L125" s="24" t="n"/>
      <c r="M125" s="24" t="n"/>
      <c r="N125" s="24" t="n"/>
      <c r="O125" s="24" t="n"/>
      <c r="P125" s="24" t="n"/>
      <c r="Q125" s="24" t="n"/>
      <c r="R125" s="24" t="n"/>
      <c r="S125" s="24" t="n"/>
    </row>
    <row r="126" ht="16" customHeight="1">
      <c r="A126" s="24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18" t="n"/>
      <c r="K126" s="25" t="n"/>
      <c r="L126" s="24" t="n"/>
      <c r="M126" s="24" t="n"/>
      <c r="N126" s="24" t="n"/>
      <c r="O126" s="24" t="n"/>
      <c r="P126" s="24" t="n"/>
      <c r="Q126" s="24" t="n"/>
      <c r="R126" s="24" t="n"/>
      <c r="S126" s="24" t="n"/>
    </row>
    <row r="127" ht="16" customHeight="1">
      <c r="A127" s="24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18" t="n"/>
      <c r="K127" s="25" t="n"/>
      <c r="L127" s="24" t="n"/>
      <c r="M127" s="24" t="n"/>
      <c r="N127" s="24" t="n"/>
      <c r="O127" s="24" t="n"/>
      <c r="P127" s="24" t="n"/>
      <c r="Q127" s="24" t="n"/>
      <c r="R127" s="24" t="n"/>
      <c r="S127" s="24" t="n"/>
    </row>
    <row r="128" ht="16" customHeight="1">
      <c r="A128" s="24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18" t="n"/>
      <c r="K128" s="25" t="n"/>
      <c r="L128" s="24" t="n"/>
      <c r="M128" s="24" t="n"/>
      <c r="N128" s="24" t="n"/>
      <c r="O128" s="24" t="n"/>
      <c r="P128" s="24" t="n"/>
      <c r="Q128" s="24" t="n"/>
      <c r="R128" s="24" t="n"/>
      <c r="S128" s="24" t="n"/>
    </row>
    <row r="129" ht="16" customHeight="1">
      <c r="A129" s="24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18" t="n"/>
      <c r="K129" s="25" t="n"/>
      <c r="L129" s="24" t="n"/>
      <c r="M129" s="24" t="n"/>
      <c r="N129" s="24" t="n"/>
      <c r="O129" s="24" t="n"/>
      <c r="P129" s="24" t="n"/>
      <c r="Q129" s="24" t="n"/>
      <c r="R129" s="24" t="n"/>
      <c r="S129" s="24" t="n"/>
    </row>
    <row r="130" ht="13" customHeight="1">
      <c r="A130" s="24" t="n"/>
      <c r="B130" s="34" t="inlineStr">
        <is>
          <t>Erste Hilfe Handbuch
(DGUV Information 204-007)</t>
        </is>
      </c>
      <c r="C130" s="24" t="n"/>
      <c r="D130" s="24" t="n"/>
      <c r="E130" s="34" t="inlineStr">
        <is>
          <t>Handbuch zur Ersten Hilfe in Bildungs-
und Betreuungseinrichtungen für Kinder
(DGUV Information 204-008)</t>
        </is>
      </c>
      <c r="F130" s="24" t="n"/>
      <c r="G130" s="24" t="n"/>
      <c r="H130" s="24" t="n"/>
      <c r="I130" s="24" t="n"/>
      <c r="J130" s="18" t="n"/>
      <c r="K130" s="25" t="n"/>
      <c r="L130" s="34" t="inlineStr">
        <is>
          <t>Erste Hilfe Handbuch
(DGUV Information 204-007)</t>
        </is>
      </c>
      <c r="M130" s="24" t="n"/>
      <c r="N130" s="24" t="n"/>
      <c r="O130" s="34" t="inlineStr">
        <is>
          <t>Handbuch zur Ersten Hilfe in Bildungs-
und Betreuungseinrichtungen für Kinder
(DGUV Information 204-008)</t>
        </is>
      </c>
      <c r="P130" s="24" t="n"/>
      <c r="Q130" s="24" t="n"/>
      <c r="R130" s="24" t="n"/>
      <c r="S130" s="24" t="n"/>
    </row>
    <row r="131" ht="12" customHeight="1">
      <c r="A131" s="24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18" t="n"/>
      <c r="K131" s="25" t="n"/>
      <c r="L131" s="24" t="n"/>
      <c r="M131" s="24" t="n"/>
      <c r="N131" s="24" t="n"/>
      <c r="O131" s="24" t="n"/>
      <c r="P131" s="24" t="n"/>
      <c r="Q131" s="24" t="n"/>
      <c r="R131" s="24" t="n"/>
      <c r="S131" s="24" t="n"/>
    </row>
    <row r="132" ht="8" customHeight="1">
      <c r="A132" s="24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18" t="n"/>
      <c r="K132" s="25" t="n"/>
      <c r="L132" s="24" t="n"/>
      <c r="M132" s="24" t="n"/>
      <c r="N132" s="24" t="n"/>
      <c r="O132" s="24" t="n"/>
      <c r="P132" s="24" t="n"/>
      <c r="Q132" s="24" t="n"/>
      <c r="R132" s="24" t="n"/>
      <c r="S132" s="24" t="n"/>
    </row>
    <row r="133" ht="20" customHeight="1">
      <c r="A133" s="24" t="n"/>
      <c r="B133" s="26">
        <f>Teilnehmer!C7&amp;", den "&amp;TEXT(Teilnehmer!C3,"DD.MM.YYYY")</f>
        <v/>
      </c>
      <c r="C133" s="24" t="n"/>
      <c r="D133" s="24" t="n"/>
      <c r="E133" s="35" t="n"/>
      <c r="F133" s="24" t="n"/>
      <c r="G133" s="24" t="n"/>
      <c r="H133" s="24" t="n"/>
      <c r="I133" s="24" t="n"/>
      <c r="J133" s="18" t="n"/>
      <c r="K133" s="25" t="n"/>
      <c r="L133" s="26">
        <f>Teilnehmer!C7&amp;", den "&amp;TEXT(Teilnehmer!C3,"DD.MM.YYYY")</f>
        <v/>
      </c>
      <c r="M133" s="24" t="n"/>
      <c r="N133" s="24" t="n"/>
      <c r="O133" s="35" t="n"/>
      <c r="P133" s="24" t="n"/>
      <c r="Q133" s="24" t="n"/>
      <c r="R133" s="24" t="n"/>
      <c r="S133" s="24" t="n"/>
    </row>
    <row r="134" ht="13" customHeight="1">
      <c r="A134" s="24" t="n"/>
      <c r="B134" s="28" t="inlineStr">
        <is>
          <t>Ort</t>
        </is>
      </c>
      <c r="C134" s="24" t="n"/>
      <c r="D134" s="28" t="inlineStr">
        <is>
          <t>Datum</t>
        </is>
      </c>
      <c r="E134" s="28" t="inlineStr">
        <is>
          <t>Unterschrift der Lehrkraft</t>
        </is>
      </c>
      <c r="F134" s="24" t="n"/>
      <c r="G134" s="24" t="n"/>
      <c r="H134" s="24" t="n"/>
      <c r="I134" s="24" t="n"/>
      <c r="J134" s="18" t="n"/>
      <c r="K134" s="25" t="n"/>
      <c r="L134" s="28" t="inlineStr">
        <is>
          <t>Ort</t>
        </is>
      </c>
      <c r="M134" s="24" t="n"/>
      <c r="N134" s="28" t="inlineStr">
        <is>
          <t>Datum</t>
        </is>
      </c>
      <c r="O134" s="28" t="inlineStr">
        <is>
          <t>Unterschrift der Lehrkraft</t>
        </is>
      </c>
      <c r="P134" s="24" t="n"/>
      <c r="Q134" s="24" t="n"/>
      <c r="R134" s="24" t="n"/>
      <c r="S134" s="24" t="n"/>
    </row>
    <row r="135" ht="8" customHeight="1">
      <c r="A135" s="24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18" t="n"/>
      <c r="K135" s="25" t="n"/>
      <c r="L135" s="24" t="n"/>
      <c r="M135" s="24" t="n"/>
      <c r="N135" s="24" t="n"/>
      <c r="O135" s="24" t="n"/>
      <c r="P135" s="24" t="n"/>
      <c r="Q135" s="24" t="n"/>
      <c r="R135" s="24" t="n"/>
      <c r="S135" s="24" t="n"/>
    </row>
    <row r="136" ht="3" customHeight="1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8" t="n"/>
      <c r="K136" s="19" t="n"/>
      <c r="L136" s="17" t="n"/>
      <c r="M136" s="17" t="n"/>
      <c r="N136" s="17" t="n"/>
      <c r="O136" s="17" t="n"/>
      <c r="P136" s="17" t="n"/>
      <c r="Q136" s="17" t="n"/>
      <c r="R136" s="17" t="n"/>
      <c r="S136" s="17" t="n"/>
    </row>
    <row r="137" ht="18" customHeight="1">
      <c r="A137" s="17" t="n"/>
      <c r="B137" s="36" t="inlineStr">
        <is>
          <t>Name der ermächtigten Stelle:</t>
        </is>
      </c>
      <c r="C137" s="17" t="n"/>
      <c r="D137" s="37" t="inlineStr">
        <is>
          <t>Mercedes-Benz AG</t>
        </is>
      </c>
      <c r="E137" s="17" t="n"/>
      <c r="F137" s="17" t="n"/>
      <c r="G137" s="17" t="n"/>
      <c r="H137" s="17" t="n"/>
      <c r="I137" s="17" t="n"/>
      <c r="J137" s="18" t="n"/>
      <c r="K137" s="19" t="n"/>
      <c r="L137" s="36" t="inlineStr">
        <is>
          <t>Name der ermächtigten Stelle:</t>
        </is>
      </c>
      <c r="M137" s="17" t="n"/>
      <c r="N137" s="37" t="inlineStr">
        <is>
          <t>Mercedes-Benz AG</t>
        </is>
      </c>
      <c r="O137" s="17" t="n"/>
      <c r="P137" s="17" t="n"/>
      <c r="Q137" s="17" t="n"/>
      <c r="R137" s="17" t="n"/>
      <c r="S137" s="17" t="n"/>
    </row>
    <row r="138" ht="16" customHeight="1">
      <c r="A138" s="17" t="n"/>
      <c r="B138" s="38" t="inlineStr">
        <is>
          <t>Kennnummer gemäß
§ 26 DGUV Vorschrift 1:</t>
        </is>
      </c>
      <c r="C138" s="17" t="n"/>
      <c r="D138" s="37" t="inlineStr">
        <is>
          <t>7.0103</t>
        </is>
      </c>
      <c r="E138" s="17" t="n"/>
      <c r="F138" s="17" t="n"/>
      <c r="G138" s="17" t="n"/>
      <c r="H138" s="17" t="n"/>
      <c r="I138" s="17" t="n"/>
      <c r="J138" s="18" t="n"/>
      <c r="K138" s="19" t="n"/>
      <c r="L138" s="38" t="inlineStr">
        <is>
          <t>Kennnummer gemäß
§ 26 DGUV Vorschrift 1:</t>
        </is>
      </c>
      <c r="M138" s="17" t="n"/>
      <c r="N138" s="37" t="inlineStr">
        <is>
          <t>7.0103</t>
        </is>
      </c>
      <c r="O138" s="17" t="n"/>
      <c r="P138" s="17" t="n"/>
      <c r="Q138" s="17" t="n"/>
      <c r="R138" s="17" t="n"/>
      <c r="S138" s="17" t="n"/>
    </row>
    <row r="139" ht="16" customHeight="1">
      <c r="A139" s="17" t="n"/>
      <c r="B139" s="36" t="inlineStr">
        <is>
          <t>Registriernummer der Schulung:</t>
        </is>
      </c>
      <c r="C139" s="17" t="n"/>
      <c r="D139" s="37">
        <f>Teilnehmer!C5</f>
        <v/>
      </c>
      <c r="E139" s="17" t="n"/>
      <c r="F139" s="17" t="n"/>
      <c r="G139" s="17" t="n"/>
      <c r="H139" s="17" t="n"/>
      <c r="I139" s="17" t="n"/>
      <c r="J139" s="18" t="n"/>
      <c r="K139" s="19" t="n"/>
      <c r="L139" s="36" t="inlineStr">
        <is>
          <t>Registriernummer der Schulung:</t>
        </is>
      </c>
      <c r="M139" s="17" t="n"/>
      <c r="N139" s="37">
        <f>Teilnehmer!C5</f>
        <v/>
      </c>
      <c r="O139" s="17" t="n"/>
      <c r="P139" s="17" t="n"/>
      <c r="Q139" s="17" t="n"/>
      <c r="R139" s="17" t="n"/>
      <c r="S139" s="17" t="n"/>
    </row>
    <row r="140" ht="11" customHeight="1">
      <c r="A140" s="39" t="inlineStr">
        <is>
          <t>¹ Die Teilnahme an der Ausbildung in betrieblicher Erster Hilfe gilt als Schulung in Erster Hilfe gem. § 19 FeV.   |   Stand Oktober 2023</t>
        </is>
      </c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8" t="n"/>
      <c r="K140" s="40" t="inlineStr">
        <is>
          <t>¹ Die Teilnahme an der Ausbildung in betrieblicher Erster Hilfe gilt als Schulung in Erster Hilfe gem. § 19 FeV.   |   Stand Oktober 2023</t>
        </is>
      </c>
      <c r="L140" s="17" t="n"/>
      <c r="M140" s="17" t="n"/>
      <c r="N140" s="17" t="n"/>
      <c r="O140" s="17" t="n"/>
      <c r="P140" s="17" t="n"/>
      <c r="Q140" s="17" t="n"/>
      <c r="R140" s="17" t="n"/>
      <c r="S140" s="17" t="n"/>
    </row>
    <row r="141" ht="12" customHeight="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8" t="n"/>
      <c r="K141" s="19" t="n"/>
      <c r="L141" s="17" t="n"/>
      <c r="M141" s="17" t="n"/>
      <c r="N141" s="17" t="n"/>
      <c r="O141" s="17" t="n"/>
      <c r="P141" s="17" t="n"/>
      <c r="Q141" s="17" t="n"/>
      <c r="R141" s="17" t="n"/>
      <c r="S141" s="17" t="n"/>
    </row>
    <row r="142" ht="28" customHeight="1">
      <c r="A142" s="17" t="n"/>
      <c r="B142" s="17" t="n"/>
      <c r="C142" s="17" t="n"/>
      <c r="D142" s="20" t="inlineStr">
        <is>
          <t>Bescheinigung</t>
        </is>
      </c>
      <c r="E142" s="17" t="n"/>
      <c r="F142" s="17" t="n"/>
      <c r="G142" s="17" t="n"/>
      <c r="H142" s="17" t="n"/>
      <c r="I142" s="17" t="n"/>
      <c r="J142" s="18" t="n"/>
      <c r="K142" s="19" t="n"/>
      <c r="L142" s="17" t="n"/>
      <c r="M142" s="17" t="n"/>
      <c r="N142" s="20" t="inlineStr">
        <is>
          <t>Bescheinigung</t>
        </is>
      </c>
      <c r="O142" s="17" t="n"/>
      <c r="P142" s="17" t="n"/>
      <c r="Q142" s="17" t="n"/>
      <c r="R142" s="17" t="n"/>
      <c r="S142" s="17" t="n"/>
    </row>
    <row r="143" ht="16" customHeight="1">
      <c r="A143" s="17" t="n"/>
      <c r="B143" s="17" t="n"/>
      <c r="C143" s="17" t="n"/>
      <c r="D143" s="21" t="inlineStr">
        <is>
          <t>über die Teilnahme an einer Erste-Hilfe-</t>
        </is>
      </c>
      <c r="E143" s="17" t="n"/>
      <c r="F143" s="17" t="n"/>
      <c r="G143" s="17" t="n"/>
      <c r="H143" s="17" t="n"/>
      <c r="I143" s="17" t="n"/>
      <c r="J143" s="18" t="n"/>
      <c r="K143" s="19" t="n"/>
      <c r="L143" s="17" t="n"/>
      <c r="M143" s="17" t="n"/>
      <c r="N143" s="21" t="inlineStr">
        <is>
          <t>über die Teilnahme an einer Erste-Hilfe-</t>
        </is>
      </c>
      <c r="O143" s="17" t="n"/>
      <c r="P143" s="17" t="n"/>
      <c r="Q143" s="17" t="n"/>
      <c r="R143" s="17" t="n"/>
      <c r="S143" s="17" t="n"/>
    </row>
    <row r="144" ht="15" customHeight="1">
      <c r="A144" s="17" t="n"/>
      <c r="B144" s="17" t="n"/>
      <c r="C144" s="17" t="n"/>
      <c r="D144" s="22">
        <f>IF(Teilnehmer!F4="EH-Ausbildung","☑","☐")</f>
        <v/>
      </c>
      <c r="E144" s="21" t="inlineStr">
        <is>
          <t>Ausbildung¹ für betriebliche Ersthelfende</t>
        </is>
      </c>
      <c r="F144" s="17" t="n"/>
      <c r="G144" s="17" t="n"/>
      <c r="H144" s="17" t="n"/>
      <c r="I144" s="17" t="n"/>
      <c r="J144" s="18" t="n"/>
      <c r="K144" s="19" t="n"/>
      <c r="L144" s="17" t="n"/>
      <c r="M144" s="17" t="n"/>
      <c r="N144" s="22">
        <f>IF(Teilnehmer!F4="EH-Ausbildung","☑","☐")</f>
        <v/>
      </c>
      <c r="O144" s="21" t="inlineStr">
        <is>
          <t>Ausbildung¹ für betriebliche Ersthelfende</t>
        </is>
      </c>
      <c r="P144" s="17" t="n"/>
      <c r="Q144" s="17" t="n"/>
      <c r="R144" s="17" t="n"/>
      <c r="S144" s="17" t="n"/>
    </row>
    <row r="145" ht="15" customHeight="1">
      <c r="A145" s="17" t="n"/>
      <c r="B145" s="17" t="n"/>
      <c r="C145" s="17" t="n"/>
      <c r="D145" s="22">
        <f>IF(Teilnehmer!F4="EH-Fortbildung","☑","☐")</f>
        <v/>
      </c>
      <c r="E145" s="21" t="inlineStr">
        <is>
          <t>Fortbildung für betriebliche Ersthelfende</t>
        </is>
      </c>
      <c r="F145" s="17" t="n"/>
      <c r="G145" s="17" t="n"/>
      <c r="H145" s="17" t="n"/>
      <c r="I145" s="17" t="n"/>
      <c r="J145" s="18" t="n"/>
      <c r="K145" s="19" t="n"/>
      <c r="L145" s="17" t="n"/>
      <c r="M145" s="17" t="n"/>
      <c r="N145" s="22">
        <f>IF(Teilnehmer!F4="EH-Fortbildung","☑","☐")</f>
        <v/>
      </c>
      <c r="O145" s="21" t="inlineStr">
        <is>
          <t>Fortbildung für betriebliche Ersthelfende</t>
        </is>
      </c>
      <c r="P145" s="17" t="n"/>
      <c r="Q145" s="17" t="n"/>
      <c r="R145" s="17" t="n"/>
      <c r="S145" s="17" t="n"/>
    </row>
    <row r="146" ht="15" customHeight="1">
      <c r="A146" s="17" t="n"/>
      <c r="B146" s="17" t="n"/>
      <c r="C146" s="17" t="n"/>
      <c r="D146" s="22">
        <f>IF(Teilnehmer!F4="EH-Schulung","☑","☐")</f>
        <v/>
      </c>
      <c r="E146" s="21" t="inlineStr">
        <is>
          <t>Schulung in Bildungs- und Betreuungs-</t>
        </is>
      </c>
      <c r="F146" s="17" t="n"/>
      <c r="G146" s="17" t="n"/>
      <c r="H146" s="17" t="n"/>
      <c r="I146" s="17" t="n"/>
      <c r="J146" s="18" t="n"/>
      <c r="K146" s="19" t="n"/>
      <c r="L146" s="17" t="n"/>
      <c r="M146" s="17" t="n"/>
      <c r="N146" s="22">
        <f>IF(Teilnehmer!F4="EH-Schulung","☑","☐")</f>
        <v/>
      </c>
      <c r="O146" s="21" t="inlineStr">
        <is>
          <t>Schulung in Bildungs- und Betreuungs-</t>
        </is>
      </c>
      <c r="P146" s="17" t="n"/>
      <c r="Q146" s="17" t="n"/>
      <c r="R146" s="17" t="n"/>
      <c r="S146" s="17" t="n"/>
    </row>
    <row r="147" ht="13" customHeight="1">
      <c r="A147" s="17" t="n"/>
      <c r="B147" s="17" t="n"/>
      <c r="C147" s="17" t="n"/>
      <c r="D147" s="23" t="inlineStr">
        <is>
          <t>einrichtungen für Kinder</t>
        </is>
      </c>
      <c r="E147" s="17" t="n"/>
      <c r="F147" s="17" t="n"/>
      <c r="G147" s="17" t="n"/>
      <c r="H147" s="17" t="n"/>
      <c r="I147" s="17" t="n"/>
      <c r="J147" s="18" t="n"/>
      <c r="K147" s="19" t="n"/>
      <c r="L147" s="17" t="n"/>
      <c r="M147" s="17" t="n"/>
      <c r="N147" s="23" t="inlineStr">
        <is>
          <t>einrichtungen für Kinder</t>
        </is>
      </c>
      <c r="O147" s="17" t="n"/>
      <c r="P147" s="17" t="n"/>
      <c r="Q147" s="17" t="n"/>
      <c r="R147" s="17" t="n"/>
      <c r="S147" s="17" t="n"/>
    </row>
    <row r="148" ht="10" customHeight="1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8" t="n"/>
      <c r="K148" s="19" t="n"/>
      <c r="L148" s="17" t="n"/>
      <c r="M148" s="17" t="n"/>
      <c r="N148" s="17" t="n"/>
      <c r="O148" s="17" t="n"/>
      <c r="P148" s="17" t="n"/>
      <c r="Q148" s="17" t="n"/>
      <c r="R148" s="17" t="n"/>
      <c r="S148" s="17" t="n"/>
    </row>
    <row r="149" ht="9" customHeight="1">
      <c r="A149" s="24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18" t="n"/>
      <c r="K149" s="25" t="n"/>
      <c r="L149" s="24" t="n"/>
      <c r="M149" s="24" t="n"/>
      <c r="N149" s="24" t="n"/>
      <c r="O149" s="24" t="n"/>
      <c r="P149" s="24" t="n"/>
      <c r="Q149" s="24" t="n"/>
      <c r="R149" s="24" t="n"/>
      <c r="S149" s="24" t="n"/>
    </row>
    <row r="150" ht="18" customHeight="1">
      <c r="A150" s="24" t="n"/>
      <c r="B150" s="26">
        <f>Teilnehmer!B19</f>
        <v/>
      </c>
      <c r="C150" s="24" t="n"/>
      <c r="D150" s="24" t="n"/>
      <c r="E150" s="24" t="n"/>
      <c r="F150" s="26">
        <f>Teilnehmer!C19</f>
        <v/>
      </c>
      <c r="G150" s="24" t="n"/>
      <c r="H150" s="27" t="inlineStr">
        <is>
          <t>geb. am:</t>
        </is>
      </c>
      <c r="I150" s="26">
        <f>TEXT(Teilnehmer!D19,"DD.MM.YYYY")</f>
        <v/>
      </c>
      <c r="J150" s="18" t="n"/>
      <c r="K150" s="25" t="n"/>
      <c r="L150" s="26">
        <f>Teilnehmer!B20</f>
        <v/>
      </c>
      <c r="M150" s="24" t="n"/>
      <c r="N150" s="24" t="n"/>
      <c r="O150" s="24" t="n"/>
      <c r="P150" s="26">
        <f>Teilnehmer!C20</f>
        <v/>
      </c>
      <c r="Q150" s="24" t="n"/>
      <c r="R150" s="27" t="inlineStr">
        <is>
          <t>geb. am:</t>
        </is>
      </c>
      <c r="S150" s="26">
        <f>TEXT(Teilnehmer!D20,"DD.MM.YYYY")</f>
        <v/>
      </c>
    </row>
    <row r="151" ht="9" customHeight="1">
      <c r="A151" s="24" t="n"/>
      <c r="B151" s="28" t="inlineStr">
        <is>
          <t>Name</t>
        </is>
      </c>
      <c r="C151" s="24" t="n"/>
      <c r="D151" s="24" t="n"/>
      <c r="E151" s="24" t="n"/>
      <c r="F151" s="28" t="inlineStr">
        <is>
          <t>Vorname</t>
        </is>
      </c>
      <c r="G151" s="24" t="n"/>
      <c r="H151" s="24" t="n"/>
      <c r="I151" s="24" t="n"/>
      <c r="J151" s="18" t="n"/>
      <c r="K151" s="25" t="n"/>
      <c r="L151" s="28" t="inlineStr">
        <is>
          <t>Name</t>
        </is>
      </c>
      <c r="M151" s="24" t="n"/>
      <c r="N151" s="24" t="n"/>
      <c r="O151" s="24" t="n"/>
      <c r="P151" s="28" t="inlineStr">
        <is>
          <t>Vorname</t>
        </is>
      </c>
      <c r="Q151" s="24" t="n"/>
      <c r="R151" s="24" t="n"/>
      <c r="S151" s="24" t="n"/>
    </row>
    <row r="152" ht="16" customHeight="1">
      <c r="A152" s="24" t="n"/>
      <c r="B152" s="29" t="inlineStr">
        <is>
          <t>hat an dem 9 Unterrichtseinheiten (Nettounterrichtszeit 9 × 45 Minuten) umfassenden Lehrgang</t>
        </is>
      </c>
      <c r="C152" s="24" t="n"/>
      <c r="D152" s="24" t="n"/>
      <c r="E152" s="24" t="n"/>
      <c r="F152" s="24" t="n"/>
      <c r="G152" s="24" t="n"/>
      <c r="H152" s="24" t="n"/>
      <c r="I152" s="24" t="n"/>
      <c r="J152" s="18" t="n"/>
      <c r="K152" s="25" t="n"/>
      <c r="L152" s="29" t="inlineStr">
        <is>
          <t>hat an dem 9 Unterrichtseinheiten (Nettounterrichtszeit 9 × 45 Minuten) umfassenden Lehrgang</t>
        </is>
      </c>
      <c r="M152" s="24" t="n"/>
      <c r="N152" s="24" t="n"/>
      <c r="O152" s="24" t="n"/>
      <c r="P152" s="24" t="n"/>
      <c r="Q152" s="24" t="n"/>
      <c r="R152" s="24" t="n"/>
      <c r="S152" s="24" t="n"/>
    </row>
    <row r="153" ht="9" customHeight="1">
      <c r="A153" s="24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18" t="n"/>
      <c r="K153" s="25" t="n"/>
      <c r="L153" s="24" t="n"/>
      <c r="M153" s="24" t="n"/>
      <c r="N153" s="24" t="n"/>
      <c r="O153" s="24" t="n"/>
      <c r="P153" s="24" t="n"/>
      <c r="Q153" s="24" t="n"/>
      <c r="R153" s="24" t="n"/>
      <c r="S153" s="24" t="n"/>
    </row>
    <row r="154" ht="16" customHeight="1">
      <c r="A154" s="24" t="n"/>
      <c r="B154" s="27" t="inlineStr">
        <is>
          <t>am</t>
        </is>
      </c>
      <c r="C154" s="30">
        <f>TEXT(Teilnehmer!C3,"DD.MM.YYYY")</f>
        <v/>
      </c>
      <c r="D154" s="27" t="inlineStr">
        <is>
          <t>in der Zeit von</t>
        </is>
      </c>
      <c r="E154" s="30">
        <f>TEXT(Teilnehmer!F3,"HH:MM")</f>
        <v/>
      </c>
      <c r="F154" s="31" t="inlineStr">
        <is>
          <t>Uhr bis</t>
        </is>
      </c>
      <c r="G154" s="30">
        <f>TEXT(Teilnehmer!H3,"HH:MM")</f>
        <v/>
      </c>
      <c r="H154" s="27" t="inlineStr">
        <is>
          <t>Uhr</t>
        </is>
      </c>
      <c r="I154" s="24" t="n"/>
      <c r="J154" s="18" t="n"/>
      <c r="K154" s="25" t="n"/>
      <c r="L154" s="27" t="inlineStr">
        <is>
          <t>am</t>
        </is>
      </c>
      <c r="M154" s="30">
        <f>TEXT(Teilnehmer!C3,"DD.MM.YYYY")</f>
        <v/>
      </c>
      <c r="N154" s="27" t="inlineStr">
        <is>
          <t>in der Zeit von</t>
        </is>
      </c>
      <c r="O154" s="30">
        <f>TEXT(Teilnehmer!F3,"HH:MM")</f>
        <v/>
      </c>
      <c r="P154" s="31" t="inlineStr">
        <is>
          <t>Uhr bis</t>
        </is>
      </c>
      <c r="Q154" s="30">
        <f>TEXT(Teilnehmer!H3,"HH:MM")</f>
        <v/>
      </c>
      <c r="R154" s="27" t="inlineStr">
        <is>
          <t>Uhr</t>
        </is>
      </c>
      <c r="S154" s="24" t="n"/>
    </row>
    <row r="155" ht="9" customHeight="1">
      <c r="A155" s="24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18" t="n"/>
      <c r="K155" s="25" t="n"/>
      <c r="L155" s="24" t="n"/>
      <c r="M155" s="24" t="n"/>
      <c r="N155" s="24" t="n"/>
      <c r="O155" s="24" t="n"/>
      <c r="P155" s="24" t="n"/>
      <c r="Q155" s="24" t="n"/>
      <c r="R155" s="24" t="n"/>
      <c r="S155" s="24" t="n"/>
    </row>
    <row r="156" ht="16" customHeight="1">
      <c r="A156" s="24" t="n"/>
      <c r="B156" s="27" t="inlineStr">
        <is>
          <t>unter der Leitung von</t>
        </is>
      </c>
      <c r="C156" s="24" t="n"/>
      <c r="D156" s="32">
        <f>Teilnehmer!C4</f>
        <v/>
      </c>
      <c r="E156" s="33" t="n"/>
      <c r="F156" s="33" t="n"/>
      <c r="G156" s="33" t="n"/>
      <c r="H156" s="27" t="inlineStr">
        <is>
          <t>erfolgreich</t>
        </is>
      </c>
      <c r="I156" s="27" t="inlineStr">
        <is>
          <t>teilgen.</t>
        </is>
      </c>
      <c r="J156" s="18" t="n"/>
      <c r="K156" s="25" t="n"/>
      <c r="L156" s="27" t="inlineStr">
        <is>
          <t>unter der Leitung von</t>
        </is>
      </c>
      <c r="M156" s="24" t="n"/>
      <c r="N156" s="32">
        <f>Teilnehmer!C4</f>
        <v/>
      </c>
      <c r="O156" s="33" t="n"/>
      <c r="P156" s="33" t="n"/>
      <c r="Q156" s="33" t="n"/>
      <c r="R156" s="27" t="inlineStr">
        <is>
          <t>erfolgreich</t>
        </is>
      </c>
      <c r="S156" s="27" t="inlineStr">
        <is>
          <t>teilgen.</t>
        </is>
      </c>
    </row>
    <row r="157" ht="9" customHeight="1">
      <c r="A157" s="24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18" t="n"/>
      <c r="K157" s="25" t="n"/>
      <c r="L157" s="24" t="n"/>
      <c r="M157" s="24" t="n"/>
      <c r="N157" s="24" t="n"/>
      <c r="O157" s="24" t="n"/>
      <c r="P157" s="24" t="n"/>
      <c r="Q157" s="24" t="n"/>
      <c r="R157" s="24" t="n"/>
      <c r="S157" s="24" t="n"/>
    </row>
    <row r="158" ht="14" customHeight="1">
      <c r="A158" s="24" t="n"/>
      <c r="B158" s="27" t="inlineStr">
        <is>
          <t>Teilnehmerunterlagen ausgehändigt:    ☐ Ja    ☐ Nein</t>
        </is>
      </c>
      <c r="C158" s="24" t="n"/>
      <c r="D158" s="24" t="n"/>
      <c r="E158" s="24" t="n"/>
      <c r="F158" s="24" t="n"/>
      <c r="G158" s="24" t="n"/>
      <c r="H158" s="24" t="n"/>
      <c r="I158" s="24" t="n"/>
      <c r="J158" s="18" t="n"/>
      <c r="K158" s="25" t="n"/>
      <c r="L158" s="27" t="inlineStr">
        <is>
          <t>Teilnehmerunterlagen ausgehändigt:    ☐ Ja    ☐ Nein</t>
        </is>
      </c>
      <c r="M158" s="24" t="n"/>
      <c r="N158" s="24" t="n"/>
      <c r="O158" s="24" t="n"/>
      <c r="P158" s="24" t="n"/>
      <c r="Q158" s="24" t="n"/>
      <c r="R158" s="24" t="n"/>
      <c r="S158" s="24" t="n"/>
    </row>
    <row r="159" ht="8" customHeight="1">
      <c r="A159" s="24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18" t="n"/>
      <c r="K159" s="25" t="n"/>
      <c r="L159" s="24" t="n"/>
      <c r="M159" s="24" t="n"/>
      <c r="N159" s="24" t="n"/>
      <c r="O159" s="24" t="n"/>
      <c r="P159" s="24" t="n"/>
      <c r="Q159" s="24" t="n"/>
      <c r="R159" s="24" t="n"/>
      <c r="S159" s="24" t="n"/>
    </row>
    <row r="160" ht="16" customHeight="1">
      <c r="A160" s="24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18" t="n"/>
      <c r="K160" s="25" t="n"/>
      <c r="L160" s="24" t="n"/>
      <c r="M160" s="24" t="n"/>
      <c r="N160" s="24" t="n"/>
      <c r="O160" s="24" t="n"/>
      <c r="P160" s="24" t="n"/>
      <c r="Q160" s="24" t="n"/>
      <c r="R160" s="24" t="n"/>
      <c r="S160" s="24" t="n"/>
    </row>
    <row r="161" ht="16" customHeight="1">
      <c r="A161" s="24" t="n"/>
      <c r="B161" s="24" t="n"/>
      <c r="C161" s="24" t="n"/>
      <c r="D161" s="24" t="n"/>
      <c r="E161" s="24" t="n"/>
      <c r="F161" s="24" t="n"/>
      <c r="G161" s="24" t="n"/>
      <c r="H161" s="24" t="n"/>
      <c r="I161" s="24" t="n"/>
      <c r="J161" s="18" t="n"/>
      <c r="K161" s="25" t="n"/>
      <c r="L161" s="24" t="n"/>
      <c r="M161" s="24" t="n"/>
      <c r="N161" s="24" t="n"/>
      <c r="O161" s="24" t="n"/>
      <c r="P161" s="24" t="n"/>
      <c r="Q161" s="24" t="n"/>
      <c r="R161" s="24" t="n"/>
      <c r="S161" s="24" t="n"/>
    </row>
    <row r="162" ht="16" customHeight="1">
      <c r="A162" s="24" t="n"/>
      <c r="B162" s="24" t="n"/>
      <c r="C162" s="24" t="n"/>
      <c r="D162" s="24" t="n"/>
      <c r="E162" s="24" t="n"/>
      <c r="F162" s="24" t="n"/>
      <c r="G162" s="24" t="n"/>
      <c r="H162" s="24" t="n"/>
      <c r="I162" s="24" t="n"/>
      <c r="J162" s="18" t="n"/>
      <c r="K162" s="25" t="n"/>
      <c r="L162" s="24" t="n"/>
      <c r="M162" s="24" t="n"/>
      <c r="N162" s="24" t="n"/>
      <c r="O162" s="24" t="n"/>
      <c r="P162" s="24" t="n"/>
      <c r="Q162" s="24" t="n"/>
      <c r="R162" s="24" t="n"/>
      <c r="S162" s="24" t="n"/>
    </row>
    <row r="163" ht="16" customHeight="1">
      <c r="A163" s="24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18" t="n"/>
      <c r="K163" s="25" t="n"/>
      <c r="L163" s="24" t="n"/>
      <c r="M163" s="24" t="n"/>
      <c r="N163" s="24" t="n"/>
      <c r="O163" s="24" t="n"/>
      <c r="P163" s="24" t="n"/>
      <c r="Q163" s="24" t="n"/>
      <c r="R163" s="24" t="n"/>
      <c r="S163" s="24" t="n"/>
    </row>
    <row r="164" ht="16" customHeight="1">
      <c r="A164" s="24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18" t="n"/>
      <c r="K164" s="25" t="n"/>
      <c r="L164" s="24" t="n"/>
      <c r="M164" s="24" t="n"/>
      <c r="N164" s="24" t="n"/>
      <c r="O164" s="24" t="n"/>
      <c r="P164" s="24" t="n"/>
      <c r="Q164" s="24" t="n"/>
      <c r="R164" s="24" t="n"/>
      <c r="S164" s="24" t="n"/>
    </row>
    <row r="165" ht="13" customHeight="1">
      <c r="A165" s="24" t="n"/>
      <c r="B165" s="34" t="inlineStr">
        <is>
          <t>Erste Hilfe Handbuch
(DGUV Information 204-007)</t>
        </is>
      </c>
      <c r="C165" s="24" t="n"/>
      <c r="D165" s="24" t="n"/>
      <c r="E165" s="34" t="inlineStr">
        <is>
          <t>Handbuch zur Ersten Hilfe in Bildungs-
und Betreuungseinrichtungen für Kinder
(DGUV Information 204-008)</t>
        </is>
      </c>
      <c r="F165" s="24" t="n"/>
      <c r="G165" s="24" t="n"/>
      <c r="H165" s="24" t="n"/>
      <c r="I165" s="24" t="n"/>
      <c r="J165" s="18" t="n"/>
      <c r="K165" s="25" t="n"/>
      <c r="L165" s="34" t="inlineStr">
        <is>
          <t>Erste Hilfe Handbuch
(DGUV Information 204-007)</t>
        </is>
      </c>
      <c r="M165" s="24" t="n"/>
      <c r="N165" s="24" t="n"/>
      <c r="O165" s="34" t="inlineStr">
        <is>
          <t>Handbuch zur Ersten Hilfe in Bildungs-
und Betreuungseinrichtungen für Kinder
(DGUV Information 204-008)</t>
        </is>
      </c>
      <c r="P165" s="24" t="n"/>
      <c r="Q165" s="24" t="n"/>
      <c r="R165" s="24" t="n"/>
      <c r="S165" s="24" t="n"/>
    </row>
    <row r="166" ht="12" customHeight="1">
      <c r="A166" s="24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18" t="n"/>
      <c r="K166" s="25" t="n"/>
      <c r="L166" s="24" t="n"/>
      <c r="M166" s="24" t="n"/>
      <c r="N166" s="24" t="n"/>
      <c r="O166" s="24" t="n"/>
      <c r="P166" s="24" t="n"/>
      <c r="Q166" s="24" t="n"/>
      <c r="R166" s="24" t="n"/>
      <c r="S166" s="24" t="n"/>
    </row>
    <row r="167" ht="8" customHeight="1">
      <c r="A167" s="24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18" t="n"/>
      <c r="K167" s="25" t="n"/>
      <c r="L167" s="24" t="n"/>
      <c r="M167" s="24" t="n"/>
      <c r="N167" s="24" t="n"/>
      <c r="O167" s="24" t="n"/>
      <c r="P167" s="24" t="n"/>
      <c r="Q167" s="24" t="n"/>
      <c r="R167" s="24" t="n"/>
      <c r="S167" s="24" t="n"/>
    </row>
    <row r="168" ht="20" customHeight="1">
      <c r="A168" s="24" t="n"/>
      <c r="B168" s="26">
        <f>Teilnehmer!C7&amp;", den "&amp;TEXT(Teilnehmer!C3,"DD.MM.YYYY")</f>
        <v/>
      </c>
      <c r="C168" s="24" t="n"/>
      <c r="D168" s="24" t="n"/>
      <c r="E168" s="35" t="n"/>
      <c r="F168" s="24" t="n"/>
      <c r="G168" s="24" t="n"/>
      <c r="H168" s="24" t="n"/>
      <c r="I168" s="24" t="n"/>
      <c r="J168" s="18" t="n"/>
      <c r="K168" s="25" t="n"/>
      <c r="L168" s="26">
        <f>Teilnehmer!C7&amp;", den "&amp;TEXT(Teilnehmer!C3,"DD.MM.YYYY")</f>
        <v/>
      </c>
      <c r="M168" s="24" t="n"/>
      <c r="N168" s="24" t="n"/>
      <c r="O168" s="35" t="n"/>
      <c r="P168" s="24" t="n"/>
      <c r="Q168" s="24" t="n"/>
      <c r="R168" s="24" t="n"/>
      <c r="S168" s="24" t="n"/>
    </row>
    <row r="169" ht="13" customHeight="1">
      <c r="A169" s="24" t="n"/>
      <c r="B169" s="28" t="inlineStr">
        <is>
          <t>Ort</t>
        </is>
      </c>
      <c r="C169" s="24" t="n"/>
      <c r="D169" s="28" t="inlineStr">
        <is>
          <t>Datum</t>
        </is>
      </c>
      <c r="E169" s="28" t="inlineStr">
        <is>
          <t>Unterschrift der Lehrkraft</t>
        </is>
      </c>
      <c r="F169" s="24" t="n"/>
      <c r="G169" s="24" t="n"/>
      <c r="H169" s="24" t="n"/>
      <c r="I169" s="24" t="n"/>
      <c r="J169" s="18" t="n"/>
      <c r="K169" s="25" t="n"/>
      <c r="L169" s="28" t="inlineStr">
        <is>
          <t>Ort</t>
        </is>
      </c>
      <c r="M169" s="24" t="n"/>
      <c r="N169" s="28" t="inlineStr">
        <is>
          <t>Datum</t>
        </is>
      </c>
      <c r="O169" s="28" t="inlineStr">
        <is>
          <t>Unterschrift der Lehrkraft</t>
        </is>
      </c>
      <c r="P169" s="24" t="n"/>
      <c r="Q169" s="24" t="n"/>
      <c r="R169" s="24" t="n"/>
      <c r="S169" s="24" t="n"/>
    </row>
    <row r="170" ht="8" customHeight="1">
      <c r="A170" s="24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18" t="n"/>
      <c r="K170" s="25" t="n"/>
      <c r="L170" s="24" t="n"/>
      <c r="M170" s="24" t="n"/>
      <c r="N170" s="24" t="n"/>
      <c r="O170" s="24" t="n"/>
      <c r="P170" s="24" t="n"/>
      <c r="Q170" s="24" t="n"/>
      <c r="R170" s="24" t="n"/>
      <c r="S170" s="24" t="n"/>
    </row>
    <row r="171" ht="3" customHeight="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8" t="n"/>
      <c r="K171" s="19" t="n"/>
      <c r="L171" s="17" t="n"/>
      <c r="M171" s="17" t="n"/>
      <c r="N171" s="17" t="n"/>
      <c r="O171" s="17" t="n"/>
      <c r="P171" s="17" t="n"/>
      <c r="Q171" s="17" t="n"/>
      <c r="R171" s="17" t="n"/>
      <c r="S171" s="17" t="n"/>
    </row>
    <row r="172" ht="18" customHeight="1">
      <c r="A172" s="17" t="n"/>
      <c r="B172" s="36" t="inlineStr">
        <is>
          <t>Name der ermächtigten Stelle:</t>
        </is>
      </c>
      <c r="C172" s="17" t="n"/>
      <c r="D172" s="37" t="inlineStr">
        <is>
          <t>Mercedes-Benz AG</t>
        </is>
      </c>
      <c r="E172" s="17" t="n"/>
      <c r="F172" s="17" t="n"/>
      <c r="G172" s="17" t="n"/>
      <c r="H172" s="17" t="n"/>
      <c r="I172" s="17" t="n"/>
      <c r="J172" s="18" t="n"/>
      <c r="K172" s="19" t="n"/>
      <c r="L172" s="36" t="inlineStr">
        <is>
          <t>Name der ermächtigten Stelle:</t>
        </is>
      </c>
      <c r="M172" s="17" t="n"/>
      <c r="N172" s="37" t="inlineStr">
        <is>
          <t>Mercedes-Benz AG</t>
        </is>
      </c>
      <c r="O172" s="17" t="n"/>
      <c r="P172" s="17" t="n"/>
      <c r="Q172" s="17" t="n"/>
      <c r="R172" s="17" t="n"/>
      <c r="S172" s="17" t="n"/>
    </row>
    <row r="173" ht="16" customHeight="1">
      <c r="A173" s="17" t="n"/>
      <c r="B173" s="38" t="inlineStr">
        <is>
          <t>Kennnummer gemäß
§ 26 DGUV Vorschrift 1:</t>
        </is>
      </c>
      <c r="C173" s="17" t="n"/>
      <c r="D173" s="37" t="inlineStr">
        <is>
          <t>7.0103</t>
        </is>
      </c>
      <c r="E173" s="17" t="n"/>
      <c r="F173" s="17" t="n"/>
      <c r="G173" s="17" t="n"/>
      <c r="H173" s="17" t="n"/>
      <c r="I173" s="17" t="n"/>
      <c r="J173" s="18" t="n"/>
      <c r="K173" s="19" t="n"/>
      <c r="L173" s="38" t="inlineStr">
        <is>
          <t>Kennnummer gemäß
§ 26 DGUV Vorschrift 1:</t>
        </is>
      </c>
      <c r="M173" s="17" t="n"/>
      <c r="N173" s="37" t="inlineStr">
        <is>
          <t>7.0103</t>
        </is>
      </c>
      <c r="O173" s="17" t="n"/>
      <c r="P173" s="17" t="n"/>
      <c r="Q173" s="17" t="n"/>
      <c r="R173" s="17" t="n"/>
      <c r="S173" s="17" t="n"/>
    </row>
    <row r="174" ht="16" customHeight="1">
      <c r="A174" s="17" t="n"/>
      <c r="B174" s="36" t="inlineStr">
        <is>
          <t>Registriernummer der Schulung:</t>
        </is>
      </c>
      <c r="C174" s="17" t="n"/>
      <c r="D174" s="37">
        <f>Teilnehmer!C5</f>
        <v/>
      </c>
      <c r="E174" s="17" t="n"/>
      <c r="F174" s="17" t="n"/>
      <c r="G174" s="17" t="n"/>
      <c r="H174" s="17" t="n"/>
      <c r="I174" s="17" t="n"/>
      <c r="J174" s="18" t="n"/>
      <c r="K174" s="19" t="n"/>
      <c r="L174" s="36" t="inlineStr">
        <is>
          <t>Registriernummer der Schulung:</t>
        </is>
      </c>
      <c r="M174" s="17" t="n"/>
      <c r="N174" s="37">
        <f>Teilnehmer!C5</f>
        <v/>
      </c>
      <c r="O174" s="17" t="n"/>
      <c r="P174" s="17" t="n"/>
      <c r="Q174" s="17" t="n"/>
      <c r="R174" s="17" t="n"/>
      <c r="S174" s="17" t="n"/>
    </row>
    <row r="175" ht="11" customHeight="1">
      <c r="A175" s="39" t="inlineStr">
        <is>
          <t>¹ Die Teilnahme an der Ausbildung in betrieblicher Erster Hilfe gilt als Schulung in Erster Hilfe gem. § 19 FeV.   |   Stand Oktober 2023</t>
        </is>
      </c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8" t="n"/>
      <c r="K175" s="40" t="inlineStr">
        <is>
          <t>¹ Die Teilnahme an der Ausbildung in betrieblicher Erster Hilfe gilt als Schulung in Erster Hilfe gem. § 19 FeV.   |   Stand Oktober 2023</t>
        </is>
      </c>
      <c r="L175" s="17" t="n"/>
      <c r="M175" s="17" t="n"/>
      <c r="N175" s="17" t="n"/>
      <c r="O175" s="17" t="n"/>
      <c r="P175" s="17" t="n"/>
      <c r="Q175" s="17" t="n"/>
      <c r="R175" s="17" t="n"/>
      <c r="S175" s="17" t="n"/>
    </row>
    <row r="176" ht="12" customHeight="1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8" t="n"/>
      <c r="K176" s="19" t="n"/>
      <c r="L176" s="17" t="n"/>
      <c r="M176" s="17" t="n"/>
      <c r="N176" s="17" t="n"/>
      <c r="O176" s="17" t="n"/>
      <c r="P176" s="17" t="n"/>
      <c r="Q176" s="17" t="n"/>
      <c r="R176" s="17" t="n"/>
      <c r="S176" s="17" t="n"/>
    </row>
    <row r="177" ht="28" customHeight="1">
      <c r="A177" s="17" t="n"/>
      <c r="B177" s="17" t="n"/>
      <c r="C177" s="17" t="n"/>
      <c r="D177" s="20" t="inlineStr">
        <is>
          <t>Bescheinigung</t>
        </is>
      </c>
      <c r="E177" s="17" t="n"/>
      <c r="F177" s="17" t="n"/>
      <c r="G177" s="17" t="n"/>
      <c r="H177" s="17" t="n"/>
      <c r="I177" s="17" t="n"/>
      <c r="J177" s="18" t="n"/>
      <c r="K177" s="19" t="n"/>
      <c r="L177" s="17" t="n"/>
      <c r="M177" s="17" t="n"/>
      <c r="N177" s="20" t="inlineStr">
        <is>
          <t>Bescheinigung</t>
        </is>
      </c>
      <c r="O177" s="17" t="n"/>
      <c r="P177" s="17" t="n"/>
      <c r="Q177" s="17" t="n"/>
      <c r="R177" s="17" t="n"/>
      <c r="S177" s="17" t="n"/>
    </row>
    <row r="178" ht="16" customHeight="1">
      <c r="A178" s="17" t="n"/>
      <c r="B178" s="17" t="n"/>
      <c r="C178" s="17" t="n"/>
      <c r="D178" s="21" t="inlineStr">
        <is>
          <t>über die Teilnahme an einer Erste-Hilfe-</t>
        </is>
      </c>
      <c r="E178" s="17" t="n"/>
      <c r="F178" s="17" t="n"/>
      <c r="G178" s="17" t="n"/>
      <c r="H178" s="17" t="n"/>
      <c r="I178" s="17" t="n"/>
      <c r="J178" s="18" t="n"/>
      <c r="K178" s="19" t="n"/>
      <c r="L178" s="17" t="n"/>
      <c r="M178" s="17" t="n"/>
      <c r="N178" s="21" t="inlineStr">
        <is>
          <t>über die Teilnahme an einer Erste-Hilfe-</t>
        </is>
      </c>
      <c r="O178" s="17" t="n"/>
      <c r="P178" s="17" t="n"/>
      <c r="Q178" s="17" t="n"/>
      <c r="R178" s="17" t="n"/>
      <c r="S178" s="17" t="n"/>
    </row>
    <row r="179" ht="15" customHeight="1">
      <c r="A179" s="17" t="n"/>
      <c r="B179" s="17" t="n"/>
      <c r="C179" s="17" t="n"/>
      <c r="D179" s="22">
        <f>IF(Teilnehmer!F4="EH-Ausbildung","☑","☐")</f>
        <v/>
      </c>
      <c r="E179" s="21" t="inlineStr">
        <is>
          <t>Ausbildung¹ für betriebliche Ersthelfende</t>
        </is>
      </c>
      <c r="F179" s="17" t="n"/>
      <c r="G179" s="17" t="n"/>
      <c r="H179" s="17" t="n"/>
      <c r="I179" s="17" t="n"/>
      <c r="J179" s="18" t="n"/>
      <c r="K179" s="19" t="n"/>
      <c r="L179" s="17" t="n"/>
      <c r="M179" s="17" t="n"/>
      <c r="N179" s="22">
        <f>IF(Teilnehmer!F4="EH-Ausbildung","☑","☐")</f>
        <v/>
      </c>
      <c r="O179" s="21" t="inlineStr">
        <is>
          <t>Ausbildung¹ für betriebliche Ersthelfende</t>
        </is>
      </c>
      <c r="P179" s="17" t="n"/>
      <c r="Q179" s="17" t="n"/>
      <c r="R179" s="17" t="n"/>
      <c r="S179" s="17" t="n"/>
    </row>
    <row r="180" ht="15" customHeight="1">
      <c r="A180" s="17" t="n"/>
      <c r="B180" s="17" t="n"/>
      <c r="C180" s="17" t="n"/>
      <c r="D180" s="22">
        <f>IF(Teilnehmer!F4="EH-Fortbildung","☑","☐")</f>
        <v/>
      </c>
      <c r="E180" s="21" t="inlineStr">
        <is>
          <t>Fortbildung für betriebliche Ersthelfende</t>
        </is>
      </c>
      <c r="F180" s="17" t="n"/>
      <c r="G180" s="17" t="n"/>
      <c r="H180" s="17" t="n"/>
      <c r="I180" s="17" t="n"/>
      <c r="J180" s="18" t="n"/>
      <c r="K180" s="19" t="n"/>
      <c r="L180" s="17" t="n"/>
      <c r="M180" s="17" t="n"/>
      <c r="N180" s="22">
        <f>IF(Teilnehmer!F4="EH-Fortbildung","☑","☐")</f>
        <v/>
      </c>
      <c r="O180" s="21" t="inlineStr">
        <is>
          <t>Fortbildung für betriebliche Ersthelfende</t>
        </is>
      </c>
      <c r="P180" s="17" t="n"/>
      <c r="Q180" s="17" t="n"/>
      <c r="R180" s="17" t="n"/>
      <c r="S180" s="17" t="n"/>
    </row>
    <row r="181" ht="15" customHeight="1">
      <c r="A181" s="17" t="n"/>
      <c r="B181" s="17" t="n"/>
      <c r="C181" s="17" t="n"/>
      <c r="D181" s="22">
        <f>IF(Teilnehmer!F4="EH-Schulung","☑","☐")</f>
        <v/>
      </c>
      <c r="E181" s="21" t="inlineStr">
        <is>
          <t>Schulung in Bildungs- und Betreuungs-</t>
        </is>
      </c>
      <c r="F181" s="17" t="n"/>
      <c r="G181" s="17" t="n"/>
      <c r="H181" s="17" t="n"/>
      <c r="I181" s="17" t="n"/>
      <c r="J181" s="18" t="n"/>
      <c r="K181" s="19" t="n"/>
      <c r="L181" s="17" t="n"/>
      <c r="M181" s="17" t="n"/>
      <c r="N181" s="22">
        <f>IF(Teilnehmer!F4="EH-Schulung","☑","☐")</f>
        <v/>
      </c>
      <c r="O181" s="21" t="inlineStr">
        <is>
          <t>Schulung in Bildungs- und Betreuungs-</t>
        </is>
      </c>
      <c r="P181" s="17" t="n"/>
      <c r="Q181" s="17" t="n"/>
      <c r="R181" s="17" t="n"/>
      <c r="S181" s="17" t="n"/>
    </row>
    <row r="182" ht="13" customHeight="1">
      <c r="A182" s="17" t="n"/>
      <c r="B182" s="17" t="n"/>
      <c r="C182" s="17" t="n"/>
      <c r="D182" s="23" t="inlineStr">
        <is>
          <t>einrichtungen für Kinder</t>
        </is>
      </c>
      <c r="E182" s="17" t="n"/>
      <c r="F182" s="17" t="n"/>
      <c r="G182" s="17" t="n"/>
      <c r="H182" s="17" t="n"/>
      <c r="I182" s="17" t="n"/>
      <c r="J182" s="18" t="n"/>
      <c r="K182" s="19" t="n"/>
      <c r="L182" s="17" t="n"/>
      <c r="M182" s="17" t="n"/>
      <c r="N182" s="23" t="inlineStr">
        <is>
          <t>einrichtungen für Kinder</t>
        </is>
      </c>
      <c r="O182" s="17" t="n"/>
      <c r="P182" s="17" t="n"/>
      <c r="Q182" s="17" t="n"/>
      <c r="R182" s="17" t="n"/>
      <c r="S182" s="17" t="n"/>
    </row>
    <row r="183" ht="10" customHeight="1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8" t="n"/>
      <c r="K183" s="19" t="n"/>
      <c r="L183" s="17" t="n"/>
      <c r="M183" s="17" t="n"/>
      <c r="N183" s="17" t="n"/>
      <c r="O183" s="17" t="n"/>
      <c r="P183" s="17" t="n"/>
      <c r="Q183" s="17" t="n"/>
      <c r="R183" s="17" t="n"/>
      <c r="S183" s="17" t="n"/>
    </row>
    <row r="184" ht="9" customHeight="1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18" t="n"/>
      <c r="K184" s="25" t="n"/>
      <c r="L184" s="24" t="n"/>
      <c r="M184" s="24" t="n"/>
      <c r="N184" s="24" t="n"/>
      <c r="O184" s="24" t="n"/>
      <c r="P184" s="24" t="n"/>
      <c r="Q184" s="24" t="n"/>
      <c r="R184" s="24" t="n"/>
      <c r="S184" s="24" t="n"/>
    </row>
    <row r="185" ht="18" customHeight="1">
      <c r="A185" s="24" t="n"/>
      <c r="B185" s="26">
        <f>Teilnehmer!B21</f>
        <v/>
      </c>
      <c r="C185" s="24" t="n"/>
      <c r="D185" s="24" t="n"/>
      <c r="E185" s="24" t="n"/>
      <c r="F185" s="26">
        <f>Teilnehmer!C21</f>
        <v/>
      </c>
      <c r="G185" s="24" t="n"/>
      <c r="H185" s="27" t="inlineStr">
        <is>
          <t>geb. am:</t>
        </is>
      </c>
      <c r="I185" s="26">
        <f>TEXT(Teilnehmer!D21,"DD.MM.YYYY")</f>
        <v/>
      </c>
      <c r="J185" s="18" t="n"/>
      <c r="K185" s="25" t="n"/>
      <c r="L185" s="26">
        <f>Teilnehmer!B22</f>
        <v/>
      </c>
      <c r="M185" s="24" t="n"/>
      <c r="N185" s="24" t="n"/>
      <c r="O185" s="24" t="n"/>
      <c r="P185" s="26">
        <f>Teilnehmer!C22</f>
        <v/>
      </c>
      <c r="Q185" s="24" t="n"/>
      <c r="R185" s="27" t="inlineStr">
        <is>
          <t>geb. am:</t>
        </is>
      </c>
      <c r="S185" s="26">
        <f>TEXT(Teilnehmer!D22,"DD.MM.YYYY")</f>
        <v/>
      </c>
    </row>
    <row r="186" ht="9" customHeight="1">
      <c r="A186" s="24" t="n"/>
      <c r="B186" s="28" t="inlineStr">
        <is>
          <t>Name</t>
        </is>
      </c>
      <c r="C186" s="24" t="n"/>
      <c r="D186" s="24" t="n"/>
      <c r="E186" s="24" t="n"/>
      <c r="F186" s="28" t="inlineStr">
        <is>
          <t>Vorname</t>
        </is>
      </c>
      <c r="G186" s="24" t="n"/>
      <c r="H186" s="24" t="n"/>
      <c r="I186" s="24" t="n"/>
      <c r="J186" s="18" t="n"/>
      <c r="K186" s="25" t="n"/>
      <c r="L186" s="28" t="inlineStr">
        <is>
          <t>Name</t>
        </is>
      </c>
      <c r="M186" s="24" t="n"/>
      <c r="N186" s="24" t="n"/>
      <c r="O186" s="24" t="n"/>
      <c r="P186" s="28" t="inlineStr">
        <is>
          <t>Vorname</t>
        </is>
      </c>
      <c r="Q186" s="24" t="n"/>
      <c r="R186" s="24" t="n"/>
      <c r="S186" s="24" t="n"/>
    </row>
    <row r="187" ht="16" customHeight="1">
      <c r="A187" s="24" t="n"/>
      <c r="B187" s="29" t="inlineStr">
        <is>
          <t>hat an dem 9 Unterrichtseinheiten (Nettounterrichtszeit 9 × 45 Minuten) umfassenden Lehrgang</t>
        </is>
      </c>
      <c r="C187" s="24" t="n"/>
      <c r="D187" s="24" t="n"/>
      <c r="E187" s="24" t="n"/>
      <c r="F187" s="24" t="n"/>
      <c r="G187" s="24" t="n"/>
      <c r="H187" s="24" t="n"/>
      <c r="I187" s="24" t="n"/>
      <c r="J187" s="18" t="n"/>
      <c r="K187" s="25" t="n"/>
      <c r="L187" s="29" t="inlineStr">
        <is>
          <t>hat an dem 9 Unterrichtseinheiten (Nettounterrichtszeit 9 × 45 Minuten) umfassenden Lehrgang</t>
        </is>
      </c>
      <c r="M187" s="24" t="n"/>
      <c r="N187" s="24" t="n"/>
      <c r="O187" s="24" t="n"/>
      <c r="P187" s="24" t="n"/>
      <c r="Q187" s="24" t="n"/>
      <c r="R187" s="24" t="n"/>
      <c r="S187" s="24" t="n"/>
    </row>
    <row r="188" ht="9" customHeight="1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18" t="n"/>
      <c r="K188" s="25" t="n"/>
      <c r="L188" s="24" t="n"/>
      <c r="M188" s="24" t="n"/>
      <c r="N188" s="24" t="n"/>
      <c r="O188" s="24" t="n"/>
      <c r="P188" s="24" t="n"/>
      <c r="Q188" s="24" t="n"/>
      <c r="R188" s="24" t="n"/>
      <c r="S188" s="24" t="n"/>
    </row>
    <row r="189" ht="16" customHeight="1">
      <c r="A189" s="24" t="n"/>
      <c r="B189" s="27" t="inlineStr">
        <is>
          <t>am</t>
        </is>
      </c>
      <c r="C189" s="30">
        <f>TEXT(Teilnehmer!C3,"DD.MM.YYYY")</f>
        <v/>
      </c>
      <c r="D189" s="27" t="inlineStr">
        <is>
          <t>in der Zeit von</t>
        </is>
      </c>
      <c r="E189" s="30">
        <f>TEXT(Teilnehmer!F3,"HH:MM")</f>
        <v/>
      </c>
      <c r="F189" s="31" t="inlineStr">
        <is>
          <t>Uhr bis</t>
        </is>
      </c>
      <c r="G189" s="30">
        <f>TEXT(Teilnehmer!H3,"HH:MM")</f>
        <v/>
      </c>
      <c r="H189" s="27" t="inlineStr">
        <is>
          <t>Uhr</t>
        </is>
      </c>
      <c r="I189" s="24" t="n"/>
      <c r="J189" s="18" t="n"/>
      <c r="K189" s="25" t="n"/>
      <c r="L189" s="27" t="inlineStr">
        <is>
          <t>am</t>
        </is>
      </c>
      <c r="M189" s="30">
        <f>TEXT(Teilnehmer!C3,"DD.MM.YYYY")</f>
        <v/>
      </c>
      <c r="N189" s="27" t="inlineStr">
        <is>
          <t>in der Zeit von</t>
        </is>
      </c>
      <c r="O189" s="30">
        <f>TEXT(Teilnehmer!F3,"HH:MM")</f>
        <v/>
      </c>
      <c r="P189" s="31" t="inlineStr">
        <is>
          <t>Uhr bis</t>
        </is>
      </c>
      <c r="Q189" s="30">
        <f>TEXT(Teilnehmer!H3,"HH:MM")</f>
        <v/>
      </c>
      <c r="R189" s="27" t="inlineStr">
        <is>
          <t>Uhr</t>
        </is>
      </c>
      <c r="S189" s="24" t="n"/>
    </row>
    <row r="190" ht="9" customHeight="1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18" t="n"/>
      <c r="K190" s="25" t="n"/>
      <c r="L190" s="24" t="n"/>
      <c r="M190" s="24" t="n"/>
      <c r="N190" s="24" t="n"/>
      <c r="O190" s="24" t="n"/>
      <c r="P190" s="24" t="n"/>
      <c r="Q190" s="24" t="n"/>
      <c r="R190" s="24" t="n"/>
      <c r="S190" s="24" t="n"/>
    </row>
    <row r="191" ht="16" customHeight="1">
      <c r="A191" s="24" t="n"/>
      <c r="B191" s="27" t="inlineStr">
        <is>
          <t>unter der Leitung von</t>
        </is>
      </c>
      <c r="C191" s="24" t="n"/>
      <c r="D191" s="32">
        <f>Teilnehmer!C4</f>
        <v/>
      </c>
      <c r="E191" s="33" t="n"/>
      <c r="F191" s="33" t="n"/>
      <c r="G191" s="33" t="n"/>
      <c r="H191" s="27" t="inlineStr">
        <is>
          <t>erfolgreich</t>
        </is>
      </c>
      <c r="I191" s="27" t="inlineStr">
        <is>
          <t>teilgen.</t>
        </is>
      </c>
      <c r="J191" s="18" t="n"/>
      <c r="K191" s="25" t="n"/>
      <c r="L191" s="27" t="inlineStr">
        <is>
          <t>unter der Leitung von</t>
        </is>
      </c>
      <c r="M191" s="24" t="n"/>
      <c r="N191" s="32">
        <f>Teilnehmer!C4</f>
        <v/>
      </c>
      <c r="O191" s="33" t="n"/>
      <c r="P191" s="33" t="n"/>
      <c r="Q191" s="33" t="n"/>
      <c r="R191" s="27" t="inlineStr">
        <is>
          <t>erfolgreich</t>
        </is>
      </c>
      <c r="S191" s="27" t="inlineStr">
        <is>
          <t>teilgen.</t>
        </is>
      </c>
    </row>
    <row r="192" ht="9" customHeight="1">
      <c r="A192" s="24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18" t="n"/>
      <c r="K192" s="25" t="n"/>
      <c r="L192" s="24" t="n"/>
      <c r="M192" s="24" t="n"/>
      <c r="N192" s="24" t="n"/>
      <c r="O192" s="24" t="n"/>
      <c r="P192" s="24" t="n"/>
      <c r="Q192" s="24" t="n"/>
      <c r="R192" s="24" t="n"/>
      <c r="S192" s="24" t="n"/>
    </row>
    <row r="193" ht="14" customHeight="1">
      <c r="A193" s="24" t="n"/>
      <c r="B193" s="27" t="inlineStr">
        <is>
          <t>Teilnehmerunterlagen ausgehändigt:    ☐ Ja    ☐ Nein</t>
        </is>
      </c>
      <c r="C193" s="24" t="n"/>
      <c r="D193" s="24" t="n"/>
      <c r="E193" s="24" t="n"/>
      <c r="F193" s="24" t="n"/>
      <c r="G193" s="24" t="n"/>
      <c r="H193" s="24" t="n"/>
      <c r="I193" s="24" t="n"/>
      <c r="J193" s="18" t="n"/>
      <c r="K193" s="25" t="n"/>
      <c r="L193" s="27" t="inlineStr">
        <is>
          <t>Teilnehmerunterlagen ausgehändigt:    ☐ Ja    ☐ Nein</t>
        </is>
      </c>
      <c r="M193" s="24" t="n"/>
      <c r="N193" s="24" t="n"/>
      <c r="O193" s="24" t="n"/>
      <c r="P193" s="24" t="n"/>
      <c r="Q193" s="24" t="n"/>
      <c r="R193" s="24" t="n"/>
      <c r="S193" s="24" t="n"/>
    </row>
    <row r="194" ht="8" customHeight="1">
      <c r="A194" s="24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18" t="n"/>
      <c r="K194" s="25" t="n"/>
      <c r="L194" s="24" t="n"/>
      <c r="M194" s="24" t="n"/>
      <c r="N194" s="24" t="n"/>
      <c r="O194" s="24" t="n"/>
      <c r="P194" s="24" t="n"/>
      <c r="Q194" s="24" t="n"/>
      <c r="R194" s="24" t="n"/>
      <c r="S194" s="24" t="n"/>
    </row>
    <row r="195" ht="16" customHeight="1">
      <c r="A195" s="24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18" t="n"/>
      <c r="K195" s="25" t="n"/>
      <c r="L195" s="24" t="n"/>
      <c r="M195" s="24" t="n"/>
      <c r="N195" s="24" t="n"/>
      <c r="O195" s="24" t="n"/>
      <c r="P195" s="24" t="n"/>
      <c r="Q195" s="24" t="n"/>
      <c r="R195" s="24" t="n"/>
      <c r="S195" s="24" t="n"/>
    </row>
    <row r="196" ht="16" customHeight="1">
      <c r="A196" s="24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18" t="n"/>
      <c r="K196" s="25" t="n"/>
      <c r="L196" s="24" t="n"/>
      <c r="M196" s="24" t="n"/>
      <c r="N196" s="24" t="n"/>
      <c r="O196" s="24" t="n"/>
      <c r="P196" s="24" t="n"/>
      <c r="Q196" s="24" t="n"/>
      <c r="R196" s="24" t="n"/>
      <c r="S196" s="24" t="n"/>
    </row>
    <row r="197" ht="16" customHeight="1">
      <c r="A197" s="24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18" t="n"/>
      <c r="K197" s="25" t="n"/>
      <c r="L197" s="24" t="n"/>
      <c r="M197" s="24" t="n"/>
      <c r="N197" s="24" t="n"/>
      <c r="O197" s="24" t="n"/>
      <c r="P197" s="24" t="n"/>
      <c r="Q197" s="24" t="n"/>
      <c r="R197" s="24" t="n"/>
      <c r="S197" s="24" t="n"/>
    </row>
    <row r="198" ht="16" customHeight="1">
      <c r="A198" s="24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18" t="n"/>
      <c r="K198" s="25" t="n"/>
      <c r="L198" s="24" t="n"/>
      <c r="M198" s="24" t="n"/>
      <c r="N198" s="24" t="n"/>
      <c r="O198" s="24" t="n"/>
      <c r="P198" s="24" t="n"/>
      <c r="Q198" s="24" t="n"/>
      <c r="R198" s="24" t="n"/>
      <c r="S198" s="24" t="n"/>
    </row>
    <row r="199" ht="16" customHeight="1">
      <c r="A199" s="24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18" t="n"/>
      <c r="K199" s="25" t="n"/>
      <c r="L199" s="24" t="n"/>
      <c r="M199" s="24" t="n"/>
      <c r="N199" s="24" t="n"/>
      <c r="O199" s="24" t="n"/>
      <c r="P199" s="24" t="n"/>
      <c r="Q199" s="24" t="n"/>
      <c r="R199" s="24" t="n"/>
      <c r="S199" s="24" t="n"/>
    </row>
    <row r="200" ht="13" customHeight="1">
      <c r="A200" s="24" t="n"/>
      <c r="B200" s="34" t="inlineStr">
        <is>
          <t>Erste Hilfe Handbuch
(DGUV Information 204-007)</t>
        </is>
      </c>
      <c r="C200" s="24" t="n"/>
      <c r="D200" s="24" t="n"/>
      <c r="E200" s="34" t="inlineStr">
        <is>
          <t>Handbuch zur Ersten Hilfe in Bildungs-
und Betreuungseinrichtungen für Kinder
(DGUV Information 204-008)</t>
        </is>
      </c>
      <c r="F200" s="24" t="n"/>
      <c r="G200" s="24" t="n"/>
      <c r="H200" s="24" t="n"/>
      <c r="I200" s="24" t="n"/>
      <c r="J200" s="18" t="n"/>
      <c r="K200" s="25" t="n"/>
      <c r="L200" s="34" t="inlineStr">
        <is>
          <t>Erste Hilfe Handbuch
(DGUV Information 204-007)</t>
        </is>
      </c>
      <c r="M200" s="24" t="n"/>
      <c r="N200" s="24" t="n"/>
      <c r="O200" s="34" t="inlineStr">
        <is>
          <t>Handbuch zur Ersten Hilfe in Bildungs-
und Betreuungseinrichtungen für Kinder
(DGUV Information 204-008)</t>
        </is>
      </c>
      <c r="P200" s="24" t="n"/>
      <c r="Q200" s="24" t="n"/>
      <c r="R200" s="24" t="n"/>
      <c r="S200" s="24" t="n"/>
    </row>
    <row r="201" ht="12" customHeight="1">
      <c r="A201" s="24" t="n"/>
      <c r="B201" s="24" t="n"/>
      <c r="C201" s="24" t="n"/>
      <c r="D201" s="24" t="n"/>
      <c r="E201" s="24" t="n"/>
      <c r="F201" s="24" t="n"/>
      <c r="G201" s="24" t="n"/>
      <c r="H201" s="24" t="n"/>
      <c r="I201" s="24" t="n"/>
      <c r="J201" s="18" t="n"/>
      <c r="K201" s="25" t="n"/>
      <c r="L201" s="24" t="n"/>
      <c r="M201" s="24" t="n"/>
      <c r="N201" s="24" t="n"/>
      <c r="O201" s="24" t="n"/>
      <c r="P201" s="24" t="n"/>
      <c r="Q201" s="24" t="n"/>
      <c r="R201" s="24" t="n"/>
      <c r="S201" s="24" t="n"/>
    </row>
    <row r="202" ht="8" customHeight="1">
      <c r="A202" s="24" t="n"/>
      <c r="B202" s="24" t="n"/>
      <c r="C202" s="24" t="n"/>
      <c r="D202" s="24" t="n"/>
      <c r="E202" s="24" t="n"/>
      <c r="F202" s="24" t="n"/>
      <c r="G202" s="24" t="n"/>
      <c r="H202" s="24" t="n"/>
      <c r="I202" s="24" t="n"/>
      <c r="J202" s="18" t="n"/>
      <c r="K202" s="25" t="n"/>
      <c r="L202" s="24" t="n"/>
      <c r="M202" s="24" t="n"/>
      <c r="N202" s="24" t="n"/>
      <c r="O202" s="24" t="n"/>
      <c r="P202" s="24" t="n"/>
      <c r="Q202" s="24" t="n"/>
      <c r="R202" s="24" t="n"/>
      <c r="S202" s="24" t="n"/>
    </row>
    <row r="203" ht="20" customHeight="1">
      <c r="A203" s="24" t="n"/>
      <c r="B203" s="26">
        <f>Teilnehmer!C7&amp;", den "&amp;TEXT(Teilnehmer!C3,"DD.MM.YYYY")</f>
        <v/>
      </c>
      <c r="C203" s="24" t="n"/>
      <c r="D203" s="24" t="n"/>
      <c r="E203" s="35" t="n"/>
      <c r="F203" s="24" t="n"/>
      <c r="G203" s="24" t="n"/>
      <c r="H203" s="24" t="n"/>
      <c r="I203" s="24" t="n"/>
      <c r="J203" s="18" t="n"/>
      <c r="K203" s="25" t="n"/>
      <c r="L203" s="26">
        <f>Teilnehmer!C7&amp;", den "&amp;TEXT(Teilnehmer!C3,"DD.MM.YYYY")</f>
        <v/>
      </c>
      <c r="M203" s="24" t="n"/>
      <c r="N203" s="24" t="n"/>
      <c r="O203" s="35" t="n"/>
      <c r="P203" s="24" t="n"/>
      <c r="Q203" s="24" t="n"/>
      <c r="R203" s="24" t="n"/>
      <c r="S203" s="24" t="n"/>
    </row>
    <row r="204" ht="13" customHeight="1">
      <c r="A204" s="24" t="n"/>
      <c r="B204" s="28" t="inlineStr">
        <is>
          <t>Ort</t>
        </is>
      </c>
      <c r="C204" s="24" t="n"/>
      <c r="D204" s="28" t="inlineStr">
        <is>
          <t>Datum</t>
        </is>
      </c>
      <c r="E204" s="28" t="inlineStr">
        <is>
          <t>Unterschrift der Lehrkraft</t>
        </is>
      </c>
      <c r="F204" s="24" t="n"/>
      <c r="G204" s="24" t="n"/>
      <c r="H204" s="24" t="n"/>
      <c r="I204" s="24" t="n"/>
      <c r="J204" s="18" t="n"/>
      <c r="K204" s="25" t="n"/>
      <c r="L204" s="28" t="inlineStr">
        <is>
          <t>Ort</t>
        </is>
      </c>
      <c r="M204" s="24" t="n"/>
      <c r="N204" s="28" t="inlineStr">
        <is>
          <t>Datum</t>
        </is>
      </c>
      <c r="O204" s="28" t="inlineStr">
        <is>
          <t>Unterschrift der Lehrkraft</t>
        </is>
      </c>
      <c r="P204" s="24" t="n"/>
      <c r="Q204" s="24" t="n"/>
      <c r="R204" s="24" t="n"/>
      <c r="S204" s="24" t="n"/>
    </row>
    <row r="205" ht="8" customHeight="1">
      <c r="A205" s="24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18" t="n"/>
      <c r="K205" s="25" t="n"/>
      <c r="L205" s="24" t="n"/>
      <c r="M205" s="24" t="n"/>
      <c r="N205" s="24" t="n"/>
      <c r="O205" s="24" t="n"/>
      <c r="P205" s="24" t="n"/>
      <c r="Q205" s="24" t="n"/>
      <c r="R205" s="24" t="n"/>
      <c r="S205" s="24" t="n"/>
    </row>
    <row r="206" ht="3" customHeight="1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8" t="n"/>
      <c r="K206" s="19" t="n"/>
      <c r="L206" s="17" t="n"/>
      <c r="M206" s="17" t="n"/>
      <c r="N206" s="17" t="n"/>
      <c r="O206" s="17" t="n"/>
      <c r="P206" s="17" t="n"/>
      <c r="Q206" s="17" t="n"/>
      <c r="R206" s="17" t="n"/>
      <c r="S206" s="17" t="n"/>
    </row>
    <row r="207" ht="18" customHeight="1">
      <c r="A207" s="17" t="n"/>
      <c r="B207" s="36" t="inlineStr">
        <is>
          <t>Name der ermächtigten Stelle:</t>
        </is>
      </c>
      <c r="C207" s="17" t="n"/>
      <c r="D207" s="37" t="inlineStr">
        <is>
          <t>Mercedes-Benz AG</t>
        </is>
      </c>
      <c r="E207" s="17" t="n"/>
      <c r="F207" s="17" t="n"/>
      <c r="G207" s="17" t="n"/>
      <c r="H207" s="17" t="n"/>
      <c r="I207" s="17" t="n"/>
      <c r="J207" s="18" t="n"/>
      <c r="K207" s="19" t="n"/>
      <c r="L207" s="36" t="inlineStr">
        <is>
          <t>Name der ermächtigten Stelle:</t>
        </is>
      </c>
      <c r="M207" s="17" t="n"/>
      <c r="N207" s="37" t="inlineStr">
        <is>
          <t>Mercedes-Benz AG</t>
        </is>
      </c>
      <c r="O207" s="17" t="n"/>
      <c r="P207" s="17" t="n"/>
      <c r="Q207" s="17" t="n"/>
      <c r="R207" s="17" t="n"/>
      <c r="S207" s="17" t="n"/>
    </row>
    <row r="208" ht="16" customHeight="1">
      <c r="A208" s="17" t="n"/>
      <c r="B208" s="38" t="inlineStr">
        <is>
          <t>Kennnummer gemäß
§ 26 DGUV Vorschrift 1:</t>
        </is>
      </c>
      <c r="C208" s="17" t="n"/>
      <c r="D208" s="37" t="inlineStr">
        <is>
          <t>7.0103</t>
        </is>
      </c>
      <c r="E208" s="17" t="n"/>
      <c r="F208" s="17" t="n"/>
      <c r="G208" s="17" t="n"/>
      <c r="H208" s="17" t="n"/>
      <c r="I208" s="17" t="n"/>
      <c r="J208" s="18" t="n"/>
      <c r="K208" s="19" t="n"/>
      <c r="L208" s="38" t="inlineStr">
        <is>
          <t>Kennnummer gemäß
§ 26 DGUV Vorschrift 1:</t>
        </is>
      </c>
      <c r="M208" s="17" t="n"/>
      <c r="N208" s="37" t="inlineStr">
        <is>
          <t>7.0103</t>
        </is>
      </c>
      <c r="O208" s="17" t="n"/>
      <c r="P208" s="17" t="n"/>
      <c r="Q208" s="17" t="n"/>
      <c r="R208" s="17" t="n"/>
      <c r="S208" s="17" t="n"/>
    </row>
    <row r="209" ht="16" customHeight="1">
      <c r="A209" s="17" t="n"/>
      <c r="B209" s="36" t="inlineStr">
        <is>
          <t>Registriernummer der Schulung:</t>
        </is>
      </c>
      <c r="C209" s="17" t="n"/>
      <c r="D209" s="37">
        <f>Teilnehmer!C5</f>
        <v/>
      </c>
      <c r="E209" s="17" t="n"/>
      <c r="F209" s="17" t="n"/>
      <c r="G209" s="17" t="n"/>
      <c r="H209" s="17" t="n"/>
      <c r="I209" s="17" t="n"/>
      <c r="J209" s="18" t="n"/>
      <c r="K209" s="19" t="n"/>
      <c r="L209" s="36" t="inlineStr">
        <is>
          <t>Registriernummer der Schulung:</t>
        </is>
      </c>
      <c r="M209" s="17" t="n"/>
      <c r="N209" s="37">
        <f>Teilnehmer!C5</f>
        <v/>
      </c>
      <c r="O209" s="17" t="n"/>
      <c r="P209" s="17" t="n"/>
      <c r="Q209" s="17" t="n"/>
      <c r="R209" s="17" t="n"/>
      <c r="S209" s="17" t="n"/>
    </row>
    <row r="210" ht="11" customHeight="1">
      <c r="A210" s="39" t="inlineStr">
        <is>
          <t>¹ Die Teilnahme an der Ausbildung in betrieblicher Erster Hilfe gilt als Schulung in Erster Hilfe gem. § 19 FeV.   |   Stand Oktober 2023</t>
        </is>
      </c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8" t="n"/>
      <c r="K210" s="40" t="inlineStr">
        <is>
          <t>¹ Die Teilnahme an der Ausbildung in betrieblicher Erster Hilfe gilt als Schulung in Erster Hilfe gem. § 19 FeV.   |   Stand Oktober 2023</t>
        </is>
      </c>
      <c r="L210" s="17" t="n"/>
      <c r="M210" s="17" t="n"/>
      <c r="N210" s="17" t="n"/>
      <c r="O210" s="17" t="n"/>
      <c r="P210" s="17" t="n"/>
      <c r="Q210" s="17" t="n"/>
      <c r="R210" s="17" t="n"/>
      <c r="S210" s="17" t="n"/>
    </row>
    <row r="211" ht="12" customHeight="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8" t="n"/>
      <c r="K211" s="19" t="n"/>
      <c r="L211" s="17" t="n"/>
      <c r="M211" s="17" t="n"/>
      <c r="N211" s="17" t="n"/>
      <c r="O211" s="17" t="n"/>
      <c r="P211" s="17" t="n"/>
      <c r="Q211" s="17" t="n"/>
      <c r="R211" s="17" t="n"/>
      <c r="S211" s="17" t="n"/>
    </row>
    <row r="212" ht="28" customHeight="1">
      <c r="A212" s="17" t="n"/>
      <c r="B212" s="17" t="n"/>
      <c r="C212" s="17" t="n"/>
      <c r="D212" s="20" t="inlineStr">
        <is>
          <t>Bescheinigung</t>
        </is>
      </c>
      <c r="E212" s="17" t="n"/>
      <c r="F212" s="17" t="n"/>
      <c r="G212" s="17" t="n"/>
      <c r="H212" s="17" t="n"/>
      <c r="I212" s="17" t="n"/>
      <c r="J212" s="18" t="n"/>
      <c r="K212" s="19" t="n"/>
      <c r="L212" s="17" t="n"/>
      <c r="M212" s="17" t="n"/>
      <c r="N212" s="20" t="inlineStr">
        <is>
          <t>Bescheinigung</t>
        </is>
      </c>
      <c r="O212" s="17" t="n"/>
      <c r="P212" s="17" t="n"/>
      <c r="Q212" s="17" t="n"/>
      <c r="R212" s="17" t="n"/>
      <c r="S212" s="17" t="n"/>
    </row>
    <row r="213" ht="16" customHeight="1">
      <c r="A213" s="17" t="n"/>
      <c r="B213" s="17" t="n"/>
      <c r="C213" s="17" t="n"/>
      <c r="D213" s="21" t="inlineStr">
        <is>
          <t>über die Teilnahme an einer Erste-Hilfe-</t>
        </is>
      </c>
      <c r="E213" s="17" t="n"/>
      <c r="F213" s="17" t="n"/>
      <c r="G213" s="17" t="n"/>
      <c r="H213" s="17" t="n"/>
      <c r="I213" s="17" t="n"/>
      <c r="J213" s="18" t="n"/>
      <c r="K213" s="19" t="n"/>
      <c r="L213" s="17" t="n"/>
      <c r="M213" s="17" t="n"/>
      <c r="N213" s="21" t="inlineStr">
        <is>
          <t>über die Teilnahme an einer Erste-Hilfe-</t>
        </is>
      </c>
      <c r="O213" s="17" t="n"/>
      <c r="P213" s="17" t="n"/>
      <c r="Q213" s="17" t="n"/>
      <c r="R213" s="17" t="n"/>
      <c r="S213" s="17" t="n"/>
    </row>
    <row r="214" ht="15" customHeight="1">
      <c r="A214" s="17" t="n"/>
      <c r="B214" s="17" t="n"/>
      <c r="C214" s="17" t="n"/>
      <c r="D214" s="22">
        <f>IF(Teilnehmer!F4="EH-Ausbildung","☑","☐")</f>
        <v/>
      </c>
      <c r="E214" s="21" t="inlineStr">
        <is>
          <t>Ausbildung¹ für betriebliche Ersthelfende</t>
        </is>
      </c>
      <c r="F214" s="17" t="n"/>
      <c r="G214" s="17" t="n"/>
      <c r="H214" s="17" t="n"/>
      <c r="I214" s="17" t="n"/>
      <c r="J214" s="18" t="n"/>
      <c r="K214" s="19" t="n"/>
      <c r="L214" s="17" t="n"/>
      <c r="M214" s="17" t="n"/>
      <c r="N214" s="22">
        <f>IF(Teilnehmer!F4="EH-Ausbildung","☑","☐")</f>
        <v/>
      </c>
      <c r="O214" s="21" t="inlineStr">
        <is>
          <t>Ausbildung¹ für betriebliche Ersthelfende</t>
        </is>
      </c>
      <c r="P214" s="17" t="n"/>
      <c r="Q214" s="17" t="n"/>
      <c r="R214" s="17" t="n"/>
      <c r="S214" s="17" t="n"/>
    </row>
    <row r="215" ht="15" customHeight="1">
      <c r="A215" s="17" t="n"/>
      <c r="B215" s="17" t="n"/>
      <c r="C215" s="17" t="n"/>
      <c r="D215" s="22">
        <f>IF(Teilnehmer!F4="EH-Fortbildung","☑","☐")</f>
        <v/>
      </c>
      <c r="E215" s="21" t="inlineStr">
        <is>
          <t>Fortbildung für betriebliche Ersthelfende</t>
        </is>
      </c>
      <c r="F215" s="17" t="n"/>
      <c r="G215" s="17" t="n"/>
      <c r="H215" s="17" t="n"/>
      <c r="I215" s="17" t="n"/>
      <c r="J215" s="18" t="n"/>
      <c r="K215" s="19" t="n"/>
      <c r="L215" s="17" t="n"/>
      <c r="M215" s="17" t="n"/>
      <c r="N215" s="22">
        <f>IF(Teilnehmer!F4="EH-Fortbildung","☑","☐")</f>
        <v/>
      </c>
      <c r="O215" s="21" t="inlineStr">
        <is>
          <t>Fortbildung für betriebliche Ersthelfende</t>
        </is>
      </c>
      <c r="P215" s="17" t="n"/>
      <c r="Q215" s="17" t="n"/>
      <c r="R215" s="17" t="n"/>
      <c r="S215" s="17" t="n"/>
    </row>
    <row r="216" ht="15" customHeight="1">
      <c r="A216" s="17" t="n"/>
      <c r="B216" s="17" t="n"/>
      <c r="C216" s="17" t="n"/>
      <c r="D216" s="22">
        <f>IF(Teilnehmer!F4="EH-Schulung","☑","☐")</f>
        <v/>
      </c>
      <c r="E216" s="21" t="inlineStr">
        <is>
          <t>Schulung in Bildungs- und Betreuungs-</t>
        </is>
      </c>
      <c r="F216" s="17" t="n"/>
      <c r="G216" s="17" t="n"/>
      <c r="H216" s="17" t="n"/>
      <c r="I216" s="17" t="n"/>
      <c r="J216" s="18" t="n"/>
      <c r="K216" s="19" t="n"/>
      <c r="L216" s="17" t="n"/>
      <c r="M216" s="17" t="n"/>
      <c r="N216" s="22">
        <f>IF(Teilnehmer!F4="EH-Schulung","☑","☐")</f>
        <v/>
      </c>
      <c r="O216" s="21" t="inlineStr">
        <is>
          <t>Schulung in Bildungs- und Betreuungs-</t>
        </is>
      </c>
      <c r="P216" s="17" t="n"/>
      <c r="Q216" s="17" t="n"/>
      <c r="R216" s="17" t="n"/>
      <c r="S216" s="17" t="n"/>
    </row>
    <row r="217" ht="13" customHeight="1">
      <c r="A217" s="17" t="n"/>
      <c r="B217" s="17" t="n"/>
      <c r="C217" s="17" t="n"/>
      <c r="D217" s="23" t="inlineStr">
        <is>
          <t>einrichtungen für Kinder</t>
        </is>
      </c>
      <c r="E217" s="17" t="n"/>
      <c r="F217" s="17" t="n"/>
      <c r="G217" s="17" t="n"/>
      <c r="H217" s="17" t="n"/>
      <c r="I217" s="17" t="n"/>
      <c r="J217" s="18" t="n"/>
      <c r="K217" s="19" t="n"/>
      <c r="L217" s="17" t="n"/>
      <c r="M217" s="17" t="n"/>
      <c r="N217" s="23" t="inlineStr">
        <is>
          <t>einrichtungen für Kinder</t>
        </is>
      </c>
      <c r="O217" s="17" t="n"/>
      <c r="P217" s="17" t="n"/>
      <c r="Q217" s="17" t="n"/>
      <c r="R217" s="17" t="n"/>
      <c r="S217" s="17" t="n"/>
    </row>
    <row r="218" ht="10" customHeight="1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8" t="n"/>
      <c r="K218" s="19" t="n"/>
      <c r="L218" s="17" t="n"/>
      <c r="M218" s="17" t="n"/>
      <c r="N218" s="17" t="n"/>
      <c r="O218" s="17" t="n"/>
      <c r="P218" s="17" t="n"/>
      <c r="Q218" s="17" t="n"/>
      <c r="R218" s="17" t="n"/>
      <c r="S218" s="17" t="n"/>
    </row>
    <row r="219" ht="9" customHeight="1">
      <c r="A219" s="24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18" t="n"/>
      <c r="K219" s="25" t="n"/>
      <c r="L219" s="24" t="n"/>
      <c r="M219" s="24" t="n"/>
      <c r="N219" s="24" t="n"/>
      <c r="O219" s="24" t="n"/>
      <c r="P219" s="24" t="n"/>
      <c r="Q219" s="24" t="n"/>
      <c r="R219" s="24" t="n"/>
      <c r="S219" s="24" t="n"/>
    </row>
    <row r="220" ht="18" customHeight="1">
      <c r="A220" s="24" t="n"/>
      <c r="B220" s="26">
        <f>Teilnehmer!B23</f>
        <v/>
      </c>
      <c r="C220" s="24" t="n"/>
      <c r="D220" s="24" t="n"/>
      <c r="E220" s="24" t="n"/>
      <c r="F220" s="26">
        <f>Teilnehmer!C23</f>
        <v/>
      </c>
      <c r="G220" s="24" t="n"/>
      <c r="H220" s="27" t="inlineStr">
        <is>
          <t>geb. am:</t>
        </is>
      </c>
      <c r="I220" s="26">
        <f>TEXT(Teilnehmer!D23,"DD.MM.YYYY")</f>
        <v/>
      </c>
      <c r="J220" s="18" t="n"/>
      <c r="K220" s="25" t="n"/>
      <c r="L220" s="26">
        <f>Teilnehmer!B24</f>
        <v/>
      </c>
      <c r="M220" s="24" t="n"/>
      <c r="N220" s="24" t="n"/>
      <c r="O220" s="24" t="n"/>
      <c r="P220" s="26">
        <f>Teilnehmer!C24</f>
        <v/>
      </c>
      <c r="Q220" s="24" t="n"/>
      <c r="R220" s="27" t="inlineStr">
        <is>
          <t>geb. am:</t>
        </is>
      </c>
      <c r="S220" s="26">
        <f>TEXT(Teilnehmer!D24,"DD.MM.YYYY")</f>
        <v/>
      </c>
    </row>
    <row r="221" ht="9" customHeight="1">
      <c r="A221" s="24" t="n"/>
      <c r="B221" s="28" t="inlineStr">
        <is>
          <t>Name</t>
        </is>
      </c>
      <c r="C221" s="24" t="n"/>
      <c r="D221" s="24" t="n"/>
      <c r="E221" s="24" t="n"/>
      <c r="F221" s="28" t="inlineStr">
        <is>
          <t>Vorname</t>
        </is>
      </c>
      <c r="G221" s="24" t="n"/>
      <c r="H221" s="24" t="n"/>
      <c r="I221" s="24" t="n"/>
      <c r="J221" s="18" t="n"/>
      <c r="K221" s="25" t="n"/>
      <c r="L221" s="28" t="inlineStr">
        <is>
          <t>Name</t>
        </is>
      </c>
      <c r="M221" s="24" t="n"/>
      <c r="N221" s="24" t="n"/>
      <c r="O221" s="24" t="n"/>
      <c r="P221" s="28" t="inlineStr">
        <is>
          <t>Vorname</t>
        </is>
      </c>
      <c r="Q221" s="24" t="n"/>
      <c r="R221" s="24" t="n"/>
      <c r="S221" s="24" t="n"/>
    </row>
    <row r="222" ht="16" customHeight="1">
      <c r="A222" s="24" t="n"/>
      <c r="B222" s="29" t="inlineStr">
        <is>
          <t>hat an dem 9 Unterrichtseinheiten (Nettounterrichtszeit 9 × 45 Minuten) umfassenden Lehrgang</t>
        </is>
      </c>
      <c r="C222" s="24" t="n"/>
      <c r="D222" s="24" t="n"/>
      <c r="E222" s="24" t="n"/>
      <c r="F222" s="24" t="n"/>
      <c r="G222" s="24" t="n"/>
      <c r="H222" s="24" t="n"/>
      <c r="I222" s="24" t="n"/>
      <c r="J222" s="18" t="n"/>
      <c r="K222" s="25" t="n"/>
      <c r="L222" s="29" t="inlineStr">
        <is>
          <t>hat an dem 9 Unterrichtseinheiten (Nettounterrichtszeit 9 × 45 Minuten) umfassenden Lehrgang</t>
        </is>
      </c>
      <c r="M222" s="24" t="n"/>
      <c r="N222" s="24" t="n"/>
      <c r="O222" s="24" t="n"/>
      <c r="P222" s="24" t="n"/>
      <c r="Q222" s="24" t="n"/>
      <c r="R222" s="24" t="n"/>
      <c r="S222" s="24" t="n"/>
    </row>
    <row r="223" ht="9" customHeight="1">
      <c r="A223" s="24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18" t="n"/>
      <c r="K223" s="25" t="n"/>
      <c r="L223" s="24" t="n"/>
      <c r="M223" s="24" t="n"/>
      <c r="N223" s="24" t="n"/>
      <c r="O223" s="24" t="n"/>
      <c r="P223" s="24" t="n"/>
      <c r="Q223" s="24" t="n"/>
      <c r="R223" s="24" t="n"/>
      <c r="S223" s="24" t="n"/>
    </row>
    <row r="224" ht="16" customHeight="1">
      <c r="A224" s="24" t="n"/>
      <c r="B224" s="27" t="inlineStr">
        <is>
          <t>am</t>
        </is>
      </c>
      <c r="C224" s="30">
        <f>TEXT(Teilnehmer!C3,"DD.MM.YYYY")</f>
        <v/>
      </c>
      <c r="D224" s="27" t="inlineStr">
        <is>
          <t>in der Zeit von</t>
        </is>
      </c>
      <c r="E224" s="30">
        <f>TEXT(Teilnehmer!F3,"HH:MM")</f>
        <v/>
      </c>
      <c r="F224" s="31" t="inlineStr">
        <is>
          <t>Uhr bis</t>
        </is>
      </c>
      <c r="G224" s="30">
        <f>TEXT(Teilnehmer!H3,"HH:MM")</f>
        <v/>
      </c>
      <c r="H224" s="27" t="inlineStr">
        <is>
          <t>Uhr</t>
        </is>
      </c>
      <c r="I224" s="24" t="n"/>
      <c r="J224" s="18" t="n"/>
      <c r="K224" s="25" t="n"/>
      <c r="L224" s="27" t="inlineStr">
        <is>
          <t>am</t>
        </is>
      </c>
      <c r="M224" s="30">
        <f>TEXT(Teilnehmer!C3,"DD.MM.YYYY")</f>
        <v/>
      </c>
      <c r="N224" s="27" t="inlineStr">
        <is>
          <t>in der Zeit von</t>
        </is>
      </c>
      <c r="O224" s="30">
        <f>TEXT(Teilnehmer!F3,"HH:MM")</f>
        <v/>
      </c>
      <c r="P224" s="31" t="inlineStr">
        <is>
          <t>Uhr bis</t>
        </is>
      </c>
      <c r="Q224" s="30">
        <f>TEXT(Teilnehmer!H3,"HH:MM")</f>
        <v/>
      </c>
      <c r="R224" s="27" t="inlineStr">
        <is>
          <t>Uhr</t>
        </is>
      </c>
      <c r="S224" s="24" t="n"/>
    </row>
    <row r="225" ht="9" customHeight="1">
      <c r="A225" s="24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18" t="n"/>
      <c r="K225" s="25" t="n"/>
      <c r="L225" s="24" t="n"/>
      <c r="M225" s="24" t="n"/>
      <c r="N225" s="24" t="n"/>
      <c r="O225" s="24" t="n"/>
      <c r="P225" s="24" t="n"/>
      <c r="Q225" s="24" t="n"/>
      <c r="R225" s="24" t="n"/>
      <c r="S225" s="24" t="n"/>
    </row>
    <row r="226" ht="16" customHeight="1">
      <c r="A226" s="24" t="n"/>
      <c r="B226" s="27" t="inlineStr">
        <is>
          <t>unter der Leitung von</t>
        </is>
      </c>
      <c r="C226" s="24" t="n"/>
      <c r="D226" s="32">
        <f>Teilnehmer!C4</f>
        <v/>
      </c>
      <c r="E226" s="33" t="n"/>
      <c r="F226" s="33" t="n"/>
      <c r="G226" s="33" t="n"/>
      <c r="H226" s="27" t="inlineStr">
        <is>
          <t>erfolgreich</t>
        </is>
      </c>
      <c r="I226" s="27" t="inlineStr">
        <is>
          <t>teilgen.</t>
        </is>
      </c>
      <c r="J226" s="18" t="n"/>
      <c r="K226" s="25" t="n"/>
      <c r="L226" s="27" t="inlineStr">
        <is>
          <t>unter der Leitung von</t>
        </is>
      </c>
      <c r="M226" s="24" t="n"/>
      <c r="N226" s="32">
        <f>Teilnehmer!C4</f>
        <v/>
      </c>
      <c r="O226" s="33" t="n"/>
      <c r="P226" s="33" t="n"/>
      <c r="Q226" s="33" t="n"/>
      <c r="R226" s="27" t="inlineStr">
        <is>
          <t>erfolgreich</t>
        </is>
      </c>
      <c r="S226" s="27" t="inlineStr">
        <is>
          <t>teilgen.</t>
        </is>
      </c>
    </row>
    <row r="227" ht="9" customHeight="1">
      <c r="A227" s="24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18" t="n"/>
      <c r="K227" s="25" t="n"/>
      <c r="L227" s="24" t="n"/>
      <c r="M227" s="24" t="n"/>
      <c r="N227" s="24" t="n"/>
      <c r="O227" s="24" t="n"/>
      <c r="P227" s="24" t="n"/>
      <c r="Q227" s="24" t="n"/>
      <c r="R227" s="24" t="n"/>
      <c r="S227" s="24" t="n"/>
    </row>
    <row r="228" ht="14" customHeight="1">
      <c r="A228" s="24" t="n"/>
      <c r="B228" s="27" t="inlineStr">
        <is>
          <t>Teilnehmerunterlagen ausgehändigt:    ☐ Ja    ☐ Nein</t>
        </is>
      </c>
      <c r="C228" s="24" t="n"/>
      <c r="D228" s="24" t="n"/>
      <c r="E228" s="24" t="n"/>
      <c r="F228" s="24" t="n"/>
      <c r="G228" s="24" t="n"/>
      <c r="H228" s="24" t="n"/>
      <c r="I228" s="24" t="n"/>
      <c r="J228" s="18" t="n"/>
      <c r="K228" s="25" t="n"/>
      <c r="L228" s="27" t="inlineStr">
        <is>
          <t>Teilnehmerunterlagen ausgehändigt:    ☐ Ja    ☐ Nein</t>
        </is>
      </c>
      <c r="M228" s="24" t="n"/>
      <c r="N228" s="24" t="n"/>
      <c r="O228" s="24" t="n"/>
      <c r="P228" s="24" t="n"/>
      <c r="Q228" s="24" t="n"/>
      <c r="R228" s="24" t="n"/>
      <c r="S228" s="24" t="n"/>
    </row>
    <row r="229" ht="8" customHeight="1">
      <c r="A229" s="24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18" t="n"/>
      <c r="K229" s="25" t="n"/>
      <c r="L229" s="24" t="n"/>
      <c r="M229" s="24" t="n"/>
      <c r="N229" s="24" t="n"/>
      <c r="O229" s="24" t="n"/>
      <c r="P229" s="24" t="n"/>
      <c r="Q229" s="24" t="n"/>
      <c r="R229" s="24" t="n"/>
      <c r="S229" s="24" t="n"/>
    </row>
    <row r="230" ht="16" customHeight="1">
      <c r="A230" s="24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18" t="n"/>
      <c r="K230" s="25" t="n"/>
      <c r="L230" s="24" t="n"/>
      <c r="M230" s="24" t="n"/>
      <c r="N230" s="24" t="n"/>
      <c r="O230" s="24" t="n"/>
      <c r="P230" s="24" t="n"/>
      <c r="Q230" s="24" t="n"/>
      <c r="R230" s="24" t="n"/>
      <c r="S230" s="24" t="n"/>
    </row>
    <row r="231" ht="16" customHeight="1">
      <c r="A231" s="24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18" t="n"/>
      <c r="K231" s="25" t="n"/>
      <c r="L231" s="24" t="n"/>
      <c r="M231" s="24" t="n"/>
      <c r="N231" s="24" t="n"/>
      <c r="O231" s="24" t="n"/>
      <c r="P231" s="24" t="n"/>
      <c r="Q231" s="24" t="n"/>
      <c r="R231" s="24" t="n"/>
      <c r="S231" s="24" t="n"/>
    </row>
    <row r="232" ht="16" customHeight="1">
      <c r="A232" s="24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18" t="n"/>
      <c r="K232" s="25" t="n"/>
      <c r="L232" s="24" t="n"/>
      <c r="M232" s="24" t="n"/>
      <c r="N232" s="24" t="n"/>
      <c r="O232" s="24" t="n"/>
      <c r="P232" s="24" t="n"/>
      <c r="Q232" s="24" t="n"/>
      <c r="R232" s="24" t="n"/>
      <c r="S232" s="24" t="n"/>
    </row>
    <row r="233" ht="16" customHeight="1">
      <c r="A233" s="24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18" t="n"/>
      <c r="K233" s="25" t="n"/>
      <c r="L233" s="24" t="n"/>
      <c r="M233" s="24" t="n"/>
      <c r="N233" s="24" t="n"/>
      <c r="O233" s="24" t="n"/>
      <c r="P233" s="24" t="n"/>
      <c r="Q233" s="24" t="n"/>
      <c r="R233" s="24" t="n"/>
      <c r="S233" s="24" t="n"/>
    </row>
    <row r="234" ht="16" customHeight="1">
      <c r="A234" s="24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18" t="n"/>
      <c r="K234" s="25" t="n"/>
      <c r="L234" s="24" t="n"/>
      <c r="M234" s="24" t="n"/>
      <c r="N234" s="24" t="n"/>
      <c r="O234" s="24" t="n"/>
      <c r="P234" s="24" t="n"/>
      <c r="Q234" s="24" t="n"/>
      <c r="R234" s="24" t="n"/>
      <c r="S234" s="24" t="n"/>
    </row>
    <row r="235" ht="13" customHeight="1">
      <c r="A235" s="24" t="n"/>
      <c r="B235" s="34" t="inlineStr">
        <is>
          <t>Erste Hilfe Handbuch
(DGUV Information 204-007)</t>
        </is>
      </c>
      <c r="C235" s="24" t="n"/>
      <c r="D235" s="24" t="n"/>
      <c r="E235" s="34" t="inlineStr">
        <is>
          <t>Handbuch zur Ersten Hilfe in Bildungs-
und Betreuungseinrichtungen für Kinder
(DGUV Information 204-008)</t>
        </is>
      </c>
      <c r="F235" s="24" t="n"/>
      <c r="G235" s="24" t="n"/>
      <c r="H235" s="24" t="n"/>
      <c r="I235" s="24" t="n"/>
      <c r="J235" s="18" t="n"/>
      <c r="K235" s="25" t="n"/>
      <c r="L235" s="34" t="inlineStr">
        <is>
          <t>Erste Hilfe Handbuch
(DGUV Information 204-007)</t>
        </is>
      </c>
      <c r="M235" s="24" t="n"/>
      <c r="N235" s="24" t="n"/>
      <c r="O235" s="34" t="inlineStr">
        <is>
          <t>Handbuch zur Ersten Hilfe in Bildungs-
und Betreuungseinrichtungen für Kinder
(DGUV Information 204-008)</t>
        </is>
      </c>
      <c r="P235" s="24" t="n"/>
      <c r="Q235" s="24" t="n"/>
      <c r="R235" s="24" t="n"/>
      <c r="S235" s="24" t="n"/>
    </row>
    <row r="236" ht="12" customHeight="1">
      <c r="A236" s="24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18" t="n"/>
      <c r="K236" s="25" t="n"/>
      <c r="L236" s="24" t="n"/>
      <c r="M236" s="24" t="n"/>
      <c r="N236" s="24" t="n"/>
      <c r="O236" s="24" t="n"/>
      <c r="P236" s="24" t="n"/>
      <c r="Q236" s="24" t="n"/>
      <c r="R236" s="24" t="n"/>
      <c r="S236" s="24" t="n"/>
    </row>
    <row r="237" ht="8" customHeight="1">
      <c r="A237" s="24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18" t="n"/>
      <c r="K237" s="25" t="n"/>
      <c r="L237" s="24" t="n"/>
      <c r="M237" s="24" t="n"/>
      <c r="N237" s="24" t="n"/>
      <c r="O237" s="24" t="n"/>
      <c r="P237" s="24" t="n"/>
      <c r="Q237" s="24" t="n"/>
      <c r="R237" s="24" t="n"/>
      <c r="S237" s="24" t="n"/>
    </row>
    <row r="238" ht="20" customHeight="1">
      <c r="A238" s="24" t="n"/>
      <c r="B238" s="26">
        <f>Teilnehmer!C7&amp;", den "&amp;TEXT(Teilnehmer!C3,"DD.MM.YYYY")</f>
        <v/>
      </c>
      <c r="C238" s="24" t="n"/>
      <c r="D238" s="24" t="n"/>
      <c r="E238" s="35" t="n"/>
      <c r="F238" s="24" t="n"/>
      <c r="G238" s="24" t="n"/>
      <c r="H238" s="24" t="n"/>
      <c r="I238" s="24" t="n"/>
      <c r="J238" s="18" t="n"/>
      <c r="K238" s="25" t="n"/>
      <c r="L238" s="26">
        <f>Teilnehmer!C7&amp;", den "&amp;TEXT(Teilnehmer!C3,"DD.MM.YYYY")</f>
        <v/>
      </c>
      <c r="M238" s="24" t="n"/>
      <c r="N238" s="24" t="n"/>
      <c r="O238" s="35" t="n"/>
      <c r="P238" s="24" t="n"/>
      <c r="Q238" s="24" t="n"/>
      <c r="R238" s="24" t="n"/>
      <c r="S238" s="24" t="n"/>
    </row>
    <row r="239" ht="13" customHeight="1">
      <c r="A239" s="24" t="n"/>
      <c r="B239" s="28" t="inlineStr">
        <is>
          <t>Ort</t>
        </is>
      </c>
      <c r="C239" s="24" t="n"/>
      <c r="D239" s="28" t="inlineStr">
        <is>
          <t>Datum</t>
        </is>
      </c>
      <c r="E239" s="28" t="inlineStr">
        <is>
          <t>Unterschrift der Lehrkraft</t>
        </is>
      </c>
      <c r="F239" s="24" t="n"/>
      <c r="G239" s="24" t="n"/>
      <c r="H239" s="24" t="n"/>
      <c r="I239" s="24" t="n"/>
      <c r="J239" s="18" t="n"/>
      <c r="K239" s="25" t="n"/>
      <c r="L239" s="28" t="inlineStr">
        <is>
          <t>Ort</t>
        </is>
      </c>
      <c r="M239" s="24" t="n"/>
      <c r="N239" s="28" t="inlineStr">
        <is>
          <t>Datum</t>
        </is>
      </c>
      <c r="O239" s="28" t="inlineStr">
        <is>
          <t>Unterschrift der Lehrkraft</t>
        </is>
      </c>
      <c r="P239" s="24" t="n"/>
      <c r="Q239" s="24" t="n"/>
      <c r="R239" s="24" t="n"/>
      <c r="S239" s="24" t="n"/>
    </row>
    <row r="240" ht="8" customHeight="1">
      <c r="A240" s="24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18" t="n"/>
      <c r="K240" s="25" t="n"/>
      <c r="L240" s="24" t="n"/>
      <c r="M240" s="24" t="n"/>
      <c r="N240" s="24" t="n"/>
      <c r="O240" s="24" t="n"/>
      <c r="P240" s="24" t="n"/>
      <c r="Q240" s="24" t="n"/>
      <c r="R240" s="24" t="n"/>
      <c r="S240" s="24" t="n"/>
    </row>
    <row r="241" ht="3" customHeight="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8" t="n"/>
      <c r="K241" s="19" t="n"/>
      <c r="L241" s="17" t="n"/>
      <c r="M241" s="17" t="n"/>
      <c r="N241" s="17" t="n"/>
      <c r="O241" s="17" t="n"/>
      <c r="P241" s="17" t="n"/>
      <c r="Q241" s="17" t="n"/>
      <c r="R241" s="17" t="n"/>
      <c r="S241" s="17" t="n"/>
    </row>
    <row r="242" ht="18" customHeight="1">
      <c r="A242" s="17" t="n"/>
      <c r="B242" s="36" t="inlineStr">
        <is>
          <t>Name der ermächtigten Stelle:</t>
        </is>
      </c>
      <c r="C242" s="17" t="n"/>
      <c r="D242" s="37" t="inlineStr">
        <is>
          <t>Mercedes-Benz AG</t>
        </is>
      </c>
      <c r="E242" s="17" t="n"/>
      <c r="F242" s="17" t="n"/>
      <c r="G242" s="17" t="n"/>
      <c r="H242" s="17" t="n"/>
      <c r="I242" s="17" t="n"/>
      <c r="J242" s="18" t="n"/>
      <c r="K242" s="19" t="n"/>
      <c r="L242" s="36" t="inlineStr">
        <is>
          <t>Name der ermächtigten Stelle:</t>
        </is>
      </c>
      <c r="M242" s="17" t="n"/>
      <c r="N242" s="37" t="inlineStr">
        <is>
          <t>Mercedes-Benz AG</t>
        </is>
      </c>
      <c r="O242" s="17" t="n"/>
      <c r="P242" s="17" t="n"/>
      <c r="Q242" s="17" t="n"/>
      <c r="R242" s="17" t="n"/>
      <c r="S242" s="17" t="n"/>
    </row>
    <row r="243" ht="16" customHeight="1">
      <c r="A243" s="17" t="n"/>
      <c r="B243" s="38" t="inlineStr">
        <is>
          <t>Kennnummer gemäß
§ 26 DGUV Vorschrift 1:</t>
        </is>
      </c>
      <c r="C243" s="17" t="n"/>
      <c r="D243" s="37" t="inlineStr">
        <is>
          <t>7.0103</t>
        </is>
      </c>
      <c r="E243" s="17" t="n"/>
      <c r="F243" s="17" t="n"/>
      <c r="G243" s="17" t="n"/>
      <c r="H243" s="17" t="n"/>
      <c r="I243" s="17" t="n"/>
      <c r="J243" s="18" t="n"/>
      <c r="K243" s="19" t="n"/>
      <c r="L243" s="38" t="inlineStr">
        <is>
          <t>Kennnummer gemäß
§ 26 DGUV Vorschrift 1:</t>
        </is>
      </c>
      <c r="M243" s="17" t="n"/>
      <c r="N243" s="37" t="inlineStr">
        <is>
          <t>7.0103</t>
        </is>
      </c>
      <c r="O243" s="17" t="n"/>
      <c r="P243" s="17" t="n"/>
      <c r="Q243" s="17" t="n"/>
      <c r="R243" s="17" t="n"/>
      <c r="S243" s="17" t="n"/>
    </row>
    <row r="244" ht="16" customHeight="1">
      <c r="A244" s="17" t="n"/>
      <c r="B244" s="36" t="inlineStr">
        <is>
          <t>Registriernummer der Schulung:</t>
        </is>
      </c>
      <c r="C244" s="17" t="n"/>
      <c r="D244" s="37">
        <f>Teilnehmer!C5</f>
        <v/>
      </c>
      <c r="E244" s="17" t="n"/>
      <c r="F244" s="17" t="n"/>
      <c r="G244" s="17" t="n"/>
      <c r="H244" s="17" t="n"/>
      <c r="I244" s="17" t="n"/>
      <c r="J244" s="18" t="n"/>
      <c r="K244" s="19" t="n"/>
      <c r="L244" s="36" t="inlineStr">
        <is>
          <t>Registriernummer der Schulung:</t>
        </is>
      </c>
      <c r="M244" s="17" t="n"/>
      <c r="N244" s="37">
        <f>Teilnehmer!C5</f>
        <v/>
      </c>
      <c r="O244" s="17" t="n"/>
      <c r="P244" s="17" t="n"/>
      <c r="Q244" s="17" t="n"/>
      <c r="R244" s="17" t="n"/>
      <c r="S244" s="17" t="n"/>
    </row>
    <row r="245" ht="11" customHeight="1">
      <c r="A245" s="39" t="inlineStr">
        <is>
          <t>¹ Die Teilnahme an der Ausbildung in betrieblicher Erster Hilfe gilt als Schulung in Erster Hilfe gem. § 19 FeV.   |   Stand Oktober 2023</t>
        </is>
      </c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8" t="n"/>
      <c r="K245" s="40" t="inlineStr">
        <is>
          <t>¹ Die Teilnahme an der Ausbildung in betrieblicher Erster Hilfe gilt als Schulung in Erster Hilfe gem. § 19 FeV.   |   Stand Oktober 2023</t>
        </is>
      </c>
      <c r="L245" s="17" t="n"/>
      <c r="M245" s="17" t="n"/>
      <c r="N245" s="17" t="n"/>
      <c r="O245" s="17" t="n"/>
      <c r="P245" s="17" t="n"/>
      <c r="Q245" s="17" t="n"/>
      <c r="R245" s="17" t="n"/>
      <c r="S245" s="17" t="n"/>
    </row>
    <row r="246" ht="12" customHeight="1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8" t="n"/>
      <c r="K246" s="19" t="n"/>
      <c r="L246" s="17" t="n"/>
      <c r="M246" s="17" t="n"/>
      <c r="N246" s="17" t="n"/>
      <c r="O246" s="17" t="n"/>
      <c r="P246" s="17" t="n"/>
      <c r="Q246" s="17" t="n"/>
      <c r="R246" s="17" t="n"/>
      <c r="S246" s="17" t="n"/>
    </row>
    <row r="247" ht="28" customHeight="1">
      <c r="A247" s="17" t="n"/>
      <c r="B247" s="17" t="n"/>
      <c r="C247" s="17" t="n"/>
      <c r="D247" s="20" t="inlineStr">
        <is>
          <t>Bescheinigung</t>
        </is>
      </c>
      <c r="E247" s="17" t="n"/>
      <c r="F247" s="17" t="n"/>
      <c r="G247" s="17" t="n"/>
      <c r="H247" s="17" t="n"/>
      <c r="I247" s="17" t="n"/>
      <c r="J247" s="18" t="n"/>
      <c r="K247" s="19" t="n"/>
      <c r="L247" s="17" t="n"/>
      <c r="M247" s="17" t="n"/>
      <c r="N247" s="20" t="inlineStr">
        <is>
          <t>Bescheinigung</t>
        </is>
      </c>
      <c r="O247" s="17" t="n"/>
      <c r="P247" s="17" t="n"/>
      <c r="Q247" s="17" t="n"/>
      <c r="R247" s="17" t="n"/>
      <c r="S247" s="17" t="n"/>
    </row>
    <row r="248" ht="16" customHeight="1">
      <c r="A248" s="17" t="n"/>
      <c r="B248" s="17" t="n"/>
      <c r="C248" s="17" t="n"/>
      <c r="D248" s="21" t="inlineStr">
        <is>
          <t>über die Teilnahme an einer Erste-Hilfe-</t>
        </is>
      </c>
      <c r="E248" s="17" t="n"/>
      <c r="F248" s="17" t="n"/>
      <c r="G248" s="17" t="n"/>
      <c r="H248" s="17" t="n"/>
      <c r="I248" s="17" t="n"/>
      <c r="J248" s="18" t="n"/>
      <c r="K248" s="19" t="n"/>
      <c r="L248" s="17" t="n"/>
      <c r="M248" s="17" t="n"/>
      <c r="N248" s="21" t="inlineStr">
        <is>
          <t>über die Teilnahme an einer Erste-Hilfe-</t>
        </is>
      </c>
      <c r="O248" s="17" t="n"/>
      <c r="P248" s="17" t="n"/>
      <c r="Q248" s="17" t="n"/>
      <c r="R248" s="17" t="n"/>
      <c r="S248" s="17" t="n"/>
    </row>
    <row r="249" ht="15" customHeight="1">
      <c r="A249" s="17" t="n"/>
      <c r="B249" s="17" t="n"/>
      <c r="C249" s="17" t="n"/>
      <c r="D249" s="22">
        <f>IF(Teilnehmer!F4="EH-Ausbildung","☑","☐")</f>
        <v/>
      </c>
      <c r="E249" s="21" t="inlineStr">
        <is>
          <t>Ausbildung¹ für betriebliche Ersthelfende</t>
        </is>
      </c>
      <c r="F249" s="17" t="n"/>
      <c r="G249" s="17" t="n"/>
      <c r="H249" s="17" t="n"/>
      <c r="I249" s="17" t="n"/>
      <c r="J249" s="18" t="n"/>
      <c r="K249" s="19" t="n"/>
      <c r="L249" s="17" t="n"/>
      <c r="M249" s="17" t="n"/>
      <c r="N249" s="22">
        <f>IF(Teilnehmer!F4="EH-Ausbildung","☑","☐")</f>
        <v/>
      </c>
      <c r="O249" s="21" t="inlineStr">
        <is>
          <t>Ausbildung¹ für betriebliche Ersthelfende</t>
        </is>
      </c>
      <c r="P249" s="17" t="n"/>
      <c r="Q249" s="17" t="n"/>
      <c r="R249" s="17" t="n"/>
      <c r="S249" s="17" t="n"/>
    </row>
    <row r="250" ht="15" customHeight="1">
      <c r="A250" s="17" t="n"/>
      <c r="B250" s="17" t="n"/>
      <c r="C250" s="17" t="n"/>
      <c r="D250" s="22">
        <f>IF(Teilnehmer!F4="EH-Fortbildung","☑","☐")</f>
        <v/>
      </c>
      <c r="E250" s="21" t="inlineStr">
        <is>
          <t>Fortbildung für betriebliche Ersthelfende</t>
        </is>
      </c>
      <c r="F250" s="17" t="n"/>
      <c r="G250" s="17" t="n"/>
      <c r="H250" s="17" t="n"/>
      <c r="I250" s="17" t="n"/>
      <c r="J250" s="18" t="n"/>
      <c r="K250" s="19" t="n"/>
      <c r="L250" s="17" t="n"/>
      <c r="M250" s="17" t="n"/>
      <c r="N250" s="22">
        <f>IF(Teilnehmer!F4="EH-Fortbildung","☑","☐")</f>
        <v/>
      </c>
      <c r="O250" s="21" t="inlineStr">
        <is>
          <t>Fortbildung für betriebliche Ersthelfende</t>
        </is>
      </c>
      <c r="P250" s="17" t="n"/>
      <c r="Q250" s="17" t="n"/>
      <c r="R250" s="17" t="n"/>
      <c r="S250" s="17" t="n"/>
    </row>
    <row r="251" ht="15" customHeight="1">
      <c r="A251" s="17" t="n"/>
      <c r="B251" s="17" t="n"/>
      <c r="C251" s="17" t="n"/>
      <c r="D251" s="22">
        <f>IF(Teilnehmer!F4="EH-Schulung","☑","☐")</f>
        <v/>
      </c>
      <c r="E251" s="21" t="inlineStr">
        <is>
          <t>Schulung in Bildungs- und Betreuungs-</t>
        </is>
      </c>
      <c r="F251" s="17" t="n"/>
      <c r="G251" s="17" t="n"/>
      <c r="H251" s="17" t="n"/>
      <c r="I251" s="17" t="n"/>
      <c r="J251" s="18" t="n"/>
      <c r="K251" s="19" t="n"/>
      <c r="L251" s="17" t="n"/>
      <c r="M251" s="17" t="n"/>
      <c r="N251" s="22">
        <f>IF(Teilnehmer!F4="EH-Schulung","☑","☐")</f>
        <v/>
      </c>
      <c r="O251" s="21" t="inlineStr">
        <is>
          <t>Schulung in Bildungs- und Betreuungs-</t>
        </is>
      </c>
      <c r="P251" s="17" t="n"/>
      <c r="Q251" s="17" t="n"/>
      <c r="R251" s="17" t="n"/>
      <c r="S251" s="17" t="n"/>
    </row>
    <row r="252" ht="13" customHeight="1">
      <c r="A252" s="17" t="n"/>
      <c r="B252" s="17" t="n"/>
      <c r="C252" s="17" t="n"/>
      <c r="D252" s="23" t="inlineStr">
        <is>
          <t>einrichtungen für Kinder</t>
        </is>
      </c>
      <c r="E252" s="17" t="n"/>
      <c r="F252" s="17" t="n"/>
      <c r="G252" s="17" t="n"/>
      <c r="H252" s="17" t="n"/>
      <c r="I252" s="17" t="n"/>
      <c r="J252" s="18" t="n"/>
      <c r="K252" s="19" t="n"/>
      <c r="L252" s="17" t="n"/>
      <c r="M252" s="17" t="n"/>
      <c r="N252" s="23" t="inlineStr">
        <is>
          <t>einrichtungen für Kinder</t>
        </is>
      </c>
      <c r="O252" s="17" t="n"/>
      <c r="P252" s="17" t="n"/>
      <c r="Q252" s="17" t="n"/>
      <c r="R252" s="17" t="n"/>
      <c r="S252" s="17" t="n"/>
    </row>
    <row r="253" ht="10" customHeight="1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8" t="n"/>
      <c r="K253" s="19" t="n"/>
      <c r="L253" s="17" t="n"/>
      <c r="M253" s="17" t="n"/>
      <c r="N253" s="17" t="n"/>
      <c r="O253" s="17" t="n"/>
      <c r="P253" s="17" t="n"/>
      <c r="Q253" s="17" t="n"/>
      <c r="R253" s="17" t="n"/>
      <c r="S253" s="17" t="n"/>
    </row>
    <row r="254" ht="9" customHeight="1">
      <c r="A254" s="24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18" t="n"/>
      <c r="K254" s="25" t="n"/>
      <c r="L254" s="24" t="n"/>
      <c r="M254" s="24" t="n"/>
      <c r="N254" s="24" t="n"/>
      <c r="O254" s="24" t="n"/>
      <c r="P254" s="24" t="n"/>
      <c r="Q254" s="24" t="n"/>
      <c r="R254" s="24" t="n"/>
      <c r="S254" s="24" t="n"/>
    </row>
    <row r="255" ht="18" customHeight="1">
      <c r="A255" s="24" t="n"/>
      <c r="B255" s="26">
        <f>Teilnehmer!B25</f>
        <v/>
      </c>
      <c r="C255" s="24" t="n"/>
      <c r="D255" s="24" t="n"/>
      <c r="E255" s="24" t="n"/>
      <c r="F255" s="26">
        <f>Teilnehmer!C25</f>
        <v/>
      </c>
      <c r="G255" s="24" t="n"/>
      <c r="H255" s="27" t="inlineStr">
        <is>
          <t>geb. am:</t>
        </is>
      </c>
      <c r="I255" s="26">
        <f>TEXT(Teilnehmer!D25,"DD.MM.YYYY")</f>
        <v/>
      </c>
      <c r="J255" s="18" t="n"/>
      <c r="K255" s="25" t="n"/>
      <c r="L255" s="26">
        <f>Teilnehmer!B26</f>
        <v/>
      </c>
      <c r="M255" s="24" t="n"/>
      <c r="N255" s="24" t="n"/>
      <c r="O255" s="24" t="n"/>
      <c r="P255" s="26">
        <f>Teilnehmer!C26</f>
        <v/>
      </c>
      <c r="Q255" s="24" t="n"/>
      <c r="R255" s="27" t="inlineStr">
        <is>
          <t>geb. am:</t>
        </is>
      </c>
      <c r="S255" s="26">
        <f>TEXT(Teilnehmer!D26,"DD.MM.YYYY")</f>
        <v/>
      </c>
    </row>
    <row r="256" ht="9" customHeight="1">
      <c r="A256" s="24" t="n"/>
      <c r="B256" s="28" t="inlineStr">
        <is>
          <t>Name</t>
        </is>
      </c>
      <c r="C256" s="24" t="n"/>
      <c r="D256" s="24" t="n"/>
      <c r="E256" s="24" t="n"/>
      <c r="F256" s="28" t="inlineStr">
        <is>
          <t>Vorname</t>
        </is>
      </c>
      <c r="G256" s="24" t="n"/>
      <c r="H256" s="24" t="n"/>
      <c r="I256" s="24" t="n"/>
      <c r="J256" s="18" t="n"/>
      <c r="K256" s="25" t="n"/>
      <c r="L256" s="28" t="inlineStr">
        <is>
          <t>Name</t>
        </is>
      </c>
      <c r="M256" s="24" t="n"/>
      <c r="N256" s="24" t="n"/>
      <c r="O256" s="24" t="n"/>
      <c r="P256" s="28" t="inlineStr">
        <is>
          <t>Vorname</t>
        </is>
      </c>
      <c r="Q256" s="24" t="n"/>
      <c r="R256" s="24" t="n"/>
      <c r="S256" s="24" t="n"/>
    </row>
    <row r="257" ht="16" customHeight="1">
      <c r="A257" s="24" t="n"/>
      <c r="B257" s="29" t="inlineStr">
        <is>
          <t>hat an dem 9 Unterrichtseinheiten (Nettounterrichtszeit 9 × 45 Minuten) umfassenden Lehrgang</t>
        </is>
      </c>
      <c r="C257" s="24" t="n"/>
      <c r="D257" s="24" t="n"/>
      <c r="E257" s="24" t="n"/>
      <c r="F257" s="24" t="n"/>
      <c r="G257" s="24" t="n"/>
      <c r="H257" s="24" t="n"/>
      <c r="I257" s="24" t="n"/>
      <c r="J257" s="18" t="n"/>
      <c r="K257" s="25" t="n"/>
      <c r="L257" s="29" t="inlineStr">
        <is>
          <t>hat an dem 9 Unterrichtseinheiten (Nettounterrichtszeit 9 × 45 Minuten) umfassenden Lehrgang</t>
        </is>
      </c>
      <c r="M257" s="24" t="n"/>
      <c r="N257" s="24" t="n"/>
      <c r="O257" s="24" t="n"/>
      <c r="P257" s="24" t="n"/>
      <c r="Q257" s="24" t="n"/>
      <c r="R257" s="24" t="n"/>
      <c r="S257" s="24" t="n"/>
    </row>
    <row r="258" ht="9" customHeight="1">
      <c r="A258" s="24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18" t="n"/>
      <c r="K258" s="25" t="n"/>
      <c r="L258" s="24" t="n"/>
      <c r="M258" s="24" t="n"/>
      <c r="N258" s="24" t="n"/>
      <c r="O258" s="24" t="n"/>
      <c r="P258" s="24" t="n"/>
      <c r="Q258" s="24" t="n"/>
      <c r="R258" s="24" t="n"/>
      <c r="S258" s="24" t="n"/>
    </row>
    <row r="259" ht="16" customHeight="1">
      <c r="A259" s="24" t="n"/>
      <c r="B259" s="27" t="inlineStr">
        <is>
          <t>am</t>
        </is>
      </c>
      <c r="C259" s="30">
        <f>TEXT(Teilnehmer!C3,"DD.MM.YYYY")</f>
        <v/>
      </c>
      <c r="D259" s="27" t="inlineStr">
        <is>
          <t>in der Zeit von</t>
        </is>
      </c>
      <c r="E259" s="30">
        <f>TEXT(Teilnehmer!F3,"HH:MM")</f>
        <v/>
      </c>
      <c r="F259" s="31" t="inlineStr">
        <is>
          <t>Uhr bis</t>
        </is>
      </c>
      <c r="G259" s="30">
        <f>TEXT(Teilnehmer!H3,"HH:MM")</f>
        <v/>
      </c>
      <c r="H259" s="27" t="inlineStr">
        <is>
          <t>Uhr</t>
        </is>
      </c>
      <c r="I259" s="24" t="n"/>
      <c r="J259" s="18" t="n"/>
      <c r="K259" s="25" t="n"/>
      <c r="L259" s="27" t="inlineStr">
        <is>
          <t>am</t>
        </is>
      </c>
      <c r="M259" s="30">
        <f>TEXT(Teilnehmer!C3,"DD.MM.YYYY")</f>
        <v/>
      </c>
      <c r="N259" s="27" t="inlineStr">
        <is>
          <t>in der Zeit von</t>
        </is>
      </c>
      <c r="O259" s="30">
        <f>TEXT(Teilnehmer!F3,"HH:MM")</f>
        <v/>
      </c>
      <c r="P259" s="31" t="inlineStr">
        <is>
          <t>Uhr bis</t>
        </is>
      </c>
      <c r="Q259" s="30">
        <f>TEXT(Teilnehmer!H3,"HH:MM")</f>
        <v/>
      </c>
      <c r="R259" s="27" t="inlineStr">
        <is>
          <t>Uhr</t>
        </is>
      </c>
      <c r="S259" s="24" t="n"/>
    </row>
    <row r="260" ht="9" customHeight="1">
      <c r="A260" s="24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18" t="n"/>
      <c r="K260" s="25" t="n"/>
      <c r="L260" s="24" t="n"/>
      <c r="M260" s="24" t="n"/>
      <c r="N260" s="24" t="n"/>
      <c r="O260" s="24" t="n"/>
      <c r="P260" s="24" t="n"/>
      <c r="Q260" s="24" t="n"/>
      <c r="R260" s="24" t="n"/>
      <c r="S260" s="24" t="n"/>
    </row>
    <row r="261" ht="16" customHeight="1">
      <c r="A261" s="24" t="n"/>
      <c r="B261" s="27" t="inlineStr">
        <is>
          <t>unter der Leitung von</t>
        </is>
      </c>
      <c r="C261" s="24" t="n"/>
      <c r="D261" s="32">
        <f>Teilnehmer!C4</f>
        <v/>
      </c>
      <c r="E261" s="33" t="n"/>
      <c r="F261" s="33" t="n"/>
      <c r="G261" s="33" t="n"/>
      <c r="H261" s="27" t="inlineStr">
        <is>
          <t>erfolgreich</t>
        </is>
      </c>
      <c r="I261" s="27" t="inlineStr">
        <is>
          <t>teilgen.</t>
        </is>
      </c>
      <c r="J261" s="18" t="n"/>
      <c r="K261" s="25" t="n"/>
      <c r="L261" s="27" t="inlineStr">
        <is>
          <t>unter der Leitung von</t>
        </is>
      </c>
      <c r="M261" s="24" t="n"/>
      <c r="N261" s="32">
        <f>Teilnehmer!C4</f>
        <v/>
      </c>
      <c r="O261" s="33" t="n"/>
      <c r="P261" s="33" t="n"/>
      <c r="Q261" s="33" t="n"/>
      <c r="R261" s="27" t="inlineStr">
        <is>
          <t>erfolgreich</t>
        </is>
      </c>
      <c r="S261" s="27" t="inlineStr">
        <is>
          <t>teilgen.</t>
        </is>
      </c>
    </row>
    <row r="262" ht="9" customHeight="1">
      <c r="A262" s="24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18" t="n"/>
      <c r="K262" s="25" t="n"/>
      <c r="L262" s="24" t="n"/>
      <c r="M262" s="24" t="n"/>
      <c r="N262" s="24" t="n"/>
      <c r="O262" s="24" t="n"/>
      <c r="P262" s="24" t="n"/>
      <c r="Q262" s="24" t="n"/>
      <c r="R262" s="24" t="n"/>
      <c r="S262" s="24" t="n"/>
    </row>
    <row r="263" ht="14" customHeight="1">
      <c r="A263" s="24" t="n"/>
      <c r="B263" s="27" t="inlineStr">
        <is>
          <t>Teilnehmerunterlagen ausgehändigt:    ☐ Ja    ☐ Nein</t>
        </is>
      </c>
      <c r="C263" s="24" t="n"/>
      <c r="D263" s="24" t="n"/>
      <c r="E263" s="24" t="n"/>
      <c r="F263" s="24" t="n"/>
      <c r="G263" s="24" t="n"/>
      <c r="H263" s="24" t="n"/>
      <c r="I263" s="24" t="n"/>
      <c r="J263" s="18" t="n"/>
      <c r="K263" s="25" t="n"/>
      <c r="L263" s="27" t="inlineStr">
        <is>
          <t>Teilnehmerunterlagen ausgehändigt:    ☐ Ja    ☐ Nein</t>
        </is>
      </c>
      <c r="M263" s="24" t="n"/>
      <c r="N263" s="24" t="n"/>
      <c r="O263" s="24" t="n"/>
      <c r="P263" s="24" t="n"/>
      <c r="Q263" s="24" t="n"/>
      <c r="R263" s="24" t="n"/>
      <c r="S263" s="24" t="n"/>
    </row>
    <row r="264" ht="8" customHeight="1">
      <c r="A264" s="24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18" t="n"/>
      <c r="K264" s="25" t="n"/>
      <c r="L264" s="24" t="n"/>
      <c r="M264" s="24" t="n"/>
      <c r="N264" s="24" t="n"/>
      <c r="O264" s="24" t="n"/>
      <c r="P264" s="24" t="n"/>
      <c r="Q264" s="24" t="n"/>
      <c r="R264" s="24" t="n"/>
      <c r="S264" s="24" t="n"/>
    </row>
    <row r="265" ht="16" customHeight="1">
      <c r="A265" s="24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18" t="n"/>
      <c r="K265" s="25" t="n"/>
      <c r="L265" s="24" t="n"/>
      <c r="M265" s="24" t="n"/>
      <c r="N265" s="24" t="n"/>
      <c r="O265" s="24" t="n"/>
      <c r="P265" s="24" t="n"/>
      <c r="Q265" s="24" t="n"/>
      <c r="R265" s="24" t="n"/>
      <c r="S265" s="24" t="n"/>
    </row>
    <row r="266" ht="16" customHeight="1">
      <c r="A266" s="24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18" t="n"/>
      <c r="K266" s="25" t="n"/>
      <c r="L266" s="24" t="n"/>
      <c r="M266" s="24" t="n"/>
      <c r="N266" s="24" t="n"/>
      <c r="O266" s="24" t="n"/>
      <c r="P266" s="24" t="n"/>
      <c r="Q266" s="24" t="n"/>
      <c r="R266" s="24" t="n"/>
      <c r="S266" s="24" t="n"/>
    </row>
    <row r="267" ht="16" customHeight="1">
      <c r="A267" s="24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18" t="n"/>
      <c r="K267" s="25" t="n"/>
      <c r="L267" s="24" t="n"/>
      <c r="M267" s="24" t="n"/>
      <c r="N267" s="24" t="n"/>
      <c r="O267" s="24" t="n"/>
      <c r="P267" s="24" t="n"/>
      <c r="Q267" s="24" t="n"/>
      <c r="R267" s="24" t="n"/>
      <c r="S267" s="24" t="n"/>
    </row>
    <row r="268" ht="16" customHeight="1">
      <c r="A268" s="24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18" t="n"/>
      <c r="K268" s="25" t="n"/>
      <c r="L268" s="24" t="n"/>
      <c r="M268" s="24" t="n"/>
      <c r="N268" s="24" t="n"/>
      <c r="O268" s="24" t="n"/>
      <c r="P268" s="24" t="n"/>
      <c r="Q268" s="24" t="n"/>
      <c r="R268" s="24" t="n"/>
      <c r="S268" s="24" t="n"/>
    </row>
    <row r="269" ht="16" customHeight="1">
      <c r="A269" s="24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18" t="n"/>
      <c r="K269" s="25" t="n"/>
      <c r="L269" s="24" t="n"/>
      <c r="M269" s="24" t="n"/>
      <c r="N269" s="24" t="n"/>
      <c r="O269" s="24" t="n"/>
      <c r="P269" s="24" t="n"/>
      <c r="Q269" s="24" t="n"/>
      <c r="R269" s="24" t="n"/>
      <c r="S269" s="24" t="n"/>
    </row>
    <row r="270" ht="13" customHeight="1">
      <c r="A270" s="24" t="n"/>
      <c r="B270" s="34" t="inlineStr">
        <is>
          <t>Erste Hilfe Handbuch
(DGUV Information 204-007)</t>
        </is>
      </c>
      <c r="C270" s="24" t="n"/>
      <c r="D270" s="24" t="n"/>
      <c r="E270" s="34" t="inlineStr">
        <is>
          <t>Handbuch zur Ersten Hilfe in Bildungs-
und Betreuungseinrichtungen für Kinder
(DGUV Information 204-008)</t>
        </is>
      </c>
      <c r="F270" s="24" t="n"/>
      <c r="G270" s="24" t="n"/>
      <c r="H270" s="24" t="n"/>
      <c r="I270" s="24" t="n"/>
      <c r="J270" s="18" t="n"/>
      <c r="K270" s="25" t="n"/>
      <c r="L270" s="34" t="inlineStr">
        <is>
          <t>Erste Hilfe Handbuch
(DGUV Information 204-007)</t>
        </is>
      </c>
      <c r="M270" s="24" t="n"/>
      <c r="N270" s="24" t="n"/>
      <c r="O270" s="34" t="inlineStr">
        <is>
          <t>Handbuch zur Ersten Hilfe in Bildungs-
und Betreuungseinrichtungen für Kinder
(DGUV Information 204-008)</t>
        </is>
      </c>
      <c r="P270" s="24" t="n"/>
      <c r="Q270" s="24" t="n"/>
      <c r="R270" s="24" t="n"/>
      <c r="S270" s="24" t="n"/>
    </row>
    <row r="271" ht="12" customHeight="1">
      <c r="A271" s="24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18" t="n"/>
      <c r="K271" s="25" t="n"/>
      <c r="L271" s="24" t="n"/>
      <c r="M271" s="24" t="n"/>
      <c r="N271" s="24" t="n"/>
      <c r="O271" s="24" t="n"/>
      <c r="P271" s="24" t="n"/>
      <c r="Q271" s="24" t="n"/>
      <c r="R271" s="24" t="n"/>
      <c r="S271" s="24" t="n"/>
    </row>
    <row r="272" ht="8" customHeight="1">
      <c r="A272" s="24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18" t="n"/>
      <c r="K272" s="25" t="n"/>
      <c r="L272" s="24" t="n"/>
      <c r="M272" s="24" t="n"/>
      <c r="N272" s="24" t="n"/>
      <c r="O272" s="24" t="n"/>
      <c r="P272" s="24" t="n"/>
      <c r="Q272" s="24" t="n"/>
      <c r="R272" s="24" t="n"/>
      <c r="S272" s="24" t="n"/>
    </row>
    <row r="273" ht="20" customHeight="1">
      <c r="A273" s="24" t="n"/>
      <c r="B273" s="26">
        <f>Teilnehmer!C7&amp;", den "&amp;TEXT(Teilnehmer!C3,"DD.MM.YYYY")</f>
        <v/>
      </c>
      <c r="C273" s="24" t="n"/>
      <c r="D273" s="24" t="n"/>
      <c r="E273" s="35" t="n"/>
      <c r="F273" s="24" t="n"/>
      <c r="G273" s="24" t="n"/>
      <c r="H273" s="24" t="n"/>
      <c r="I273" s="24" t="n"/>
      <c r="J273" s="18" t="n"/>
      <c r="K273" s="25" t="n"/>
      <c r="L273" s="26">
        <f>Teilnehmer!C7&amp;", den "&amp;TEXT(Teilnehmer!C3,"DD.MM.YYYY")</f>
        <v/>
      </c>
      <c r="M273" s="24" t="n"/>
      <c r="N273" s="24" t="n"/>
      <c r="O273" s="35" t="n"/>
      <c r="P273" s="24" t="n"/>
      <c r="Q273" s="24" t="n"/>
      <c r="R273" s="24" t="n"/>
      <c r="S273" s="24" t="n"/>
    </row>
    <row r="274" ht="13" customHeight="1">
      <c r="A274" s="24" t="n"/>
      <c r="B274" s="28" t="inlineStr">
        <is>
          <t>Ort</t>
        </is>
      </c>
      <c r="C274" s="24" t="n"/>
      <c r="D274" s="28" t="inlineStr">
        <is>
          <t>Datum</t>
        </is>
      </c>
      <c r="E274" s="28" t="inlineStr">
        <is>
          <t>Unterschrift der Lehrkraft</t>
        </is>
      </c>
      <c r="F274" s="24" t="n"/>
      <c r="G274" s="24" t="n"/>
      <c r="H274" s="24" t="n"/>
      <c r="I274" s="24" t="n"/>
      <c r="J274" s="18" t="n"/>
      <c r="K274" s="25" t="n"/>
      <c r="L274" s="28" t="inlineStr">
        <is>
          <t>Ort</t>
        </is>
      </c>
      <c r="M274" s="24" t="n"/>
      <c r="N274" s="28" t="inlineStr">
        <is>
          <t>Datum</t>
        </is>
      </c>
      <c r="O274" s="28" t="inlineStr">
        <is>
          <t>Unterschrift der Lehrkraft</t>
        </is>
      </c>
      <c r="P274" s="24" t="n"/>
      <c r="Q274" s="24" t="n"/>
      <c r="R274" s="24" t="n"/>
      <c r="S274" s="24" t="n"/>
    </row>
    <row r="275" ht="8" customHeight="1">
      <c r="A275" s="24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18" t="n"/>
      <c r="K275" s="25" t="n"/>
      <c r="L275" s="24" t="n"/>
      <c r="M275" s="24" t="n"/>
      <c r="N275" s="24" t="n"/>
      <c r="O275" s="24" t="n"/>
      <c r="P275" s="24" t="n"/>
      <c r="Q275" s="24" t="n"/>
      <c r="R275" s="24" t="n"/>
      <c r="S275" s="24" t="n"/>
    </row>
    <row r="276" ht="3" customHeight="1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8" t="n"/>
      <c r="K276" s="19" t="n"/>
      <c r="L276" s="17" t="n"/>
      <c r="M276" s="17" t="n"/>
      <c r="N276" s="17" t="n"/>
      <c r="O276" s="17" t="n"/>
      <c r="P276" s="17" t="n"/>
      <c r="Q276" s="17" t="n"/>
      <c r="R276" s="17" t="n"/>
      <c r="S276" s="17" t="n"/>
    </row>
    <row r="277" ht="18" customHeight="1">
      <c r="A277" s="17" t="n"/>
      <c r="B277" s="36" t="inlineStr">
        <is>
          <t>Name der ermächtigten Stelle:</t>
        </is>
      </c>
      <c r="C277" s="17" t="n"/>
      <c r="D277" s="37" t="inlineStr">
        <is>
          <t>Mercedes-Benz AG</t>
        </is>
      </c>
      <c r="E277" s="17" t="n"/>
      <c r="F277" s="17" t="n"/>
      <c r="G277" s="17" t="n"/>
      <c r="H277" s="17" t="n"/>
      <c r="I277" s="17" t="n"/>
      <c r="J277" s="18" t="n"/>
      <c r="K277" s="19" t="n"/>
      <c r="L277" s="36" t="inlineStr">
        <is>
          <t>Name der ermächtigten Stelle:</t>
        </is>
      </c>
      <c r="M277" s="17" t="n"/>
      <c r="N277" s="37" t="inlineStr">
        <is>
          <t>Mercedes-Benz AG</t>
        </is>
      </c>
      <c r="O277" s="17" t="n"/>
      <c r="P277" s="17" t="n"/>
      <c r="Q277" s="17" t="n"/>
      <c r="R277" s="17" t="n"/>
      <c r="S277" s="17" t="n"/>
    </row>
    <row r="278" ht="16" customHeight="1">
      <c r="A278" s="17" t="n"/>
      <c r="B278" s="38" t="inlineStr">
        <is>
          <t>Kennnummer gemäß
§ 26 DGUV Vorschrift 1:</t>
        </is>
      </c>
      <c r="C278" s="17" t="n"/>
      <c r="D278" s="37" t="inlineStr">
        <is>
          <t>7.0103</t>
        </is>
      </c>
      <c r="E278" s="17" t="n"/>
      <c r="F278" s="17" t="n"/>
      <c r="G278" s="17" t="n"/>
      <c r="H278" s="17" t="n"/>
      <c r="I278" s="17" t="n"/>
      <c r="J278" s="18" t="n"/>
      <c r="K278" s="19" t="n"/>
      <c r="L278" s="38" t="inlineStr">
        <is>
          <t>Kennnummer gemäß
§ 26 DGUV Vorschrift 1:</t>
        </is>
      </c>
      <c r="M278" s="17" t="n"/>
      <c r="N278" s="37" t="inlineStr">
        <is>
          <t>7.0103</t>
        </is>
      </c>
      <c r="O278" s="17" t="n"/>
      <c r="P278" s="17" t="n"/>
      <c r="Q278" s="17" t="n"/>
      <c r="R278" s="17" t="n"/>
      <c r="S278" s="17" t="n"/>
    </row>
    <row r="279" ht="16" customHeight="1">
      <c r="A279" s="17" t="n"/>
      <c r="B279" s="36" t="inlineStr">
        <is>
          <t>Registriernummer der Schulung:</t>
        </is>
      </c>
      <c r="C279" s="17" t="n"/>
      <c r="D279" s="37">
        <f>Teilnehmer!C5</f>
        <v/>
      </c>
      <c r="E279" s="17" t="n"/>
      <c r="F279" s="17" t="n"/>
      <c r="G279" s="17" t="n"/>
      <c r="H279" s="17" t="n"/>
      <c r="I279" s="17" t="n"/>
      <c r="J279" s="18" t="n"/>
      <c r="K279" s="19" t="n"/>
      <c r="L279" s="36" t="inlineStr">
        <is>
          <t>Registriernummer der Schulung:</t>
        </is>
      </c>
      <c r="M279" s="17" t="n"/>
      <c r="N279" s="37">
        <f>Teilnehmer!C5</f>
        <v/>
      </c>
      <c r="O279" s="17" t="n"/>
      <c r="P279" s="17" t="n"/>
      <c r="Q279" s="17" t="n"/>
      <c r="R279" s="17" t="n"/>
      <c r="S279" s="17" t="n"/>
    </row>
    <row r="280" ht="11" customHeight="1">
      <c r="A280" s="39" t="inlineStr">
        <is>
          <t>¹ Die Teilnahme an der Ausbildung in betrieblicher Erster Hilfe gilt als Schulung in Erster Hilfe gem. § 19 FeV.   |   Stand Oktober 2023</t>
        </is>
      </c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8" t="n"/>
      <c r="K280" s="40" t="inlineStr">
        <is>
          <t>¹ Die Teilnahme an der Ausbildung in betrieblicher Erster Hilfe gilt als Schulung in Erster Hilfe gem. § 19 FeV.   |   Stand Oktober 2023</t>
        </is>
      </c>
      <c r="L280" s="17" t="n"/>
      <c r="M280" s="17" t="n"/>
      <c r="N280" s="17" t="n"/>
      <c r="O280" s="17" t="n"/>
      <c r="P280" s="17" t="n"/>
      <c r="Q280" s="17" t="n"/>
      <c r="R280" s="17" t="n"/>
      <c r="S280" s="17" t="n"/>
    </row>
    <row r="281" ht="12" customHeight="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8" t="n"/>
      <c r="K281" s="19" t="n"/>
      <c r="L281" s="17" t="n"/>
      <c r="M281" s="17" t="n"/>
      <c r="N281" s="17" t="n"/>
      <c r="O281" s="17" t="n"/>
      <c r="P281" s="17" t="n"/>
      <c r="Q281" s="17" t="n"/>
      <c r="R281" s="17" t="n"/>
      <c r="S281" s="17" t="n"/>
    </row>
    <row r="282" ht="28" customHeight="1">
      <c r="A282" s="17" t="n"/>
      <c r="B282" s="17" t="n"/>
      <c r="C282" s="17" t="n"/>
      <c r="D282" s="20" t="inlineStr">
        <is>
          <t>Bescheinigung</t>
        </is>
      </c>
      <c r="E282" s="17" t="n"/>
      <c r="F282" s="17" t="n"/>
      <c r="G282" s="17" t="n"/>
      <c r="H282" s="17" t="n"/>
      <c r="I282" s="17" t="n"/>
      <c r="J282" s="18" t="n"/>
      <c r="K282" s="19" t="n"/>
      <c r="L282" s="17" t="n"/>
      <c r="M282" s="17" t="n"/>
      <c r="N282" s="20" t="inlineStr">
        <is>
          <t>Bescheinigung</t>
        </is>
      </c>
      <c r="O282" s="17" t="n"/>
      <c r="P282" s="17" t="n"/>
      <c r="Q282" s="17" t="n"/>
      <c r="R282" s="17" t="n"/>
      <c r="S282" s="17" t="n"/>
    </row>
    <row r="283" ht="16" customHeight="1">
      <c r="A283" s="17" t="n"/>
      <c r="B283" s="17" t="n"/>
      <c r="C283" s="17" t="n"/>
      <c r="D283" s="21" t="inlineStr">
        <is>
          <t>über die Teilnahme an einer Erste-Hilfe-</t>
        </is>
      </c>
      <c r="E283" s="17" t="n"/>
      <c r="F283" s="17" t="n"/>
      <c r="G283" s="17" t="n"/>
      <c r="H283" s="17" t="n"/>
      <c r="I283" s="17" t="n"/>
      <c r="J283" s="18" t="n"/>
      <c r="K283" s="19" t="n"/>
      <c r="L283" s="17" t="n"/>
      <c r="M283" s="17" t="n"/>
      <c r="N283" s="21" t="inlineStr">
        <is>
          <t>über die Teilnahme an einer Erste-Hilfe-</t>
        </is>
      </c>
      <c r="O283" s="17" t="n"/>
      <c r="P283" s="17" t="n"/>
      <c r="Q283" s="17" t="n"/>
      <c r="R283" s="17" t="n"/>
      <c r="S283" s="17" t="n"/>
    </row>
    <row r="284" ht="15" customHeight="1">
      <c r="A284" s="17" t="n"/>
      <c r="B284" s="17" t="n"/>
      <c r="C284" s="17" t="n"/>
      <c r="D284" s="22">
        <f>IF(Teilnehmer!F4="EH-Ausbildung","☑","☐")</f>
        <v/>
      </c>
      <c r="E284" s="21" t="inlineStr">
        <is>
          <t>Ausbildung¹ für betriebliche Ersthelfende</t>
        </is>
      </c>
      <c r="F284" s="17" t="n"/>
      <c r="G284" s="17" t="n"/>
      <c r="H284" s="17" t="n"/>
      <c r="I284" s="17" t="n"/>
      <c r="J284" s="18" t="n"/>
      <c r="K284" s="19" t="n"/>
      <c r="L284" s="17" t="n"/>
      <c r="M284" s="17" t="n"/>
      <c r="N284" s="22">
        <f>IF(Teilnehmer!F4="EH-Ausbildung","☑","☐")</f>
        <v/>
      </c>
      <c r="O284" s="21" t="inlineStr">
        <is>
          <t>Ausbildung¹ für betriebliche Ersthelfende</t>
        </is>
      </c>
      <c r="P284" s="17" t="n"/>
      <c r="Q284" s="17" t="n"/>
      <c r="R284" s="17" t="n"/>
      <c r="S284" s="17" t="n"/>
    </row>
    <row r="285" ht="15" customHeight="1">
      <c r="A285" s="17" t="n"/>
      <c r="B285" s="17" t="n"/>
      <c r="C285" s="17" t="n"/>
      <c r="D285" s="22">
        <f>IF(Teilnehmer!F4="EH-Fortbildung","☑","☐")</f>
        <v/>
      </c>
      <c r="E285" s="21" t="inlineStr">
        <is>
          <t>Fortbildung für betriebliche Ersthelfende</t>
        </is>
      </c>
      <c r="F285" s="17" t="n"/>
      <c r="G285" s="17" t="n"/>
      <c r="H285" s="17" t="n"/>
      <c r="I285" s="17" t="n"/>
      <c r="J285" s="18" t="n"/>
      <c r="K285" s="19" t="n"/>
      <c r="L285" s="17" t="n"/>
      <c r="M285" s="17" t="n"/>
      <c r="N285" s="22">
        <f>IF(Teilnehmer!F4="EH-Fortbildung","☑","☐")</f>
        <v/>
      </c>
      <c r="O285" s="21" t="inlineStr">
        <is>
          <t>Fortbildung für betriebliche Ersthelfende</t>
        </is>
      </c>
      <c r="P285" s="17" t="n"/>
      <c r="Q285" s="17" t="n"/>
      <c r="R285" s="17" t="n"/>
      <c r="S285" s="17" t="n"/>
    </row>
    <row r="286" ht="15" customHeight="1">
      <c r="A286" s="17" t="n"/>
      <c r="B286" s="17" t="n"/>
      <c r="C286" s="17" t="n"/>
      <c r="D286" s="22">
        <f>IF(Teilnehmer!F4="EH-Schulung","☑","☐")</f>
        <v/>
      </c>
      <c r="E286" s="21" t="inlineStr">
        <is>
          <t>Schulung in Bildungs- und Betreuungs-</t>
        </is>
      </c>
      <c r="F286" s="17" t="n"/>
      <c r="G286" s="17" t="n"/>
      <c r="H286" s="17" t="n"/>
      <c r="I286" s="17" t="n"/>
      <c r="J286" s="18" t="n"/>
      <c r="K286" s="19" t="n"/>
      <c r="L286" s="17" t="n"/>
      <c r="M286" s="17" t="n"/>
      <c r="N286" s="22">
        <f>IF(Teilnehmer!F4="EH-Schulung","☑","☐")</f>
        <v/>
      </c>
      <c r="O286" s="21" t="inlineStr">
        <is>
          <t>Schulung in Bildungs- und Betreuungs-</t>
        </is>
      </c>
      <c r="P286" s="17" t="n"/>
      <c r="Q286" s="17" t="n"/>
      <c r="R286" s="17" t="n"/>
      <c r="S286" s="17" t="n"/>
    </row>
    <row r="287" ht="13" customHeight="1">
      <c r="A287" s="17" t="n"/>
      <c r="B287" s="17" t="n"/>
      <c r="C287" s="17" t="n"/>
      <c r="D287" s="23" t="inlineStr">
        <is>
          <t>einrichtungen für Kinder</t>
        </is>
      </c>
      <c r="E287" s="17" t="n"/>
      <c r="F287" s="17" t="n"/>
      <c r="G287" s="17" t="n"/>
      <c r="H287" s="17" t="n"/>
      <c r="I287" s="17" t="n"/>
      <c r="J287" s="18" t="n"/>
      <c r="K287" s="19" t="n"/>
      <c r="L287" s="17" t="n"/>
      <c r="M287" s="17" t="n"/>
      <c r="N287" s="23" t="inlineStr">
        <is>
          <t>einrichtungen für Kinder</t>
        </is>
      </c>
      <c r="O287" s="17" t="n"/>
      <c r="P287" s="17" t="n"/>
      <c r="Q287" s="17" t="n"/>
      <c r="R287" s="17" t="n"/>
      <c r="S287" s="17" t="n"/>
    </row>
    <row r="288" ht="10" customHeight="1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8" t="n"/>
      <c r="K288" s="19" t="n"/>
      <c r="L288" s="17" t="n"/>
      <c r="M288" s="17" t="n"/>
      <c r="N288" s="17" t="n"/>
      <c r="O288" s="17" t="n"/>
      <c r="P288" s="17" t="n"/>
      <c r="Q288" s="17" t="n"/>
      <c r="R288" s="17" t="n"/>
      <c r="S288" s="17" t="n"/>
    </row>
    <row r="289" ht="9" customHeight="1">
      <c r="A289" s="24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18" t="n"/>
      <c r="K289" s="25" t="n"/>
      <c r="L289" s="24" t="n"/>
      <c r="M289" s="24" t="n"/>
      <c r="N289" s="24" t="n"/>
      <c r="O289" s="24" t="n"/>
      <c r="P289" s="24" t="n"/>
      <c r="Q289" s="24" t="n"/>
      <c r="R289" s="24" t="n"/>
      <c r="S289" s="24" t="n"/>
    </row>
    <row r="290" ht="18" customHeight="1">
      <c r="A290" s="24" t="n"/>
      <c r="B290" s="26">
        <f>Teilnehmer!B27</f>
        <v/>
      </c>
      <c r="C290" s="24" t="n"/>
      <c r="D290" s="24" t="n"/>
      <c r="E290" s="24" t="n"/>
      <c r="F290" s="26">
        <f>Teilnehmer!C27</f>
        <v/>
      </c>
      <c r="G290" s="24" t="n"/>
      <c r="H290" s="27" t="inlineStr">
        <is>
          <t>geb. am:</t>
        </is>
      </c>
      <c r="I290" s="26">
        <f>TEXT(Teilnehmer!D27,"DD.MM.YYYY")</f>
        <v/>
      </c>
      <c r="J290" s="18" t="n"/>
      <c r="K290" s="25" t="n"/>
      <c r="L290" s="26">
        <f>Teilnehmer!B28</f>
        <v/>
      </c>
      <c r="M290" s="24" t="n"/>
      <c r="N290" s="24" t="n"/>
      <c r="O290" s="24" t="n"/>
      <c r="P290" s="26">
        <f>Teilnehmer!C28</f>
        <v/>
      </c>
      <c r="Q290" s="24" t="n"/>
      <c r="R290" s="27" t="inlineStr">
        <is>
          <t>geb. am:</t>
        </is>
      </c>
      <c r="S290" s="26">
        <f>TEXT(Teilnehmer!D28,"DD.MM.YYYY")</f>
        <v/>
      </c>
    </row>
    <row r="291" ht="9" customHeight="1">
      <c r="A291" s="24" t="n"/>
      <c r="B291" s="28" t="inlineStr">
        <is>
          <t>Name</t>
        </is>
      </c>
      <c r="C291" s="24" t="n"/>
      <c r="D291" s="24" t="n"/>
      <c r="E291" s="24" t="n"/>
      <c r="F291" s="28" t="inlineStr">
        <is>
          <t>Vorname</t>
        </is>
      </c>
      <c r="G291" s="24" t="n"/>
      <c r="H291" s="24" t="n"/>
      <c r="I291" s="24" t="n"/>
      <c r="J291" s="18" t="n"/>
      <c r="K291" s="25" t="n"/>
      <c r="L291" s="28" t="inlineStr">
        <is>
          <t>Name</t>
        </is>
      </c>
      <c r="M291" s="24" t="n"/>
      <c r="N291" s="24" t="n"/>
      <c r="O291" s="24" t="n"/>
      <c r="P291" s="28" t="inlineStr">
        <is>
          <t>Vorname</t>
        </is>
      </c>
      <c r="Q291" s="24" t="n"/>
      <c r="R291" s="24" t="n"/>
      <c r="S291" s="24" t="n"/>
    </row>
    <row r="292" ht="16" customHeight="1">
      <c r="A292" s="24" t="n"/>
      <c r="B292" s="29" t="inlineStr">
        <is>
          <t>hat an dem 9 Unterrichtseinheiten (Nettounterrichtszeit 9 × 45 Minuten) umfassenden Lehrgang</t>
        </is>
      </c>
      <c r="C292" s="24" t="n"/>
      <c r="D292" s="24" t="n"/>
      <c r="E292" s="24" t="n"/>
      <c r="F292" s="24" t="n"/>
      <c r="G292" s="24" t="n"/>
      <c r="H292" s="24" t="n"/>
      <c r="I292" s="24" t="n"/>
      <c r="J292" s="18" t="n"/>
      <c r="K292" s="25" t="n"/>
      <c r="L292" s="29" t="inlineStr">
        <is>
          <t>hat an dem 9 Unterrichtseinheiten (Nettounterrichtszeit 9 × 45 Minuten) umfassenden Lehrgang</t>
        </is>
      </c>
      <c r="M292" s="24" t="n"/>
      <c r="N292" s="24" t="n"/>
      <c r="O292" s="24" t="n"/>
      <c r="P292" s="24" t="n"/>
      <c r="Q292" s="24" t="n"/>
      <c r="R292" s="24" t="n"/>
      <c r="S292" s="24" t="n"/>
    </row>
    <row r="293" ht="9" customHeight="1">
      <c r="A293" s="24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18" t="n"/>
      <c r="K293" s="25" t="n"/>
      <c r="L293" s="24" t="n"/>
      <c r="M293" s="24" t="n"/>
      <c r="N293" s="24" t="n"/>
      <c r="O293" s="24" t="n"/>
      <c r="P293" s="24" t="n"/>
      <c r="Q293" s="24" t="n"/>
      <c r="R293" s="24" t="n"/>
      <c r="S293" s="24" t="n"/>
    </row>
    <row r="294" ht="16" customHeight="1">
      <c r="A294" s="24" t="n"/>
      <c r="B294" s="27" t="inlineStr">
        <is>
          <t>am</t>
        </is>
      </c>
      <c r="C294" s="30">
        <f>TEXT(Teilnehmer!C3,"DD.MM.YYYY")</f>
        <v/>
      </c>
      <c r="D294" s="27" t="inlineStr">
        <is>
          <t>in der Zeit von</t>
        </is>
      </c>
      <c r="E294" s="30">
        <f>TEXT(Teilnehmer!F3,"HH:MM")</f>
        <v/>
      </c>
      <c r="F294" s="31" t="inlineStr">
        <is>
          <t>Uhr bis</t>
        </is>
      </c>
      <c r="G294" s="30">
        <f>TEXT(Teilnehmer!H3,"HH:MM")</f>
        <v/>
      </c>
      <c r="H294" s="27" t="inlineStr">
        <is>
          <t>Uhr</t>
        </is>
      </c>
      <c r="I294" s="24" t="n"/>
      <c r="J294" s="18" t="n"/>
      <c r="K294" s="25" t="n"/>
      <c r="L294" s="27" t="inlineStr">
        <is>
          <t>am</t>
        </is>
      </c>
      <c r="M294" s="30">
        <f>TEXT(Teilnehmer!C3,"DD.MM.YYYY")</f>
        <v/>
      </c>
      <c r="N294" s="27" t="inlineStr">
        <is>
          <t>in der Zeit von</t>
        </is>
      </c>
      <c r="O294" s="30">
        <f>TEXT(Teilnehmer!F3,"HH:MM")</f>
        <v/>
      </c>
      <c r="P294" s="31" t="inlineStr">
        <is>
          <t>Uhr bis</t>
        </is>
      </c>
      <c r="Q294" s="30">
        <f>TEXT(Teilnehmer!H3,"HH:MM")</f>
        <v/>
      </c>
      <c r="R294" s="27" t="inlineStr">
        <is>
          <t>Uhr</t>
        </is>
      </c>
      <c r="S294" s="24" t="n"/>
    </row>
    <row r="295" ht="9" customHeight="1">
      <c r="A295" s="24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18" t="n"/>
      <c r="K295" s="25" t="n"/>
      <c r="L295" s="24" t="n"/>
      <c r="M295" s="24" t="n"/>
      <c r="N295" s="24" t="n"/>
      <c r="O295" s="24" t="n"/>
      <c r="P295" s="24" t="n"/>
      <c r="Q295" s="24" t="n"/>
      <c r="R295" s="24" t="n"/>
      <c r="S295" s="24" t="n"/>
    </row>
    <row r="296" ht="16" customHeight="1">
      <c r="A296" s="24" t="n"/>
      <c r="B296" s="27" t="inlineStr">
        <is>
          <t>unter der Leitung von</t>
        </is>
      </c>
      <c r="C296" s="24" t="n"/>
      <c r="D296" s="32">
        <f>Teilnehmer!C4</f>
        <v/>
      </c>
      <c r="E296" s="33" t="n"/>
      <c r="F296" s="33" t="n"/>
      <c r="G296" s="33" t="n"/>
      <c r="H296" s="27" t="inlineStr">
        <is>
          <t>erfolgreich</t>
        </is>
      </c>
      <c r="I296" s="27" t="inlineStr">
        <is>
          <t>teilgen.</t>
        </is>
      </c>
      <c r="J296" s="18" t="n"/>
      <c r="K296" s="25" t="n"/>
      <c r="L296" s="27" t="inlineStr">
        <is>
          <t>unter der Leitung von</t>
        </is>
      </c>
      <c r="M296" s="24" t="n"/>
      <c r="N296" s="32">
        <f>Teilnehmer!C4</f>
        <v/>
      </c>
      <c r="O296" s="33" t="n"/>
      <c r="P296" s="33" t="n"/>
      <c r="Q296" s="33" t="n"/>
      <c r="R296" s="27" t="inlineStr">
        <is>
          <t>erfolgreich</t>
        </is>
      </c>
      <c r="S296" s="27" t="inlineStr">
        <is>
          <t>teilgen.</t>
        </is>
      </c>
    </row>
    <row r="297" ht="9" customHeight="1">
      <c r="A297" s="24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18" t="n"/>
      <c r="K297" s="25" t="n"/>
      <c r="L297" s="24" t="n"/>
      <c r="M297" s="24" t="n"/>
      <c r="N297" s="24" t="n"/>
      <c r="O297" s="24" t="n"/>
      <c r="P297" s="24" t="n"/>
      <c r="Q297" s="24" t="n"/>
      <c r="R297" s="24" t="n"/>
      <c r="S297" s="24" t="n"/>
    </row>
    <row r="298" ht="14" customHeight="1">
      <c r="A298" s="24" t="n"/>
      <c r="B298" s="27" t="inlineStr">
        <is>
          <t>Teilnehmerunterlagen ausgehändigt:    ☐ Ja    ☐ Nein</t>
        </is>
      </c>
      <c r="C298" s="24" t="n"/>
      <c r="D298" s="24" t="n"/>
      <c r="E298" s="24" t="n"/>
      <c r="F298" s="24" t="n"/>
      <c r="G298" s="24" t="n"/>
      <c r="H298" s="24" t="n"/>
      <c r="I298" s="24" t="n"/>
      <c r="J298" s="18" t="n"/>
      <c r="K298" s="25" t="n"/>
      <c r="L298" s="27" t="inlineStr">
        <is>
          <t>Teilnehmerunterlagen ausgehändigt:    ☐ Ja    ☐ Nein</t>
        </is>
      </c>
      <c r="M298" s="24" t="n"/>
      <c r="N298" s="24" t="n"/>
      <c r="O298" s="24" t="n"/>
      <c r="P298" s="24" t="n"/>
      <c r="Q298" s="24" t="n"/>
      <c r="R298" s="24" t="n"/>
      <c r="S298" s="24" t="n"/>
    </row>
    <row r="299" ht="8" customHeight="1">
      <c r="A299" s="24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18" t="n"/>
      <c r="K299" s="25" t="n"/>
      <c r="L299" s="24" t="n"/>
      <c r="M299" s="24" t="n"/>
      <c r="N299" s="24" t="n"/>
      <c r="O299" s="24" t="n"/>
      <c r="P299" s="24" t="n"/>
      <c r="Q299" s="24" t="n"/>
      <c r="R299" s="24" t="n"/>
      <c r="S299" s="24" t="n"/>
    </row>
    <row r="300" ht="16" customHeight="1">
      <c r="A300" s="24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18" t="n"/>
      <c r="K300" s="25" t="n"/>
      <c r="L300" s="24" t="n"/>
      <c r="M300" s="24" t="n"/>
      <c r="N300" s="24" t="n"/>
      <c r="O300" s="24" t="n"/>
      <c r="P300" s="24" t="n"/>
      <c r="Q300" s="24" t="n"/>
      <c r="R300" s="24" t="n"/>
      <c r="S300" s="24" t="n"/>
    </row>
    <row r="301" ht="16" customHeight="1">
      <c r="A301" s="24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18" t="n"/>
      <c r="K301" s="25" t="n"/>
      <c r="L301" s="24" t="n"/>
      <c r="M301" s="24" t="n"/>
      <c r="N301" s="24" t="n"/>
      <c r="O301" s="24" t="n"/>
      <c r="P301" s="24" t="n"/>
      <c r="Q301" s="24" t="n"/>
      <c r="R301" s="24" t="n"/>
      <c r="S301" s="24" t="n"/>
    </row>
    <row r="302" ht="16" customHeight="1">
      <c r="A302" s="24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18" t="n"/>
      <c r="K302" s="25" t="n"/>
      <c r="L302" s="24" t="n"/>
      <c r="M302" s="24" t="n"/>
      <c r="N302" s="24" t="n"/>
      <c r="O302" s="24" t="n"/>
      <c r="P302" s="24" t="n"/>
      <c r="Q302" s="24" t="n"/>
      <c r="R302" s="24" t="n"/>
      <c r="S302" s="24" t="n"/>
    </row>
    <row r="303" ht="16" customHeight="1">
      <c r="A303" s="24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18" t="n"/>
      <c r="K303" s="25" t="n"/>
      <c r="L303" s="24" t="n"/>
      <c r="M303" s="24" t="n"/>
      <c r="N303" s="24" t="n"/>
      <c r="O303" s="24" t="n"/>
      <c r="P303" s="24" t="n"/>
      <c r="Q303" s="24" t="n"/>
      <c r="R303" s="24" t="n"/>
      <c r="S303" s="24" t="n"/>
    </row>
    <row r="304" ht="16" customHeight="1">
      <c r="A304" s="24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18" t="n"/>
      <c r="K304" s="25" t="n"/>
      <c r="L304" s="24" t="n"/>
      <c r="M304" s="24" t="n"/>
      <c r="N304" s="24" t="n"/>
      <c r="O304" s="24" t="n"/>
      <c r="P304" s="24" t="n"/>
      <c r="Q304" s="24" t="n"/>
      <c r="R304" s="24" t="n"/>
      <c r="S304" s="24" t="n"/>
    </row>
    <row r="305" ht="13" customHeight="1">
      <c r="A305" s="24" t="n"/>
      <c r="B305" s="34" t="inlineStr">
        <is>
          <t>Erste Hilfe Handbuch
(DGUV Information 204-007)</t>
        </is>
      </c>
      <c r="C305" s="24" t="n"/>
      <c r="D305" s="24" t="n"/>
      <c r="E305" s="34" t="inlineStr">
        <is>
          <t>Handbuch zur Ersten Hilfe in Bildungs-
und Betreuungseinrichtungen für Kinder
(DGUV Information 204-008)</t>
        </is>
      </c>
      <c r="F305" s="24" t="n"/>
      <c r="G305" s="24" t="n"/>
      <c r="H305" s="24" t="n"/>
      <c r="I305" s="24" t="n"/>
      <c r="J305" s="18" t="n"/>
      <c r="K305" s="25" t="n"/>
      <c r="L305" s="34" t="inlineStr">
        <is>
          <t>Erste Hilfe Handbuch
(DGUV Information 204-007)</t>
        </is>
      </c>
      <c r="M305" s="24" t="n"/>
      <c r="N305" s="24" t="n"/>
      <c r="O305" s="34" t="inlineStr">
        <is>
          <t>Handbuch zur Ersten Hilfe in Bildungs-
und Betreuungseinrichtungen für Kinder
(DGUV Information 204-008)</t>
        </is>
      </c>
      <c r="P305" s="24" t="n"/>
      <c r="Q305" s="24" t="n"/>
      <c r="R305" s="24" t="n"/>
      <c r="S305" s="24" t="n"/>
    </row>
    <row r="306" ht="12" customHeight="1">
      <c r="A306" s="24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18" t="n"/>
      <c r="K306" s="25" t="n"/>
      <c r="L306" s="24" t="n"/>
      <c r="M306" s="24" t="n"/>
      <c r="N306" s="24" t="n"/>
      <c r="O306" s="24" t="n"/>
      <c r="P306" s="24" t="n"/>
      <c r="Q306" s="24" t="n"/>
      <c r="R306" s="24" t="n"/>
      <c r="S306" s="24" t="n"/>
    </row>
    <row r="307" ht="8" customHeight="1">
      <c r="A307" s="24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18" t="n"/>
      <c r="K307" s="25" t="n"/>
      <c r="L307" s="24" t="n"/>
      <c r="M307" s="24" t="n"/>
      <c r="N307" s="24" t="n"/>
      <c r="O307" s="24" t="n"/>
      <c r="P307" s="24" t="n"/>
      <c r="Q307" s="24" t="n"/>
      <c r="R307" s="24" t="n"/>
      <c r="S307" s="24" t="n"/>
    </row>
    <row r="308" ht="20" customHeight="1">
      <c r="A308" s="24" t="n"/>
      <c r="B308" s="26">
        <f>Teilnehmer!C7&amp;", den "&amp;TEXT(Teilnehmer!C3,"DD.MM.YYYY")</f>
        <v/>
      </c>
      <c r="C308" s="24" t="n"/>
      <c r="D308" s="24" t="n"/>
      <c r="E308" s="35" t="n"/>
      <c r="F308" s="24" t="n"/>
      <c r="G308" s="24" t="n"/>
      <c r="H308" s="24" t="n"/>
      <c r="I308" s="24" t="n"/>
      <c r="J308" s="18" t="n"/>
      <c r="K308" s="25" t="n"/>
      <c r="L308" s="26">
        <f>Teilnehmer!C7&amp;", den "&amp;TEXT(Teilnehmer!C3,"DD.MM.YYYY")</f>
        <v/>
      </c>
      <c r="M308" s="24" t="n"/>
      <c r="N308" s="24" t="n"/>
      <c r="O308" s="35" t="n"/>
      <c r="P308" s="24" t="n"/>
      <c r="Q308" s="24" t="n"/>
      <c r="R308" s="24" t="n"/>
      <c r="S308" s="24" t="n"/>
    </row>
    <row r="309" ht="13" customHeight="1">
      <c r="A309" s="24" t="n"/>
      <c r="B309" s="28" t="inlineStr">
        <is>
          <t>Ort</t>
        </is>
      </c>
      <c r="C309" s="24" t="n"/>
      <c r="D309" s="28" t="inlineStr">
        <is>
          <t>Datum</t>
        </is>
      </c>
      <c r="E309" s="28" t="inlineStr">
        <is>
          <t>Unterschrift der Lehrkraft</t>
        </is>
      </c>
      <c r="F309" s="24" t="n"/>
      <c r="G309" s="24" t="n"/>
      <c r="H309" s="24" t="n"/>
      <c r="I309" s="24" t="n"/>
      <c r="J309" s="18" t="n"/>
      <c r="K309" s="25" t="n"/>
      <c r="L309" s="28" t="inlineStr">
        <is>
          <t>Ort</t>
        </is>
      </c>
      <c r="M309" s="24" t="n"/>
      <c r="N309" s="28" t="inlineStr">
        <is>
          <t>Datum</t>
        </is>
      </c>
      <c r="O309" s="28" t="inlineStr">
        <is>
          <t>Unterschrift der Lehrkraft</t>
        </is>
      </c>
      <c r="P309" s="24" t="n"/>
      <c r="Q309" s="24" t="n"/>
      <c r="R309" s="24" t="n"/>
      <c r="S309" s="24" t="n"/>
    </row>
    <row r="310" ht="8" customHeight="1">
      <c r="A310" s="24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18" t="n"/>
      <c r="K310" s="25" t="n"/>
      <c r="L310" s="24" t="n"/>
      <c r="M310" s="24" t="n"/>
      <c r="N310" s="24" t="n"/>
      <c r="O310" s="24" t="n"/>
      <c r="P310" s="24" t="n"/>
      <c r="Q310" s="24" t="n"/>
      <c r="R310" s="24" t="n"/>
      <c r="S310" s="24" t="n"/>
    </row>
    <row r="311" ht="3" customHeight="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8" t="n"/>
      <c r="K311" s="19" t="n"/>
      <c r="L311" s="17" t="n"/>
      <c r="M311" s="17" t="n"/>
      <c r="N311" s="17" t="n"/>
      <c r="O311" s="17" t="n"/>
      <c r="P311" s="17" t="n"/>
      <c r="Q311" s="17" t="n"/>
      <c r="R311" s="17" t="n"/>
      <c r="S311" s="17" t="n"/>
    </row>
    <row r="312" ht="18" customHeight="1">
      <c r="A312" s="17" t="n"/>
      <c r="B312" s="36" t="inlineStr">
        <is>
          <t>Name der ermächtigten Stelle:</t>
        </is>
      </c>
      <c r="C312" s="17" t="n"/>
      <c r="D312" s="37" t="inlineStr">
        <is>
          <t>Mercedes-Benz AG</t>
        </is>
      </c>
      <c r="E312" s="17" t="n"/>
      <c r="F312" s="17" t="n"/>
      <c r="G312" s="17" t="n"/>
      <c r="H312" s="17" t="n"/>
      <c r="I312" s="17" t="n"/>
      <c r="J312" s="18" t="n"/>
      <c r="K312" s="19" t="n"/>
      <c r="L312" s="36" t="inlineStr">
        <is>
          <t>Name der ermächtigten Stelle:</t>
        </is>
      </c>
      <c r="M312" s="17" t="n"/>
      <c r="N312" s="37" t="inlineStr">
        <is>
          <t>Mercedes-Benz AG</t>
        </is>
      </c>
      <c r="O312" s="17" t="n"/>
      <c r="P312" s="17" t="n"/>
      <c r="Q312" s="17" t="n"/>
      <c r="R312" s="17" t="n"/>
      <c r="S312" s="17" t="n"/>
    </row>
    <row r="313" ht="16" customHeight="1">
      <c r="A313" s="17" t="n"/>
      <c r="B313" s="38" t="inlineStr">
        <is>
          <t>Kennnummer gemäß
§ 26 DGUV Vorschrift 1:</t>
        </is>
      </c>
      <c r="C313" s="17" t="n"/>
      <c r="D313" s="37" t="inlineStr">
        <is>
          <t>7.0103</t>
        </is>
      </c>
      <c r="E313" s="17" t="n"/>
      <c r="F313" s="17" t="n"/>
      <c r="G313" s="17" t="n"/>
      <c r="H313" s="17" t="n"/>
      <c r="I313" s="17" t="n"/>
      <c r="J313" s="18" t="n"/>
      <c r="K313" s="19" t="n"/>
      <c r="L313" s="38" t="inlineStr">
        <is>
          <t>Kennnummer gemäß
§ 26 DGUV Vorschrift 1:</t>
        </is>
      </c>
      <c r="M313" s="17" t="n"/>
      <c r="N313" s="37" t="inlineStr">
        <is>
          <t>7.0103</t>
        </is>
      </c>
      <c r="O313" s="17" t="n"/>
      <c r="P313" s="17" t="n"/>
      <c r="Q313" s="17" t="n"/>
      <c r="R313" s="17" t="n"/>
      <c r="S313" s="17" t="n"/>
    </row>
    <row r="314" ht="16" customHeight="1">
      <c r="A314" s="17" t="n"/>
      <c r="B314" s="36" t="inlineStr">
        <is>
          <t>Registriernummer der Schulung:</t>
        </is>
      </c>
      <c r="C314" s="17" t="n"/>
      <c r="D314" s="37">
        <f>Teilnehmer!C5</f>
        <v/>
      </c>
      <c r="E314" s="17" t="n"/>
      <c r="F314" s="17" t="n"/>
      <c r="G314" s="17" t="n"/>
      <c r="H314" s="17" t="n"/>
      <c r="I314" s="17" t="n"/>
      <c r="J314" s="18" t="n"/>
      <c r="K314" s="19" t="n"/>
      <c r="L314" s="36" t="inlineStr">
        <is>
          <t>Registriernummer der Schulung:</t>
        </is>
      </c>
      <c r="M314" s="17" t="n"/>
      <c r="N314" s="37">
        <f>Teilnehmer!C5</f>
        <v/>
      </c>
      <c r="O314" s="17" t="n"/>
      <c r="P314" s="17" t="n"/>
      <c r="Q314" s="17" t="n"/>
      <c r="R314" s="17" t="n"/>
      <c r="S314" s="17" t="n"/>
    </row>
    <row r="315" ht="11" customHeight="1">
      <c r="A315" s="39" t="inlineStr">
        <is>
          <t>¹ Die Teilnahme an der Ausbildung in betrieblicher Erster Hilfe gilt als Schulung in Erster Hilfe gem. § 19 FeV.   |   Stand Oktober 2023</t>
        </is>
      </c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8" t="n"/>
      <c r="K315" s="40" t="inlineStr">
        <is>
          <t>¹ Die Teilnahme an der Ausbildung in betrieblicher Erster Hilfe gilt als Schulung in Erster Hilfe gem. § 19 FeV.   |   Stand Oktober 2023</t>
        </is>
      </c>
      <c r="L315" s="17" t="n"/>
      <c r="M315" s="17" t="n"/>
      <c r="N315" s="17" t="n"/>
      <c r="O315" s="17" t="n"/>
      <c r="P315" s="17" t="n"/>
      <c r="Q315" s="17" t="n"/>
      <c r="R315" s="17" t="n"/>
      <c r="S315" s="17" t="n"/>
    </row>
    <row r="316" ht="12" customHeight="1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8" t="n"/>
      <c r="K316" s="19" t="n"/>
      <c r="L316" s="17" t="n"/>
      <c r="M316" s="17" t="n"/>
      <c r="N316" s="17" t="n"/>
      <c r="O316" s="17" t="n"/>
      <c r="P316" s="17" t="n"/>
      <c r="Q316" s="17" t="n"/>
      <c r="R316" s="17" t="n"/>
      <c r="S316" s="17" t="n"/>
    </row>
    <row r="317" ht="28" customHeight="1">
      <c r="A317" s="17" t="n"/>
      <c r="B317" s="17" t="n"/>
      <c r="C317" s="17" t="n"/>
      <c r="D317" s="20" t="inlineStr">
        <is>
          <t>Bescheinigung</t>
        </is>
      </c>
      <c r="E317" s="17" t="n"/>
      <c r="F317" s="17" t="n"/>
      <c r="G317" s="17" t="n"/>
      <c r="H317" s="17" t="n"/>
      <c r="I317" s="17" t="n"/>
      <c r="J317" s="18" t="n"/>
      <c r="K317" s="19" t="n"/>
      <c r="L317" s="17" t="n"/>
      <c r="M317" s="17" t="n"/>
      <c r="N317" s="20" t="inlineStr">
        <is>
          <t>Bescheinigung</t>
        </is>
      </c>
      <c r="O317" s="17" t="n"/>
      <c r="P317" s="17" t="n"/>
      <c r="Q317" s="17" t="n"/>
      <c r="R317" s="17" t="n"/>
      <c r="S317" s="17" t="n"/>
    </row>
    <row r="318" ht="16" customHeight="1">
      <c r="A318" s="17" t="n"/>
      <c r="B318" s="17" t="n"/>
      <c r="C318" s="17" t="n"/>
      <c r="D318" s="21" t="inlineStr">
        <is>
          <t>über die Teilnahme an einer Erste-Hilfe-</t>
        </is>
      </c>
      <c r="E318" s="17" t="n"/>
      <c r="F318" s="17" t="n"/>
      <c r="G318" s="17" t="n"/>
      <c r="H318" s="17" t="n"/>
      <c r="I318" s="17" t="n"/>
      <c r="J318" s="18" t="n"/>
      <c r="K318" s="19" t="n"/>
      <c r="L318" s="17" t="n"/>
      <c r="M318" s="17" t="n"/>
      <c r="N318" s="21" t="inlineStr">
        <is>
          <t>über die Teilnahme an einer Erste-Hilfe-</t>
        </is>
      </c>
      <c r="O318" s="17" t="n"/>
      <c r="P318" s="17" t="n"/>
      <c r="Q318" s="17" t="n"/>
      <c r="R318" s="17" t="n"/>
      <c r="S318" s="17" t="n"/>
    </row>
    <row r="319" ht="15" customHeight="1">
      <c r="A319" s="17" t="n"/>
      <c r="B319" s="17" t="n"/>
      <c r="C319" s="17" t="n"/>
      <c r="D319" s="22">
        <f>IF(Teilnehmer!F4="EH-Ausbildung","☑","☐")</f>
        <v/>
      </c>
      <c r="E319" s="21" t="inlineStr">
        <is>
          <t>Ausbildung¹ für betriebliche Ersthelfende</t>
        </is>
      </c>
      <c r="F319" s="17" t="n"/>
      <c r="G319" s="17" t="n"/>
      <c r="H319" s="17" t="n"/>
      <c r="I319" s="17" t="n"/>
      <c r="J319" s="18" t="n"/>
      <c r="K319" s="19" t="n"/>
      <c r="L319" s="17" t="n"/>
      <c r="M319" s="17" t="n"/>
      <c r="N319" s="22">
        <f>IF(Teilnehmer!F4="EH-Ausbildung","☑","☐")</f>
        <v/>
      </c>
      <c r="O319" s="21" t="inlineStr">
        <is>
          <t>Ausbildung¹ für betriebliche Ersthelfende</t>
        </is>
      </c>
      <c r="P319" s="17" t="n"/>
      <c r="Q319" s="17" t="n"/>
      <c r="R319" s="17" t="n"/>
      <c r="S319" s="17" t="n"/>
    </row>
    <row r="320" ht="15" customHeight="1">
      <c r="A320" s="17" t="n"/>
      <c r="B320" s="17" t="n"/>
      <c r="C320" s="17" t="n"/>
      <c r="D320" s="22">
        <f>IF(Teilnehmer!F4="EH-Fortbildung","☑","☐")</f>
        <v/>
      </c>
      <c r="E320" s="21" t="inlineStr">
        <is>
          <t>Fortbildung für betriebliche Ersthelfende</t>
        </is>
      </c>
      <c r="F320" s="17" t="n"/>
      <c r="G320" s="17" t="n"/>
      <c r="H320" s="17" t="n"/>
      <c r="I320" s="17" t="n"/>
      <c r="J320" s="18" t="n"/>
      <c r="K320" s="19" t="n"/>
      <c r="L320" s="17" t="n"/>
      <c r="M320" s="17" t="n"/>
      <c r="N320" s="22">
        <f>IF(Teilnehmer!F4="EH-Fortbildung","☑","☐")</f>
        <v/>
      </c>
      <c r="O320" s="21" t="inlineStr">
        <is>
          <t>Fortbildung für betriebliche Ersthelfende</t>
        </is>
      </c>
      <c r="P320" s="17" t="n"/>
      <c r="Q320" s="17" t="n"/>
      <c r="R320" s="17" t="n"/>
      <c r="S320" s="17" t="n"/>
    </row>
    <row r="321" ht="15" customHeight="1">
      <c r="A321" s="17" t="n"/>
      <c r="B321" s="17" t="n"/>
      <c r="C321" s="17" t="n"/>
      <c r="D321" s="22">
        <f>IF(Teilnehmer!F4="EH-Schulung","☑","☐")</f>
        <v/>
      </c>
      <c r="E321" s="21" t="inlineStr">
        <is>
          <t>Schulung in Bildungs- und Betreuungs-</t>
        </is>
      </c>
      <c r="F321" s="17" t="n"/>
      <c r="G321" s="17" t="n"/>
      <c r="H321" s="17" t="n"/>
      <c r="I321" s="17" t="n"/>
      <c r="J321" s="18" t="n"/>
      <c r="K321" s="19" t="n"/>
      <c r="L321" s="17" t="n"/>
      <c r="M321" s="17" t="n"/>
      <c r="N321" s="22">
        <f>IF(Teilnehmer!F4="EH-Schulung","☑","☐")</f>
        <v/>
      </c>
      <c r="O321" s="21" t="inlineStr">
        <is>
          <t>Schulung in Bildungs- und Betreuungs-</t>
        </is>
      </c>
      <c r="P321" s="17" t="n"/>
      <c r="Q321" s="17" t="n"/>
      <c r="R321" s="17" t="n"/>
      <c r="S321" s="17" t="n"/>
    </row>
    <row r="322" ht="13" customHeight="1">
      <c r="A322" s="17" t="n"/>
      <c r="B322" s="17" t="n"/>
      <c r="C322" s="17" t="n"/>
      <c r="D322" s="23" t="inlineStr">
        <is>
          <t>einrichtungen für Kinder</t>
        </is>
      </c>
      <c r="E322" s="17" t="n"/>
      <c r="F322" s="17" t="n"/>
      <c r="G322" s="17" t="n"/>
      <c r="H322" s="17" t="n"/>
      <c r="I322" s="17" t="n"/>
      <c r="J322" s="18" t="n"/>
      <c r="K322" s="19" t="n"/>
      <c r="L322" s="17" t="n"/>
      <c r="M322" s="17" t="n"/>
      <c r="N322" s="23" t="inlineStr">
        <is>
          <t>einrichtungen für Kinder</t>
        </is>
      </c>
      <c r="O322" s="17" t="n"/>
      <c r="P322" s="17" t="n"/>
      <c r="Q322" s="17" t="n"/>
      <c r="R322" s="17" t="n"/>
      <c r="S322" s="17" t="n"/>
    </row>
    <row r="323" ht="10" customHeight="1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8" t="n"/>
      <c r="K323" s="19" t="n"/>
      <c r="L323" s="17" t="n"/>
      <c r="M323" s="17" t="n"/>
      <c r="N323" s="17" t="n"/>
      <c r="O323" s="17" t="n"/>
      <c r="P323" s="17" t="n"/>
      <c r="Q323" s="17" t="n"/>
      <c r="R323" s="17" t="n"/>
      <c r="S323" s="17" t="n"/>
    </row>
    <row r="324" ht="9" customHeight="1">
      <c r="A324" s="24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18" t="n"/>
      <c r="K324" s="25" t="n"/>
      <c r="L324" s="24" t="n"/>
      <c r="M324" s="24" t="n"/>
      <c r="N324" s="24" t="n"/>
      <c r="O324" s="24" t="n"/>
      <c r="P324" s="24" t="n"/>
      <c r="Q324" s="24" t="n"/>
      <c r="R324" s="24" t="n"/>
      <c r="S324" s="24" t="n"/>
    </row>
    <row r="325" ht="18" customHeight="1">
      <c r="A325" s="24" t="n"/>
      <c r="B325" s="26">
        <f>Teilnehmer!B29</f>
        <v/>
      </c>
      <c r="C325" s="24" t="n"/>
      <c r="D325" s="24" t="n"/>
      <c r="E325" s="24" t="n"/>
      <c r="F325" s="26">
        <f>Teilnehmer!C29</f>
        <v/>
      </c>
      <c r="G325" s="24" t="n"/>
      <c r="H325" s="27" t="inlineStr">
        <is>
          <t>geb. am:</t>
        </is>
      </c>
      <c r="I325" s="26">
        <f>TEXT(Teilnehmer!D29,"DD.MM.YYYY")</f>
        <v/>
      </c>
      <c r="J325" s="18" t="n"/>
      <c r="K325" s="25" t="n"/>
      <c r="L325" s="26">
        <f>Teilnehmer!B30</f>
        <v/>
      </c>
      <c r="M325" s="24" t="n"/>
      <c r="N325" s="24" t="n"/>
      <c r="O325" s="24" t="n"/>
      <c r="P325" s="26">
        <f>Teilnehmer!C30</f>
        <v/>
      </c>
      <c r="Q325" s="24" t="n"/>
      <c r="R325" s="27" t="inlineStr">
        <is>
          <t>geb. am:</t>
        </is>
      </c>
      <c r="S325" s="26">
        <f>TEXT(Teilnehmer!D30,"DD.MM.YYYY")</f>
        <v/>
      </c>
    </row>
    <row r="326" ht="9" customHeight="1">
      <c r="A326" s="24" t="n"/>
      <c r="B326" s="28" t="inlineStr">
        <is>
          <t>Name</t>
        </is>
      </c>
      <c r="C326" s="24" t="n"/>
      <c r="D326" s="24" t="n"/>
      <c r="E326" s="24" t="n"/>
      <c r="F326" s="28" t="inlineStr">
        <is>
          <t>Vorname</t>
        </is>
      </c>
      <c r="G326" s="24" t="n"/>
      <c r="H326" s="24" t="n"/>
      <c r="I326" s="24" t="n"/>
      <c r="J326" s="18" t="n"/>
      <c r="K326" s="25" t="n"/>
      <c r="L326" s="28" t="inlineStr">
        <is>
          <t>Name</t>
        </is>
      </c>
      <c r="M326" s="24" t="n"/>
      <c r="N326" s="24" t="n"/>
      <c r="O326" s="24" t="n"/>
      <c r="P326" s="28" t="inlineStr">
        <is>
          <t>Vorname</t>
        </is>
      </c>
      <c r="Q326" s="24" t="n"/>
      <c r="R326" s="24" t="n"/>
      <c r="S326" s="24" t="n"/>
    </row>
    <row r="327" ht="16" customHeight="1">
      <c r="A327" s="24" t="n"/>
      <c r="B327" s="29" t="inlineStr">
        <is>
          <t>hat an dem 9 Unterrichtseinheiten (Nettounterrichtszeit 9 × 45 Minuten) umfassenden Lehrgang</t>
        </is>
      </c>
      <c r="C327" s="24" t="n"/>
      <c r="D327" s="24" t="n"/>
      <c r="E327" s="24" t="n"/>
      <c r="F327" s="24" t="n"/>
      <c r="G327" s="24" t="n"/>
      <c r="H327" s="24" t="n"/>
      <c r="I327" s="24" t="n"/>
      <c r="J327" s="18" t="n"/>
      <c r="K327" s="25" t="n"/>
      <c r="L327" s="29" t="inlineStr">
        <is>
          <t>hat an dem 9 Unterrichtseinheiten (Nettounterrichtszeit 9 × 45 Minuten) umfassenden Lehrgang</t>
        </is>
      </c>
      <c r="M327" s="24" t="n"/>
      <c r="N327" s="24" t="n"/>
      <c r="O327" s="24" t="n"/>
      <c r="P327" s="24" t="n"/>
      <c r="Q327" s="24" t="n"/>
      <c r="R327" s="24" t="n"/>
      <c r="S327" s="24" t="n"/>
    </row>
    <row r="328" ht="9" customHeight="1">
      <c r="A328" s="24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18" t="n"/>
      <c r="K328" s="25" t="n"/>
      <c r="L328" s="24" t="n"/>
      <c r="M328" s="24" t="n"/>
      <c r="N328" s="24" t="n"/>
      <c r="O328" s="24" t="n"/>
      <c r="P328" s="24" t="n"/>
      <c r="Q328" s="24" t="n"/>
      <c r="R328" s="24" t="n"/>
      <c r="S328" s="24" t="n"/>
    </row>
    <row r="329" ht="16" customHeight="1">
      <c r="A329" s="24" t="n"/>
      <c r="B329" s="27" t="inlineStr">
        <is>
          <t>am</t>
        </is>
      </c>
      <c r="C329" s="30">
        <f>TEXT(Teilnehmer!C3,"DD.MM.YYYY")</f>
        <v/>
      </c>
      <c r="D329" s="27" t="inlineStr">
        <is>
          <t>in der Zeit von</t>
        </is>
      </c>
      <c r="E329" s="30">
        <f>TEXT(Teilnehmer!F3,"HH:MM")</f>
        <v/>
      </c>
      <c r="F329" s="31" t="inlineStr">
        <is>
          <t>Uhr bis</t>
        </is>
      </c>
      <c r="G329" s="30">
        <f>TEXT(Teilnehmer!H3,"HH:MM")</f>
        <v/>
      </c>
      <c r="H329" s="27" t="inlineStr">
        <is>
          <t>Uhr</t>
        </is>
      </c>
      <c r="I329" s="24" t="n"/>
      <c r="J329" s="18" t="n"/>
      <c r="K329" s="25" t="n"/>
      <c r="L329" s="27" t="inlineStr">
        <is>
          <t>am</t>
        </is>
      </c>
      <c r="M329" s="30">
        <f>TEXT(Teilnehmer!C3,"DD.MM.YYYY")</f>
        <v/>
      </c>
      <c r="N329" s="27" t="inlineStr">
        <is>
          <t>in der Zeit von</t>
        </is>
      </c>
      <c r="O329" s="30">
        <f>TEXT(Teilnehmer!F3,"HH:MM")</f>
        <v/>
      </c>
      <c r="P329" s="31" t="inlineStr">
        <is>
          <t>Uhr bis</t>
        </is>
      </c>
      <c r="Q329" s="30">
        <f>TEXT(Teilnehmer!H3,"HH:MM")</f>
        <v/>
      </c>
      <c r="R329" s="27" t="inlineStr">
        <is>
          <t>Uhr</t>
        </is>
      </c>
      <c r="S329" s="24" t="n"/>
    </row>
    <row r="330" ht="9" customHeight="1">
      <c r="A330" s="24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18" t="n"/>
      <c r="K330" s="25" t="n"/>
      <c r="L330" s="24" t="n"/>
      <c r="M330" s="24" t="n"/>
      <c r="N330" s="24" t="n"/>
      <c r="O330" s="24" t="n"/>
      <c r="P330" s="24" t="n"/>
      <c r="Q330" s="24" t="n"/>
      <c r="R330" s="24" t="n"/>
      <c r="S330" s="24" t="n"/>
    </row>
    <row r="331" ht="16" customHeight="1">
      <c r="A331" s="24" t="n"/>
      <c r="B331" s="27" t="inlineStr">
        <is>
          <t>unter der Leitung von</t>
        </is>
      </c>
      <c r="C331" s="24" t="n"/>
      <c r="D331" s="32">
        <f>Teilnehmer!C4</f>
        <v/>
      </c>
      <c r="E331" s="33" t="n"/>
      <c r="F331" s="33" t="n"/>
      <c r="G331" s="33" t="n"/>
      <c r="H331" s="27" t="inlineStr">
        <is>
          <t>erfolgreich</t>
        </is>
      </c>
      <c r="I331" s="27" t="inlineStr">
        <is>
          <t>teilgen.</t>
        </is>
      </c>
      <c r="J331" s="18" t="n"/>
      <c r="K331" s="25" t="n"/>
      <c r="L331" s="27" t="inlineStr">
        <is>
          <t>unter der Leitung von</t>
        </is>
      </c>
      <c r="M331" s="24" t="n"/>
      <c r="N331" s="32">
        <f>Teilnehmer!C4</f>
        <v/>
      </c>
      <c r="O331" s="33" t="n"/>
      <c r="P331" s="33" t="n"/>
      <c r="Q331" s="33" t="n"/>
      <c r="R331" s="27" t="inlineStr">
        <is>
          <t>erfolgreich</t>
        </is>
      </c>
      <c r="S331" s="27" t="inlineStr">
        <is>
          <t>teilgen.</t>
        </is>
      </c>
    </row>
    <row r="332" ht="9" customHeight="1">
      <c r="A332" s="24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18" t="n"/>
      <c r="K332" s="25" t="n"/>
      <c r="L332" s="24" t="n"/>
      <c r="M332" s="24" t="n"/>
      <c r="N332" s="24" t="n"/>
      <c r="O332" s="24" t="n"/>
      <c r="P332" s="24" t="n"/>
      <c r="Q332" s="24" t="n"/>
      <c r="R332" s="24" t="n"/>
      <c r="S332" s="24" t="n"/>
    </row>
    <row r="333" ht="14" customHeight="1">
      <c r="A333" s="24" t="n"/>
      <c r="B333" s="27" t="inlineStr">
        <is>
          <t>Teilnehmerunterlagen ausgehändigt:    ☐ Ja    ☐ Nein</t>
        </is>
      </c>
      <c r="C333" s="24" t="n"/>
      <c r="D333" s="24" t="n"/>
      <c r="E333" s="24" t="n"/>
      <c r="F333" s="24" t="n"/>
      <c r="G333" s="24" t="n"/>
      <c r="H333" s="24" t="n"/>
      <c r="I333" s="24" t="n"/>
      <c r="J333" s="18" t="n"/>
      <c r="K333" s="25" t="n"/>
      <c r="L333" s="27" t="inlineStr">
        <is>
          <t>Teilnehmerunterlagen ausgehändigt:    ☐ Ja    ☐ Nein</t>
        </is>
      </c>
      <c r="M333" s="24" t="n"/>
      <c r="N333" s="24" t="n"/>
      <c r="O333" s="24" t="n"/>
      <c r="P333" s="24" t="n"/>
      <c r="Q333" s="24" t="n"/>
      <c r="R333" s="24" t="n"/>
      <c r="S333" s="24" t="n"/>
    </row>
    <row r="334" ht="8" customHeight="1">
      <c r="A334" s="24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18" t="n"/>
      <c r="K334" s="25" t="n"/>
      <c r="L334" s="24" t="n"/>
      <c r="M334" s="24" t="n"/>
      <c r="N334" s="24" t="n"/>
      <c r="O334" s="24" t="n"/>
      <c r="P334" s="24" t="n"/>
      <c r="Q334" s="24" t="n"/>
      <c r="R334" s="24" t="n"/>
      <c r="S334" s="24" t="n"/>
    </row>
    <row r="335" ht="16" customHeight="1">
      <c r="A335" s="24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18" t="n"/>
      <c r="K335" s="25" t="n"/>
      <c r="L335" s="24" t="n"/>
      <c r="M335" s="24" t="n"/>
      <c r="N335" s="24" t="n"/>
      <c r="O335" s="24" t="n"/>
      <c r="P335" s="24" t="n"/>
      <c r="Q335" s="24" t="n"/>
      <c r="R335" s="24" t="n"/>
      <c r="S335" s="24" t="n"/>
    </row>
    <row r="336" ht="16" customHeight="1">
      <c r="A336" s="24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18" t="n"/>
      <c r="K336" s="25" t="n"/>
      <c r="L336" s="24" t="n"/>
      <c r="M336" s="24" t="n"/>
      <c r="N336" s="24" t="n"/>
      <c r="O336" s="24" t="n"/>
      <c r="P336" s="24" t="n"/>
      <c r="Q336" s="24" t="n"/>
      <c r="R336" s="24" t="n"/>
      <c r="S336" s="24" t="n"/>
    </row>
    <row r="337" ht="16" customHeight="1">
      <c r="A337" s="24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18" t="n"/>
      <c r="K337" s="25" t="n"/>
      <c r="L337" s="24" t="n"/>
      <c r="M337" s="24" t="n"/>
      <c r="N337" s="24" t="n"/>
      <c r="O337" s="24" t="n"/>
      <c r="P337" s="24" t="n"/>
      <c r="Q337" s="24" t="n"/>
      <c r="R337" s="24" t="n"/>
      <c r="S337" s="24" t="n"/>
    </row>
    <row r="338" ht="16" customHeight="1">
      <c r="A338" s="24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18" t="n"/>
      <c r="K338" s="25" t="n"/>
      <c r="L338" s="24" t="n"/>
      <c r="M338" s="24" t="n"/>
      <c r="N338" s="24" t="n"/>
      <c r="O338" s="24" t="n"/>
      <c r="P338" s="24" t="n"/>
      <c r="Q338" s="24" t="n"/>
      <c r="R338" s="24" t="n"/>
      <c r="S338" s="24" t="n"/>
    </row>
    <row r="339" ht="16" customHeight="1">
      <c r="A339" s="24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18" t="n"/>
      <c r="K339" s="25" t="n"/>
      <c r="L339" s="24" t="n"/>
      <c r="M339" s="24" t="n"/>
      <c r="N339" s="24" t="n"/>
      <c r="O339" s="24" t="n"/>
      <c r="P339" s="24" t="n"/>
      <c r="Q339" s="24" t="n"/>
      <c r="R339" s="24" t="n"/>
      <c r="S339" s="24" t="n"/>
    </row>
    <row r="340" ht="13" customHeight="1">
      <c r="A340" s="24" t="n"/>
      <c r="B340" s="34" t="inlineStr">
        <is>
          <t>Erste Hilfe Handbuch
(DGUV Information 204-007)</t>
        </is>
      </c>
      <c r="C340" s="24" t="n"/>
      <c r="D340" s="24" t="n"/>
      <c r="E340" s="34" t="inlineStr">
        <is>
          <t>Handbuch zur Ersten Hilfe in Bildungs-
und Betreuungseinrichtungen für Kinder
(DGUV Information 204-008)</t>
        </is>
      </c>
      <c r="F340" s="24" t="n"/>
      <c r="G340" s="24" t="n"/>
      <c r="H340" s="24" t="n"/>
      <c r="I340" s="24" t="n"/>
      <c r="J340" s="18" t="n"/>
      <c r="K340" s="25" t="n"/>
      <c r="L340" s="34" t="inlineStr">
        <is>
          <t>Erste Hilfe Handbuch
(DGUV Information 204-007)</t>
        </is>
      </c>
      <c r="M340" s="24" t="n"/>
      <c r="N340" s="24" t="n"/>
      <c r="O340" s="34" t="inlineStr">
        <is>
          <t>Handbuch zur Ersten Hilfe in Bildungs-
und Betreuungseinrichtungen für Kinder
(DGUV Information 204-008)</t>
        </is>
      </c>
      <c r="P340" s="24" t="n"/>
      <c r="Q340" s="24" t="n"/>
      <c r="R340" s="24" t="n"/>
      <c r="S340" s="24" t="n"/>
    </row>
    <row r="341" ht="12" customHeight="1">
      <c r="A341" s="24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18" t="n"/>
      <c r="K341" s="25" t="n"/>
      <c r="L341" s="24" t="n"/>
      <c r="M341" s="24" t="n"/>
      <c r="N341" s="24" t="n"/>
      <c r="O341" s="24" t="n"/>
      <c r="P341" s="24" t="n"/>
      <c r="Q341" s="24" t="n"/>
      <c r="R341" s="24" t="n"/>
      <c r="S341" s="24" t="n"/>
    </row>
    <row r="342" ht="8" customHeight="1">
      <c r="A342" s="24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18" t="n"/>
      <c r="K342" s="25" t="n"/>
      <c r="L342" s="24" t="n"/>
      <c r="M342" s="24" t="n"/>
      <c r="N342" s="24" t="n"/>
      <c r="O342" s="24" t="n"/>
      <c r="P342" s="24" t="n"/>
      <c r="Q342" s="24" t="n"/>
      <c r="R342" s="24" t="n"/>
      <c r="S342" s="24" t="n"/>
    </row>
    <row r="343" ht="20" customHeight="1">
      <c r="A343" s="24" t="n"/>
      <c r="B343" s="26">
        <f>Teilnehmer!C7&amp;", den "&amp;TEXT(Teilnehmer!C3,"DD.MM.YYYY")</f>
        <v/>
      </c>
      <c r="C343" s="24" t="n"/>
      <c r="D343" s="24" t="n"/>
      <c r="E343" s="35" t="n"/>
      <c r="F343" s="24" t="n"/>
      <c r="G343" s="24" t="n"/>
      <c r="H343" s="24" t="n"/>
      <c r="I343" s="24" t="n"/>
      <c r="J343" s="18" t="n"/>
      <c r="K343" s="25" t="n"/>
      <c r="L343" s="26">
        <f>Teilnehmer!C7&amp;", den "&amp;TEXT(Teilnehmer!C3,"DD.MM.YYYY")</f>
        <v/>
      </c>
      <c r="M343" s="24" t="n"/>
      <c r="N343" s="24" t="n"/>
      <c r="O343" s="35" t="n"/>
      <c r="P343" s="24" t="n"/>
      <c r="Q343" s="24" t="n"/>
      <c r="R343" s="24" t="n"/>
      <c r="S343" s="24" t="n"/>
    </row>
    <row r="344" ht="13" customHeight="1">
      <c r="A344" s="24" t="n"/>
      <c r="B344" s="28" t="inlineStr">
        <is>
          <t>Ort</t>
        </is>
      </c>
      <c r="C344" s="24" t="n"/>
      <c r="D344" s="28" t="inlineStr">
        <is>
          <t>Datum</t>
        </is>
      </c>
      <c r="E344" s="28" t="inlineStr">
        <is>
          <t>Unterschrift der Lehrkraft</t>
        </is>
      </c>
      <c r="F344" s="24" t="n"/>
      <c r="G344" s="24" t="n"/>
      <c r="H344" s="24" t="n"/>
      <c r="I344" s="24" t="n"/>
      <c r="J344" s="18" t="n"/>
      <c r="K344" s="25" t="n"/>
      <c r="L344" s="28" t="inlineStr">
        <is>
          <t>Ort</t>
        </is>
      </c>
      <c r="M344" s="24" t="n"/>
      <c r="N344" s="28" t="inlineStr">
        <is>
          <t>Datum</t>
        </is>
      </c>
      <c r="O344" s="28" t="inlineStr">
        <is>
          <t>Unterschrift der Lehrkraft</t>
        </is>
      </c>
      <c r="P344" s="24" t="n"/>
      <c r="Q344" s="24" t="n"/>
      <c r="R344" s="24" t="n"/>
      <c r="S344" s="24" t="n"/>
    </row>
    <row r="345" ht="8" customHeight="1">
      <c r="A345" s="24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18" t="n"/>
      <c r="K345" s="25" t="n"/>
      <c r="L345" s="24" t="n"/>
      <c r="M345" s="24" t="n"/>
      <c r="N345" s="24" t="n"/>
      <c r="O345" s="24" t="n"/>
      <c r="P345" s="24" t="n"/>
      <c r="Q345" s="24" t="n"/>
      <c r="R345" s="24" t="n"/>
      <c r="S345" s="24" t="n"/>
    </row>
    <row r="346" ht="3" customHeight="1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8" t="n"/>
      <c r="K346" s="19" t="n"/>
      <c r="L346" s="17" t="n"/>
      <c r="M346" s="17" t="n"/>
      <c r="N346" s="17" t="n"/>
      <c r="O346" s="17" t="n"/>
      <c r="P346" s="17" t="n"/>
      <c r="Q346" s="17" t="n"/>
      <c r="R346" s="17" t="n"/>
      <c r="S346" s="17" t="n"/>
    </row>
    <row r="347" ht="18" customHeight="1">
      <c r="A347" s="17" t="n"/>
      <c r="B347" s="36" t="inlineStr">
        <is>
          <t>Name der ermächtigten Stelle:</t>
        </is>
      </c>
      <c r="C347" s="17" t="n"/>
      <c r="D347" s="37" t="inlineStr">
        <is>
          <t>Mercedes-Benz AG</t>
        </is>
      </c>
      <c r="E347" s="17" t="n"/>
      <c r="F347" s="17" t="n"/>
      <c r="G347" s="17" t="n"/>
      <c r="H347" s="17" t="n"/>
      <c r="I347" s="17" t="n"/>
      <c r="J347" s="18" t="n"/>
      <c r="K347" s="19" t="n"/>
      <c r="L347" s="36" t="inlineStr">
        <is>
          <t>Name der ermächtigten Stelle:</t>
        </is>
      </c>
      <c r="M347" s="17" t="n"/>
      <c r="N347" s="37" t="inlineStr">
        <is>
          <t>Mercedes-Benz AG</t>
        </is>
      </c>
      <c r="O347" s="17" t="n"/>
      <c r="P347" s="17" t="n"/>
      <c r="Q347" s="17" t="n"/>
      <c r="R347" s="17" t="n"/>
      <c r="S347" s="17" t="n"/>
    </row>
    <row r="348" ht="16" customHeight="1">
      <c r="A348" s="17" t="n"/>
      <c r="B348" s="38" t="inlineStr">
        <is>
          <t>Kennnummer gemäß
§ 26 DGUV Vorschrift 1:</t>
        </is>
      </c>
      <c r="C348" s="17" t="n"/>
      <c r="D348" s="37" t="inlineStr">
        <is>
          <t>7.0103</t>
        </is>
      </c>
      <c r="E348" s="17" t="n"/>
      <c r="F348" s="17" t="n"/>
      <c r="G348" s="17" t="n"/>
      <c r="H348" s="17" t="n"/>
      <c r="I348" s="17" t="n"/>
      <c r="J348" s="18" t="n"/>
      <c r="K348" s="19" t="n"/>
      <c r="L348" s="38" t="inlineStr">
        <is>
          <t>Kennnummer gemäß
§ 26 DGUV Vorschrift 1:</t>
        </is>
      </c>
      <c r="M348" s="17" t="n"/>
      <c r="N348" s="37" t="inlineStr">
        <is>
          <t>7.0103</t>
        </is>
      </c>
      <c r="O348" s="17" t="n"/>
      <c r="P348" s="17" t="n"/>
      <c r="Q348" s="17" t="n"/>
      <c r="R348" s="17" t="n"/>
      <c r="S348" s="17" t="n"/>
    </row>
    <row r="349" ht="16" customHeight="1">
      <c r="A349" s="17" t="n"/>
      <c r="B349" s="36" t="inlineStr">
        <is>
          <t>Registriernummer der Schulung:</t>
        </is>
      </c>
      <c r="C349" s="17" t="n"/>
      <c r="D349" s="37">
        <f>Teilnehmer!C5</f>
        <v/>
      </c>
      <c r="E349" s="17" t="n"/>
      <c r="F349" s="17" t="n"/>
      <c r="G349" s="17" t="n"/>
      <c r="H349" s="17" t="n"/>
      <c r="I349" s="17" t="n"/>
      <c r="J349" s="18" t="n"/>
      <c r="K349" s="19" t="n"/>
      <c r="L349" s="36" t="inlineStr">
        <is>
          <t>Registriernummer der Schulung:</t>
        </is>
      </c>
      <c r="M349" s="17" t="n"/>
      <c r="N349" s="37">
        <f>Teilnehmer!C5</f>
        <v/>
      </c>
      <c r="O349" s="17" t="n"/>
      <c r="P349" s="17" t="n"/>
      <c r="Q349" s="17" t="n"/>
      <c r="R349" s="17" t="n"/>
      <c r="S349" s="17" t="n"/>
    </row>
    <row r="350" ht="11" customHeight="1">
      <c r="A350" s="39" t="inlineStr">
        <is>
          <t>¹ Die Teilnahme an der Ausbildung in betrieblicher Erster Hilfe gilt als Schulung in Erster Hilfe gem. § 19 FeV.   |   Stand Oktober 2023</t>
        </is>
      </c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8" t="n"/>
      <c r="K350" s="40" t="inlineStr">
        <is>
          <t>¹ Die Teilnahme an der Ausbildung in betrieblicher Erster Hilfe gilt als Schulung in Erster Hilfe gem. § 19 FeV.   |   Stand Oktober 2023</t>
        </is>
      </c>
      <c r="L350" s="17" t="n"/>
      <c r="M350" s="17" t="n"/>
      <c r="N350" s="17" t="n"/>
      <c r="O350" s="17" t="n"/>
      <c r="P350" s="17" t="n"/>
      <c r="Q350" s="17" t="n"/>
      <c r="R350" s="17" t="n"/>
      <c r="S350" s="17" t="n"/>
    </row>
  </sheetData>
  <mergeCells count="400">
    <mergeCell ref="B60:D60"/>
    <mergeCell ref="D32:I32"/>
    <mergeCell ref="O28:S28"/>
    <mergeCell ref="N261:Q261"/>
    <mergeCell ref="E39:I39"/>
    <mergeCell ref="L47:S47"/>
    <mergeCell ref="N147:S147"/>
    <mergeCell ref="L325:O325"/>
    <mergeCell ref="N156:Q156"/>
    <mergeCell ref="N178:S178"/>
    <mergeCell ref="N34:S34"/>
    <mergeCell ref="D173:I173"/>
    <mergeCell ref="B243:C243"/>
    <mergeCell ref="B305:D305"/>
    <mergeCell ref="N207:S207"/>
    <mergeCell ref="L123:S123"/>
    <mergeCell ref="L95:N95"/>
    <mergeCell ref="D174:I174"/>
    <mergeCell ref="B290:E290"/>
    <mergeCell ref="L45:O45"/>
    <mergeCell ref="N77:S77"/>
    <mergeCell ref="L278:M278"/>
    <mergeCell ref="L327:S327"/>
    <mergeCell ref="D312:I312"/>
    <mergeCell ref="D51:G51"/>
    <mergeCell ref="D7:I7"/>
    <mergeCell ref="A210:I210"/>
    <mergeCell ref="B308:D308"/>
    <mergeCell ref="L63:N63"/>
    <mergeCell ref="B263:I263"/>
    <mergeCell ref="O95:Q95"/>
    <mergeCell ref="B152:I152"/>
    <mergeCell ref="O215:S215"/>
    <mergeCell ref="P115:Q115"/>
    <mergeCell ref="F45:G45"/>
    <mergeCell ref="O4:S4"/>
    <mergeCell ref="E320:I320"/>
    <mergeCell ref="O75:S75"/>
    <mergeCell ref="D73:I73"/>
    <mergeCell ref="L117:S117"/>
    <mergeCell ref="B203:D203"/>
    <mergeCell ref="O273:S273"/>
    <mergeCell ref="D296:G296"/>
    <mergeCell ref="E144:I144"/>
    <mergeCell ref="O144:S144"/>
    <mergeCell ref="A350:I350"/>
    <mergeCell ref="B313:C313"/>
    <mergeCell ref="P255:Q255"/>
    <mergeCell ref="D213:I213"/>
    <mergeCell ref="N102:S102"/>
    <mergeCell ref="L255:O255"/>
    <mergeCell ref="L103:M103"/>
    <mergeCell ref="B208:C208"/>
    <mergeCell ref="L53:S53"/>
    <mergeCell ref="O284:S284"/>
    <mergeCell ref="N103:S103"/>
    <mergeCell ref="E308:I308"/>
    <mergeCell ref="O63:S63"/>
    <mergeCell ref="P325:Q325"/>
    <mergeCell ref="O286:S286"/>
    <mergeCell ref="E74:I74"/>
    <mergeCell ref="A280:I280"/>
    <mergeCell ref="D142:I142"/>
    <mergeCell ref="L340:N340"/>
    <mergeCell ref="E168:I168"/>
    <mergeCell ref="B158:I158"/>
    <mergeCell ref="E235:G235"/>
    <mergeCell ref="B165:D165"/>
    <mergeCell ref="N32:S32"/>
    <mergeCell ref="N7:S7"/>
    <mergeCell ref="D208:I208"/>
    <mergeCell ref="N243:S243"/>
    <mergeCell ref="L308:N308"/>
    <mergeCell ref="B238:D238"/>
    <mergeCell ref="E321:I321"/>
    <mergeCell ref="D139:I139"/>
    <mergeCell ref="P45:Q45"/>
    <mergeCell ref="F290:G290"/>
    <mergeCell ref="L130:N130"/>
    <mergeCell ref="O145:S145"/>
    <mergeCell ref="E181:I181"/>
    <mergeCell ref="N296:Q296"/>
    <mergeCell ref="D313:I313"/>
    <mergeCell ref="L313:M313"/>
    <mergeCell ref="E25:G25"/>
    <mergeCell ref="B95:D95"/>
    <mergeCell ref="D279:I279"/>
    <mergeCell ref="N279:S279"/>
    <mergeCell ref="E110:I110"/>
    <mergeCell ref="E76:I76"/>
    <mergeCell ref="D156:G156"/>
    <mergeCell ref="E238:I238"/>
    <mergeCell ref="L220:O220"/>
    <mergeCell ref="K140:S140"/>
    <mergeCell ref="D209:I209"/>
    <mergeCell ref="B325:E325"/>
    <mergeCell ref="D147:I147"/>
    <mergeCell ref="N73:S73"/>
    <mergeCell ref="N244:S244"/>
    <mergeCell ref="B45:E45"/>
    <mergeCell ref="L68:M68"/>
    <mergeCell ref="E4:I4"/>
    <mergeCell ref="B168:D168"/>
    <mergeCell ref="L168:N168"/>
    <mergeCell ref="E340:G340"/>
    <mergeCell ref="N137:S137"/>
    <mergeCell ref="L18:S18"/>
    <mergeCell ref="L88:S88"/>
    <mergeCell ref="P185:Q185"/>
    <mergeCell ref="D86:G86"/>
    <mergeCell ref="O130:Q130"/>
    <mergeCell ref="B187:I187"/>
    <mergeCell ref="N213:S213"/>
    <mergeCell ref="L173:M173"/>
    <mergeCell ref="N3:S3"/>
    <mergeCell ref="D108:I108"/>
    <mergeCell ref="B98:D98"/>
    <mergeCell ref="N282:S282"/>
    <mergeCell ref="B47:I47"/>
    <mergeCell ref="O308:S308"/>
    <mergeCell ref="B193:I193"/>
    <mergeCell ref="D226:G226"/>
    <mergeCell ref="N226:Q226"/>
    <mergeCell ref="D72:I72"/>
    <mergeCell ref="O39:S39"/>
    <mergeCell ref="E215:I215"/>
    <mergeCell ref="L12:S12"/>
    <mergeCell ref="N348:S348"/>
    <mergeCell ref="O5:S5"/>
    <mergeCell ref="O168:S168"/>
    <mergeCell ref="D42:I42"/>
    <mergeCell ref="N208:S208"/>
    <mergeCell ref="L238:N238"/>
    <mergeCell ref="B103:C103"/>
    <mergeCell ref="B343:D343"/>
    <mergeCell ref="N139:S139"/>
    <mergeCell ref="N138:S138"/>
    <mergeCell ref="N174:S174"/>
    <mergeCell ref="E109:I109"/>
    <mergeCell ref="O181:S181"/>
    <mergeCell ref="E145:I145"/>
    <mergeCell ref="L235:N235"/>
    <mergeCell ref="E111:I111"/>
    <mergeCell ref="E98:I98"/>
    <mergeCell ref="E203:I203"/>
    <mergeCell ref="E270:G270"/>
    <mergeCell ref="O25:Q25"/>
    <mergeCell ref="L80:O80"/>
    <mergeCell ref="A175:I175"/>
    <mergeCell ref="D103:I103"/>
    <mergeCell ref="B117:I117"/>
    <mergeCell ref="B185:E185"/>
    <mergeCell ref="F325:G325"/>
    <mergeCell ref="D38:I38"/>
    <mergeCell ref="L203:N203"/>
    <mergeCell ref="E216:I216"/>
    <mergeCell ref="F220:G220"/>
    <mergeCell ref="L193:S193"/>
    <mergeCell ref="B298:I298"/>
    <mergeCell ref="B130:D130"/>
    <mergeCell ref="L10:O10"/>
    <mergeCell ref="N209:S209"/>
    <mergeCell ref="D2:I2"/>
    <mergeCell ref="O340:Q340"/>
    <mergeCell ref="N322:S322"/>
    <mergeCell ref="D287:I287"/>
    <mergeCell ref="N42:S42"/>
    <mergeCell ref="L343:N343"/>
    <mergeCell ref="L208:M208"/>
    <mergeCell ref="B18:I18"/>
    <mergeCell ref="N317:S317"/>
    <mergeCell ref="N86:Q86"/>
    <mergeCell ref="D191:G191"/>
    <mergeCell ref="O60:Q60"/>
    <mergeCell ref="L150:O150"/>
    <mergeCell ref="O74:S74"/>
    <mergeCell ref="L333:S333"/>
    <mergeCell ref="K175:S175"/>
    <mergeCell ref="O40:S40"/>
    <mergeCell ref="D182:I182"/>
    <mergeCell ref="N108:S108"/>
    <mergeCell ref="L98:N98"/>
    <mergeCell ref="O270:Q270"/>
    <mergeCell ref="B68:C68"/>
    <mergeCell ref="D282:I282"/>
    <mergeCell ref="N37:S37"/>
    <mergeCell ref="A315:I315"/>
    <mergeCell ref="N72:S72"/>
    <mergeCell ref="D248:I248"/>
    <mergeCell ref="K35:S35"/>
    <mergeCell ref="D104:I104"/>
    <mergeCell ref="O200:Q200"/>
    <mergeCell ref="L257:S257"/>
    <mergeCell ref="D121:G121"/>
    <mergeCell ref="D277:I277"/>
    <mergeCell ref="E5:I5"/>
    <mergeCell ref="O216:S216"/>
    <mergeCell ref="O343:S343"/>
    <mergeCell ref="B228:I228"/>
    <mergeCell ref="D137:I137"/>
    <mergeCell ref="P80:Q80"/>
    <mergeCell ref="D3:I3"/>
    <mergeCell ref="A35:I35"/>
    <mergeCell ref="D68:I68"/>
    <mergeCell ref="B133:D133"/>
    <mergeCell ref="E305:G305"/>
    <mergeCell ref="O320:S320"/>
    <mergeCell ref="B88:I88"/>
    <mergeCell ref="B82:I82"/>
    <mergeCell ref="D67:I67"/>
    <mergeCell ref="F185:G185"/>
    <mergeCell ref="B348:C348"/>
    <mergeCell ref="A245:I245"/>
    <mergeCell ref="O109:S109"/>
    <mergeCell ref="E250:I250"/>
    <mergeCell ref="D69:I69"/>
    <mergeCell ref="E165:G165"/>
    <mergeCell ref="O76:S76"/>
    <mergeCell ref="O203:S203"/>
    <mergeCell ref="B123:I123"/>
    <mergeCell ref="N191:Q191"/>
    <mergeCell ref="E251:I251"/>
    <mergeCell ref="E214:I214"/>
    <mergeCell ref="B138:C138"/>
    <mergeCell ref="E60:G60"/>
    <mergeCell ref="P10:Q10"/>
    <mergeCell ref="K105:S105"/>
    <mergeCell ref="B12:I12"/>
    <mergeCell ref="N182:S182"/>
    <mergeCell ref="N38:S38"/>
    <mergeCell ref="D283:I283"/>
    <mergeCell ref="D347:I347"/>
    <mergeCell ref="P220:Q220"/>
    <mergeCell ref="L298:S298"/>
    <mergeCell ref="L270:N270"/>
    <mergeCell ref="N177:S177"/>
    <mergeCell ref="D349:I349"/>
    <mergeCell ref="E6:I6"/>
    <mergeCell ref="B220:E220"/>
    <mergeCell ref="E133:I133"/>
    <mergeCell ref="P150:Q150"/>
    <mergeCell ref="N121:Q121"/>
    <mergeCell ref="D138:I138"/>
    <mergeCell ref="N287:S287"/>
    <mergeCell ref="L222:S222"/>
    <mergeCell ref="B235:D235"/>
    <mergeCell ref="D77:I77"/>
    <mergeCell ref="N68:S68"/>
    <mergeCell ref="L133:N133"/>
    <mergeCell ref="B327:I327"/>
    <mergeCell ref="L82:S82"/>
    <mergeCell ref="B80:E80"/>
    <mergeCell ref="L348:M348"/>
    <mergeCell ref="O179:S179"/>
    <mergeCell ref="O250:S250"/>
    <mergeCell ref="E180:I180"/>
    <mergeCell ref="D322:I322"/>
    <mergeCell ref="O214:S214"/>
    <mergeCell ref="E319:I319"/>
    <mergeCell ref="L138:M138"/>
    <mergeCell ref="B25:D25"/>
    <mergeCell ref="N104:S104"/>
    <mergeCell ref="E179:I179"/>
    <mergeCell ref="N212:S212"/>
    <mergeCell ref="N112:S112"/>
    <mergeCell ref="D217:I217"/>
    <mergeCell ref="N283:S283"/>
    <mergeCell ref="N277:S277"/>
    <mergeCell ref="L273:N273"/>
    <mergeCell ref="L228:S228"/>
    <mergeCell ref="N107:S107"/>
    <mergeCell ref="N278:S278"/>
    <mergeCell ref="O6:S6"/>
    <mergeCell ref="L292:S292"/>
    <mergeCell ref="O98:S98"/>
    <mergeCell ref="O305:Q305"/>
    <mergeCell ref="O285:S285"/>
    <mergeCell ref="N67:S67"/>
    <mergeCell ref="D212:I212"/>
    <mergeCell ref="D317:I317"/>
    <mergeCell ref="D37:I37"/>
    <mergeCell ref="K245:S245"/>
    <mergeCell ref="E63:I63"/>
    <mergeCell ref="K70:S70"/>
    <mergeCell ref="B150:E150"/>
    <mergeCell ref="D143:I143"/>
    <mergeCell ref="N69:S69"/>
    <mergeCell ref="B333:I333"/>
    <mergeCell ref="O165:Q165"/>
    <mergeCell ref="B340:D340"/>
    <mergeCell ref="D207:I207"/>
    <mergeCell ref="N173:S173"/>
    <mergeCell ref="B257:I257"/>
    <mergeCell ref="O251:S251"/>
    <mergeCell ref="O238:S238"/>
    <mergeCell ref="D314:I314"/>
    <mergeCell ref="L305:N305"/>
    <mergeCell ref="L152:S152"/>
    <mergeCell ref="D16:G16"/>
    <mergeCell ref="A70:I70"/>
    <mergeCell ref="E200:G200"/>
    <mergeCell ref="O111:S111"/>
    <mergeCell ref="N347:S347"/>
    <mergeCell ref="E343:I343"/>
    <mergeCell ref="K350:S350"/>
    <mergeCell ref="E95:G95"/>
    <mergeCell ref="B28:D28"/>
    <mergeCell ref="B270:D270"/>
    <mergeCell ref="L25:N25"/>
    <mergeCell ref="N349:S349"/>
    <mergeCell ref="F80:G80"/>
    <mergeCell ref="L60:N60"/>
    <mergeCell ref="E249:I249"/>
    <mergeCell ref="A140:I140"/>
    <mergeCell ref="E40:I40"/>
    <mergeCell ref="B115:E115"/>
    <mergeCell ref="D318:I318"/>
    <mergeCell ref="D331:G331"/>
    <mergeCell ref="B33:C33"/>
    <mergeCell ref="L290:O290"/>
    <mergeCell ref="K315:S315"/>
    <mergeCell ref="N143:S143"/>
    <mergeCell ref="O180:S180"/>
    <mergeCell ref="B255:E255"/>
    <mergeCell ref="N248:S248"/>
    <mergeCell ref="F10:G10"/>
    <mergeCell ref="L243:M243"/>
    <mergeCell ref="N312:S312"/>
    <mergeCell ref="A105:I105"/>
    <mergeCell ref="O319:S319"/>
    <mergeCell ref="E28:I28"/>
    <mergeCell ref="D261:G261"/>
    <mergeCell ref="N16:Q16"/>
    <mergeCell ref="D177:I177"/>
    <mergeCell ref="D33:I33"/>
    <mergeCell ref="N51:Q51"/>
    <mergeCell ref="N217:S217"/>
    <mergeCell ref="F150:G150"/>
    <mergeCell ref="D178:I178"/>
    <mergeCell ref="D34:I34"/>
    <mergeCell ref="D172:I172"/>
    <mergeCell ref="D243:I243"/>
    <mergeCell ref="B273:D273"/>
    <mergeCell ref="L28:N28"/>
    <mergeCell ref="E41:I41"/>
    <mergeCell ref="B222:I222"/>
    <mergeCell ref="O235:Q235"/>
    <mergeCell ref="L165:N165"/>
    <mergeCell ref="O249:S249"/>
    <mergeCell ref="N2:S2"/>
    <mergeCell ref="E285:I285"/>
    <mergeCell ref="L187:S187"/>
    <mergeCell ref="N247:S247"/>
    <mergeCell ref="N318:S318"/>
    <mergeCell ref="D112:I112"/>
    <mergeCell ref="D348:I348"/>
    <mergeCell ref="B278:C278"/>
    <mergeCell ref="L33:M33"/>
    <mergeCell ref="K210:S210"/>
    <mergeCell ref="N314:S314"/>
    <mergeCell ref="L263:S263"/>
    <mergeCell ref="B63:D63"/>
    <mergeCell ref="N142:S142"/>
    <mergeCell ref="N313:S313"/>
    <mergeCell ref="D252:I252"/>
    <mergeCell ref="O133:S133"/>
    <mergeCell ref="F115:G115"/>
    <mergeCell ref="D247:I247"/>
    <mergeCell ref="L158:S158"/>
    <mergeCell ref="E273:I273"/>
    <mergeCell ref="B173:C173"/>
    <mergeCell ref="P290:Q290"/>
    <mergeCell ref="D242:I242"/>
    <mergeCell ref="D107:I107"/>
    <mergeCell ref="N33:S33"/>
    <mergeCell ref="D278:I278"/>
    <mergeCell ref="B292:I292"/>
    <mergeCell ref="D244:I244"/>
    <mergeCell ref="L115:O115"/>
    <mergeCell ref="F255:G255"/>
    <mergeCell ref="L200:N200"/>
    <mergeCell ref="N172:S172"/>
    <mergeCell ref="D102:I102"/>
    <mergeCell ref="O321:S321"/>
    <mergeCell ref="N331:Q331"/>
    <mergeCell ref="O41:S41"/>
    <mergeCell ref="O146:S146"/>
    <mergeCell ref="B53:I53"/>
    <mergeCell ref="E284:I284"/>
    <mergeCell ref="K280:S280"/>
    <mergeCell ref="E130:G130"/>
    <mergeCell ref="B200:D200"/>
    <mergeCell ref="O110:S110"/>
    <mergeCell ref="L185:O185"/>
    <mergeCell ref="E286:I286"/>
    <mergeCell ref="N242:S242"/>
    <mergeCell ref="E75:I75"/>
    <mergeCell ref="E146:I146"/>
    <mergeCell ref="B10:E10"/>
    <mergeCell ref="N252:S252"/>
  </mergeCells>
  <pageMargins left="0.2" right="0.2" top="0.2" bottom="0.2" header="0.1" footer="0.1"/>
  <pageSetup orientation="landscape" paperSize="9" fitToHeight="10" fitToWidth="1"/>
  <rowBreaks count="9" manualBreakCount="9">
    <brk id="35" min="0" max="16383" man="1"/>
    <brk id="70" min="0" max="16383" man="1"/>
    <brk id="105" min="0" max="16383" man="1"/>
    <brk id="140" min="0" max="16383" man="1"/>
    <brk id="175" min="0" max="16383" man="1"/>
    <brk id="210" min="0" max="16383" man="1"/>
    <brk id="245" min="0" max="16383" man="1"/>
    <brk id="280" min="0" max="16383" man="1"/>
    <brk id="315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FF6F00"/>
    <outlinePr summaryBelow="1" summaryRight="1"/>
    <pageSetUpPr fitToPage="1"/>
  </sheetPr>
  <dimension ref="A1:J83"/>
  <sheetViews>
    <sheetView workbookViewId="0">
      <selection activeCell="A1" sqref="A1"/>
    </sheetView>
  </sheetViews>
  <sheetFormatPr baseColWidth="8" defaultRowHeight="15"/>
  <cols>
    <col width="10.6640625" customWidth="1" min="1" max="1"/>
    <col width="62.44140625" customWidth="1" min="2" max="2"/>
    <col width="38.5546875" customWidth="1" min="3" max="3"/>
    <col width="40.6640625" customWidth="1" min="4" max="4"/>
    <col width="21.6640625" customWidth="1" min="5" max="5"/>
    <col width="4.33203125" customWidth="1" min="6" max="6"/>
  </cols>
  <sheetData>
    <row r="1" ht="42" customHeight="1"/>
    <row r="2" ht="41.25" customHeight="1">
      <c r="D2" s="41" t="n"/>
      <c r="J2">
        <f>IF(Teilnehmer!F3,Teilnehmer!F3,"")</f>
        <v/>
      </c>
    </row>
    <row r="3" ht="38.25" customHeight="1">
      <c r="D3" s="41" t="n"/>
    </row>
    <row r="4" ht="38.25" customHeight="1">
      <c r="D4" s="42" t="n"/>
    </row>
    <row r="5" ht="42" customHeight="1">
      <c r="B5" s="43" t="inlineStr">
        <is>
          <t>Mercedes Benz AG</t>
        </is>
      </c>
      <c r="D5" s="44" t="inlineStr">
        <is>
          <t>BG-Metall Nord-Süd</t>
        </is>
      </c>
    </row>
    <row r="6" ht="41.25" customHeight="1">
      <c r="B6" s="45" t="inlineStr">
        <is>
          <t>Mercedsstr. 1</t>
        </is>
      </c>
    </row>
    <row r="7" ht="32.25" customHeight="1">
      <c r="B7" s="45" t="inlineStr">
        <is>
          <t>76437 Rastatt</t>
        </is>
      </c>
      <c r="D7" s="46" t="n">
        <v>2.26255682176001e+19</v>
      </c>
    </row>
    <row r="8" ht="41.25" customHeight="1">
      <c r="D8" s="47" t="n"/>
    </row>
    <row r="9" ht="34.5" customHeight="1">
      <c r="D9" s="42" t="n"/>
    </row>
    <row r="10" ht="39.75" customHeight="1">
      <c r="A10" s="48" t="n">
        <v>1</v>
      </c>
      <c r="B10" s="49">
        <f>CONCATENATE(Teilnehmer!B11,", ",Teilnehmer!C11)</f>
        <v/>
      </c>
      <c r="C10" s="50">
        <f>IF(Teilnehmer!D11,Teilnehmer!D11,"")</f>
        <v/>
      </c>
      <c r="D10" s="51" t="n"/>
    </row>
    <row r="11" ht="39.75" customHeight="1">
      <c r="A11" s="48" t="n">
        <v>2</v>
      </c>
      <c r="B11" s="49">
        <f>CONCATENATE(Teilnehmer!B12,", ",Teilnehmer!C12)</f>
        <v/>
      </c>
      <c r="C11" s="50">
        <f>IF(Teilnehmer!D12,Teilnehmer!D12,"")</f>
        <v/>
      </c>
      <c r="D11" s="52" t="n"/>
    </row>
    <row r="12" ht="39.75" customHeight="1">
      <c r="A12" s="48" t="n">
        <v>3</v>
      </c>
      <c r="B12" s="49">
        <f>CONCATENATE(Teilnehmer!B13,", ",Teilnehmer!C13)</f>
        <v/>
      </c>
      <c r="C12" s="50">
        <f>IF(Teilnehmer!D13,Teilnehmer!D13,"")</f>
        <v/>
      </c>
      <c r="D12" s="51" t="n"/>
    </row>
    <row r="13" ht="39.75" customHeight="1">
      <c r="A13" s="48" t="n">
        <v>4</v>
      </c>
      <c r="B13" s="49">
        <f>CONCATENATE(Teilnehmer!B14,", ",Teilnehmer!C14)</f>
        <v/>
      </c>
      <c r="C13" s="50">
        <f>IF(Teilnehmer!D14,Teilnehmer!D14,"")</f>
        <v/>
      </c>
      <c r="D13" s="51" t="n"/>
    </row>
    <row r="14" ht="40.5" customHeight="1">
      <c r="A14" s="48" t="n">
        <v>5</v>
      </c>
      <c r="B14" s="49">
        <f>CONCATENATE(Teilnehmer!B15,", ",Teilnehmer!C15)</f>
        <v/>
      </c>
      <c r="C14" s="50">
        <f>IF(Teilnehmer!D15,Teilnehmer!D15,"")</f>
        <v/>
      </c>
      <c r="D14" s="51" t="n"/>
    </row>
    <row r="15" ht="39.75" customHeight="1">
      <c r="A15" s="48" t="n">
        <v>6</v>
      </c>
      <c r="B15" s="49">
        <f>CONCATENATE(Teilnehmer!B16,", ",Teilnehmer!C16)</f>
        <v/>
      </c>
      <c r="C15" s="50">
        <f>IF(Teilnehmer!D16,Teilnehmer!D16,"")</f>
        <v/>
      </c>
      <c r="D15" s="51" t="n"/>
    </row>
    <row r="16" ht="40.5" customHeight="1">
      <c r="A16" s="48" t="n">
        <v>7</v>
      </c>
      <c r="B16" s="49">
        <f>CONCATENATE(Teilnehmer!B17,", ",Teilnehmer!C17)</f>
        <v/>
      </c>
      <c r="C16" s="50">
        <f>IF(Teilnehmer!D17,Teilnehmer!D17,"")</f>
        <v/>
      </c>
      <c r="D16" s="51" t="n"/>
    </row>
    <row r="17" ht="39" customHeight="1">
      <c r="A17" s="48" t="n">
        <v>8</v>
      </c>
      <c r="B17" s="49">
        <f>CONCATENATE(Teilnehmer!B18,", ",Teilnehmer!C18)</f>
        <v/>
      </c>
      <c r="C17" s="50">
        <f>IF(Teilnehmer!D18,Teilnehmer!D18,"")</f>
        <v/>
      </c>
      <c r="D17" s="51" t="n"/>
    </row>
    <row r="18" ht="39.75" customHeight="1">
      <c r="A18" s="48" t="n">
        <v>9</v>
      </c>
      <c r="B18" s="49">
        <f>CONCATENATE(Teilnehmer!B19,", ",Teilnehmer!C19)</f>
        <v/>
      </c>
      <c r="C18" s="50">
        <f>IF(Teilnehmer!D19,Teilnehmer!D19,"")</f>
        <v/>
      </c>
      <c r="D18" s="53" t="n"/>
    </row>
    <row r="19" ht="39.75" customHeight="1">
      <c r="A19" s="48" t="n">
        <v>10</v>
      </c>
      <c r="B19" s="49">
        <f>CONCATENATE(Teilnehmer!B20,", ",Teilnehmer!C20)</f>
        <v/>
      </c>
      <c r="C19" s="50">
        <f>IF(Teilnehmer!D20,Teilnehmer!D20,"")</f>
        <v/>
      </c>
      <c r="D19" s="51" t="n"/>
    </row>
    <row r="20" ht="42" customHeight="1"/>
    <row r="21" ht="27.75" customHeight="1"/>
    <row r="22" ht="32.25" customHeight="1">
      <c r="B22" s="54" t="inlineStr">
        <is>
          <t>Dr. Schmidt, Sabine</t>
        </is>
      </c>
    </row>
    <row r="23" ht="32.25" customHeight="1">
      <c r="B23" s="54" t="inlineStr">
        <is>
          <t>07222/91-22111</t>
        </is>
      </c>
    </row>
    <row r="24" ht="32.25" customHeight="1">
      <c r="B24" s="55" t="inlineStr">
        <is>
          <t>sabine.m.schmidt@mercedes-benz.com</t>
        </is>
      </c>
      <c r="D24" s="56" t="n"/>
    </row>
    <row r="25" ht="30" customHeight="1">
      <c r="D25" s="57">
        <f>Teilnehmer!C3</f>
        <v/>
      </c>
    </row>
    <row r="26" ht="25.5" customHeight="1"/>
    <row r="27" ht="31.5" customHeight="1">
      <c r="C27" s="57" t="n"/>
    </row>
    <row r="28" ht="8.25" customHeight="1"/>
    <row r="29" ht="25.5" customHeight="1">
      <c r="C29" s="57">
        <f>Teilnehmer!C3</f>
        <v/>
      </c>
    </row>
    <row r="30" ht="16.5" customHeight="1"/>
    <row r="31" ht="25.5" customHeight="1">
      <c r="B31" s="58" t="inlineStr">
        <is>
          <t xml:space="preserve">  7.0103</t>
        </is>
      </c>
      <c r="C31" s="56">
        <f>Teilnehmer!C4</f>
        <v/>
      </c>
    </row>
    <row r="32" ht="21" customHeight="1">
      <c r="B32" s="59" t="n"/>
    </row>
    <row r="33" ht="26.25" customHeight="1">
      <c r="B33" s="60">
        <f>"  "&amp;Teilnehmer!C5</f>
        <v/>
      </c>
      <c r="C33" s="56" t="inlineStr">
        <is>
          <t>Mercedes Benz AG, PKW Werk</t>
        </is>
      </c>
    </row>
    <row r="34"/>
    <row r="35"/>
    <row r="36" ht="29.25" customHeight="1">
      <c r="C36" s="56" t="inlineStr">
        <is>
          <t>Mercedes Benz AG</t>
        </is>
      </c>
    </row>
    <row r="37" ht="29.25" customHeight="1">
      <c r="C37" s="56" t="inlineStr">
        <is>
          <t>Werksärztlicher Dienst</t>
        </is>
      </c>
    </row>
    <row r="38" ht="29.25" customHeight="1">
      <c r="C38" s="56" t="inlineStr">
        <is>
          <t>PKW-Werk Rastatt</t>
        </is>
      </c>
    </row>
    <row r="39" ht="29.25" customHeight="1">
      <c r="C39" s="56" t="inlineStr">
        <is>
          <t>Mercedesstraße 1</t>
        </is>
      </c>
    </row>
    <row r="40" ht="29.25" customHeight="1">
      <c r="B40" s="57">
        <f>Teilnehmer!C3</f>
        <v/>
      </c>
      <c r="C40" s="56" t="inlineStr">
        <is>
          <t>76437 Rastatt</t>
        </is>
      </c>
    </row>
    <row r="41" ht="21" customHeight="1"/>
    <row r="42" ht="9" customHeight="1"/>
    <row r="43" ht="9" customHeight="1"/>
    <row r="44" ht="42" customHeight="1"/>
    <row r="45" ht="41.25" customHeight="1">
      <c r="D45" s="41" t="n"/>
      <c r="J45">
        <f>IF(Teilnehmer!F3,Teilnehmer!F3,"")</f>
        <v/>
      </c>
    </row>
    <row r="46" ht="38.25" customHeight="1">
      <c r="D46" s="41" t="n"/>
    </row>
    <row r="47" ht="38.25" customHeight="1">
      <c r="D47" s="42" t="n"/>
    </row>
    <row r="48" ht="42" customHeight="1">
      <c r="B48" s="43" t="inlineStr">
        <is>
          <t>Mercedes Benz AG</t>
        </is>
      </c>
      <c r="D48" s="44" t="inlineStr">
        <is>
          <t>BG-Metall Nord-Süd</t>
        </is>
      </c>
    </row>
    <row r="49" ht="41.25" customHeight="1">
      <c r="B49" s="45" t="inlineStr">
        <is>
          <t>Mercedsstr. 1</t>
        </is>
      </c>
    </row>
    <row r="50" ht="32.25" customHeight="1">
      <c r="B50" s="45" t="inlineStr">
        <is>
          <t>76437 Rastatt</t>
        </is>
      </c>
      <c r="D50" s="46" t="n">
        <v>2.26255682176001e+19</v>
      </c>
    </row>
    <row r="51" ht="41.25" customHeight="1">
      <c r="D51" s="47" t="n"/>
    </row>
    <row r="52" ht="34.5" customHeight="1">
      <c r="D52" s="42" t="n"/>
    </row>
    <row r="53" ht="39.75" customHeight="1">
      <c r="A53" s="48" t="n">
        <v>1</v>
      </c>
      <c r="B53" s="49">
        <f>CONCATENATE(Teilnehmer!B21,", ",Teilnehmer!C21)</f>
        <v/>
      </c>
      <c r="C53" s="50">
        <f>IF(Teilnehmer!D21,Teilnehmer!D21,"")</f>
        <v/>
      </c>
      <c r="D53" s="51" t="n"/>
    </row>
    <row r="54" ht="39.75" customHeight="1">
      <c r="A54" s="48" t="n">
        <v>2</v>
      </c>
      <c r="B54" s="49">
        <f>CONCATENATE(Teilnehmer!B22,", ",Teilnehmer!C22)</f>
        <v/>
      </c>
      <c r="C54" s="50">
        <f>IF(Teilnehmer!D22,Teilnehmer!D22,"")</f>
        <v/>
      </c>
      <c r="D54" s="52" t="n"/>
    </row>
    <row r="55" ht="39.75" customHeight="1">
      <c r="A55" s="48" t="n">
        <v>3</v>
      </c>
      <c r="B55" s="49">
        <f>CONCATENATE(Teilnehmer!B23,", ",Teilnehmer!C23)</f>
        <v/>
      </c>
      <c r="C55" s="50">
        <f>IF(Teilnehmer!D23,Teilnehmer!D23,"")</f>
        <v/>
      </c>
      <c r="D55" s="51" t="n"/>
    </row>
    <row r="56" ht="39.75" customHeight="1">
      <c r="A56" s="48" t="n">
        <v>4</v>
      </c>
      <c r="B56" s="49">
        <f>CONCATENATE(Teilnehmer!B24,", ",Teilnehmer!C24)</f>
        <v/>
      </c>
      <c r="C56" s="50">
        <f>IF(Teilnehmer!D24,Teilnehmer!D24,"")</f>
        <v/>
      </c>
      <c r="D56" s="51" t="n"/>
    </row>
    <row r="57" ht="40.5" customHeight="1">
      <c r="A57" s="48" t="n">
        <v>5</v>
      </c>
      <c r="B57" s="49">
        <f>CONCATENATE(Teilnehmer!B25,", ",Teilnehmer!C25)</f>
        <v/>
      </c>
      <c r="C57" s="50">
        <f>IF(Teilnehmer!D25,Teilnehmer!D25,"")</f>
        <v/>
      </c>
      <c r="D57" s="51" t="n"/>
    </row>
    <row r="58" ht="39.75" customHeight="1">
      <c r="A58" s="48" t="n">
        <v>6</v>
      </c>
      <c r="B58" s="49">
        <f>CONCATENATE(Teilnehmer!B26,", ",Teilnehmer!C26)</f>
        <v/>
      </c>
      <c r="C58" s="50">
        <f>IF(Teilnehmer!D26,Teilnehmer!D26,"")</f>
        <v/>
      </c>
      <c r="D58" s="51" t="n"/>
    </row>
    <row r="59" ht="40.5" customHeight="1">
      <c r="A59" s="48" t="n">
        <v>7</v>
      </c>
      <c r="B59" s="49">
        <f>CONCATENATE(Teilnehmer!B27,", ",Teilnehmer!C27)</f>
        <v/>
      </c>
      <c r="C59" s="50">
        <f>IF(Teilnehmer!D27,Teilnehmer!D27,"")</f>
        <v/>
      </c>
      <c r="D59" s="51" t="n"/>
    </row>
    <row r="60" ht="39" customHeight="1">
      <c r="A60" s="48" t="n">
        <v>8</v>
      </c>
      <c r="B60" s="49">
        <f>CONCATENATE(Teilnehmer!B28,", ",Teilnehmer!C28)</f>
        <v/>
      </c>
      <c r="C60" s="50">
        <f>IF(Teilnehmer!D28,Teilnehmer!D28,"")</f>
        <v/>
      </c>
      <c r="D60" s="51" t="n"/>
    </row>
    <row r="61" ht="39.75" customHeight="1">
      <c r="A61" s="48" t="n">
        <v>9</v>
      </c>
      <c r="B61" s="49">
        <f>CONCATENATE(Teilnehmer!B29,", ",Teilnehmer!C29)</f>
        <v/>
      </c>
      <c r="C61" s="50">
        <f>IF(Teilnehmer!D29,Teilnehmer!D29,"")</f>
        <v/>
      </c>
      <c r="D61" s="53" t="n"/>
    </row>
    <row r="62" ht="39.75" customHeight="1">
      <c r="A62" s="48" t="n">
        <v>10</v>
      </c>
      <c r="B62" s="49">
        <f>CONCATENATE(Teilnehmer!B30,", ",Teilnehmer!C30)</f>
        <v/>
      </c>
      <c r="C62" s="50">
        <f>IF(Teilnehmer!D30,Teilnehmer!D30,"")</f>
        <v/>
      </c>
      <c r="D62" s="51" t="n"/>
    </row>
    <row r="63" ht="42" customHeight="1"/>
    <row r="64" ht="27.75" customHeight="1"/>
    <row r="65" ht="32.25" customHeight="1">
      <c r="B65" s="54" t="inlineStr">
        <is>
          <t>Dr. Schmidt, Sabine</t>
        </is>
      </c>
    </row>
    <row r="66" ht="32.25" customHeight="1">
      <c r="B66" s="54" t="inlineStr">
        <is>
          <t>07222/91-22111</t>
        </is>
      </c>
    </row>
    <row r="67" ht="32.25" customHeight="1">
      <c r="B67" s="61" t="inlineStr">
        <is>
          <t>sabine.m.schmidt@mercedes-benz.com</t>
        </is>
      </c>
      <c r="D67" s="56" t="n"/>
    </row>
    <row r="68" ht="30" customHeight="1">
      <c r="D68" s="57">
        <f>Teilnehmer!C3</f>
        <v/>
      </c>
    </row>
    <row r="69" ht="25.5" customHeight="1"/>
    <row r="70" ht="31.5" customHeight="1">
      <c r="C70" s="57" t="n"/>
    </row>
    <row r="71" ht="8.25" customHeight="1"/>
    <row r="72" ht="25.5" customHeight="1">
      <c r="C72" s="57">
        <f>Teilnehmer!C3</f>
        <v/>
      </c>
    </row>
    <row r="73" ht="16.5" customHeight="1"/>
    <row r="74" ht="25.5" customHeight="1">
      <c r="B74" s="58" t="inlineStr">
        <is>
          <t xml:space="preserve">  7.0103</t>
        </is>
      </c>
      <c r="C74" s="56">
        <f>Teilnehmer!C4</f>
        <v/>
      </c>
    </row>
    <row r="75" ht="21" customHeight="1">
      <c r="B75" s="59" t="n"/>
    </row>
    <row r="76" ht="26.25" customHeight="1">
      <c r="B76" s="60">
        <f>"  "&amp;Teilnehmer!C5</f>
        <v/>
      </c>
      <c r="C76" s="56" t="inlineStr">
        <is>
          <t>Mercedes Benz AG, PKW Werk</t>
        </is>
      </c>
    </row>
    <row r="77"/>
    <row r="78"/>
    <row r="79" ht="29.25" customHeight="1">
      <c r="C79" s="56" t="inlineStr">
        <is>
          <t>Mercedes Benz AG</t>
        </is>
      </c>
    </row>
    <row r="80" ht="29.25" customHeight="1">
      <c r="C80" s="56" t="inlineStr">
        <is>
          <t>Werksärztlicher Dienst</t>
        </is>
      </c>
    </row>
    <row r="81" ht="29.25" customHeight="1">
      <c r="C81" s="56" t="inlineStr">
        <is>
          <t>PKW-Werk Rastatt</t>
        </is>
      </c>
    </row>
    <row r="82" ht="29.25" customHeight="1">
      <c r="C82" s="56" t="inlineStr">
        <is>
          <t>Mercedesstraße 1</t>
        </is>
      </c>
    </row>
    <row r="83" ht="29.25" customHeight="1">
      <c r="B83" s="57">
        <f>Teilnehmer!C3</f>
        <v/>
      </c>
      <c r="C83" s="56" t="inlineStr">
        <is>
          <t>76437 Rastatt</t>
        </is>
      </c>
    </row>
    <row r="84" ht="21" customHeight="1"/>
    <row r="85" ht="9" customHeight="1"/>
    <row r="86" ht="9" customHeight="1"/>
  </sheetData>
  <mergeCells count="16">
    <mergeCell ref="C83:D83"/>
    <mergeCell ref="C29:D29"/>
    <mergeCell ref="C38:D38"/>
    <mergeCell ref="C80:D80"/>
    <mergeCell ref="C72:D72"/>
    <mergeCell ref="C82:D82"/>
    <mergeCell ref="C33:D33"/>
    <mergeCell ref="C81:D81"/>
    <mergeCell ref="C76:D76"/>
    <mergeCell ref="C37:D37"/>
    <mergeCell ref="C36:D36"/>
    <mergeCell ref="C74:D74"/>
    <mergeCell ref="C40:D40"/>
    <mergeCell ref="C31:D31"/>
    <mergeCell ref="C79:D79"/>
    <mergeCell ref="C39:D39"/>
  </mergeCells>
  <pageMargins left="0.1968503937007874" right="0.07874015748031496" top="0.3937007874015748" bottom="0.3937007874015748" header="0" footer="0"/>
  <pageSetup orientation="portrait" paperSize="9" fitToHeight="0" fitToWidth="1"/>
  <rowBreaks count="1" manualBreakCount="1">
    <brk id="43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A1:G50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4" customWidth="1" min="4" max="4"/>
    <col width="18" customWidth="1" min="5" max="5"/>
    <col width="22" customWidth="1" min="6" max="6"/>
    <col width="4" customWidth="1" min="7" max="7"/>
  </cols>
  <sheetData>
    <row r="1" ht="30" customHeight="1">
      <c r="A1" s="62" t="inlineStr">
        <is>
          <t>Lehrgangsdokumentation</t>
        </is>
      </c>
    </row>
    <row r="2" ht="18" customHeight="1">
      <c r="A2" s="63" t="inlineStr">
        <is>
          <t>gem. Abschnitt 2.4.6 DGUV Grundsatz 304-001</t>
        </is>
      </c>
    </row>
    <row r="4" ht="22" customHeight="1">
      <c r="B4" s="64" t="inlineStr">
        <is>
          <t>Angaben zur Ausbildungsstelle</t>
        </is>
      </c>
    </row>
    <row r="5" ht="14" customHeight="1">
      <c r="B5" s="65" t="inlineStr">
        <is>
          <t>Bezeichnung</t>
        </is>
      </c>
    </row>
    <row r="6" ht="20" customHeight="1">
      <c r="B6" s="66" t="inlineStr">
        <is>
          <t>Mercedes-Benz AG</t>
        </is>
      </c>
      <c r="E6" s="67" t="inlineStr">
        <is>
          <t>QSEH-Kennziffer:</t>
        </is>
      </c>
      <c r="F6" s="66">
        <f>Teilnehmer!F5</f>
        <v/>
      </c>
    </row>
    <row r="8" ht="14" customHeight="1">
      <c r="B8" s="65" t="inlineStr">
        <is>
          <t>Straße / Hausnr.</t>
        </is>
      </c>
    </row>
    <row r="9" ht="20" customHeight="1">
      <c r="B9" s="66" t="inlineStr">
        <is>
          <t>Mercedesstr. 1</t>
        </is>
      </c>
    </row>
    <row r="11" ht="14" customHeight="1">
      <c r="B11" s="65" t="inlineStr">
        <is>
          <t>PLZ / Ort</t>
        </is>
      </c>
    </row>
    <row r="12" ht="20" customHeight="1">
      <c r="B12" s="66" t="inlineStr">
        <is>
          <t>76437 Rastatt</t>
        </is>
      </c>
    </row>
    <row r="14" ht="22" customHeight="1">
      <c r="B14" s="64" t="inlineStr">
        <is>
          <t>Angaben zum Seminar</t>
        </is>
      </c>
    </row>
    <row r="15" ht="20" customHeight="1">
      <c r="B15" s="68">
        <f>IF(Teilnehmer!F4="EH-Ausbildung","X","  ")&amp;" EH-Ausbildung       "&amp;IF(Teilnehmer!F4="EH-Fortbildung","X","  ")&amp;" EH-Fortbildung       "&amp;IF(Teilnehmer!F4="EH-Schulung","X","  ")&amp;" EH-Schulung"</f>
        <v/>
      </c>
    </row>
    <row r="17" ht="20" customHeight="1">
      <c r="B17" s="67" t="inlineStr">
        <is>
          <t>Registriernummer:</t>
        </is>
      </c>
      <c r="C17" s="66">
        <f>Teilnehmer!C5</f>
        <v/>
      </c>
      <c r="E17" s="67" t="inlineStr">
        <is>
          <t>Lehrgangsort:</t>
        </is>
      </c>
      <c r="F17" s="66" t="inlineStr">
        <is>
          <t>Mercedes-Benz AG, PKW-Werk Rastatt</t>
        </is>
      </c>
    </row>
    <row r="18" ht="14" customHeight="1">
      <c r="B18" s="65" t="inlineStr">
        <is>
          <t>(aus dem QSEH-Portal)</t>
        </is>
      </c>
      <c r="F18" s="65" t="inlineStr">
        <is>
          <t>Gebäude 39, Gesundheitszentrum 1.OG</t>
        </is>
      </c>
    </row>
    <row r="20" ht="20" customHeight="1">
      <c r="B20" s="67" t="inlineStr">
        <is>
          <t>Lehrgangsdatum:</t>
        </is>
      </c>
      <c r="C20" s="69">
        <f>Teilnehmer!C3</f>
        <v/>
      </c>
      <c r="E20" s="67" t="inlineStr">
        <is>
          <t>Uhrzeit:</t>
        </is>
      </c>
      <c r="F20" s="66">
        <f>"von "&amp;TEXT(Teilnehmer!F3,"HH:MM")&amp;" Uhr bis "&amp;TEXT(Teilnehmer!H3,"HH:MM")&amp;" Uhr"</f>
        <v/>
      </c>
    </row>
    <row r="22" ht="20" customHeight="1">
      <c r="B22" s="67" t="inlineStr">
        <is>
          <t>Name der Lehrkraft:</t>
        </is>
      </c>
      <c r="C22" s="66">
        <f>Teilnehmer!C4</f>
        <v/>
      </c>
    </row>
    <row r="24" ht="20" customHeight="1">
      <c r="B24" s="67" t="inlineStr">
        <is>
          <t>Verantwortlicher Arzt:</t>
        </is>
      </c>
      <c r="C24" s="66">
        <f>Teilnehmer!C7</f>
        <v/>
      </c>
    </row>
    <row r="26" ht="20" customHeight="1">
      <c r="B26" s="67" t="inlineStr">
        <is>
          <t>Masken-Charge:</t>
        </is>
      </c>
      <c r="C26" s="70">
        <f>Teilnehmer!C8</f>
        <v/>
      </c>
    </row>
    <row r="28" ht="22" customHeight="1">
      <c r="B28" s="64" t="inlineStr">
        <is>
          <t>Anzahl der Teilnehmenden</t>
        </is>
      </c>
    </row>
    <row r="30" ht="20" customHeight="1">
      <c r="B30" s="67" t="inlineStr">
        <is>
          <t>Gesamtanzahl der Teilnehmenden:</t>
        </is>
      </c>
      <c r="E30" s="71">
        <f>Teilnehmer!C32</f>
        <v/>
      </c>
    </row>
    <row r="31" ht="14" customHeight="1">
      <c r="B31" s="65" t="inlineStr">
        <is>
          <t>(entspricht der Anzahl der Teilnehmerdatenblätter)</t>
        </is>
      </c>
    </row>
    <row r="33" ht="20" customHeight="1">
      <c r="B33" s="67" t="inlineStr">
        <is>
          <t>davon betriebliche Ersthelfende:</t>
        </is>
      </c>
      <c r="E33" s="71">
        <f>Teilnehmer!E32</f>
        <v/>
      </c>
    </row>
    <row r="35" ht="22" customHeight="1">
      <c r="B35" s="64" t="inlineStr">
        <is>
          <t>Anlagen</t>
        </is>
      </c>
    </row>
    <row r="36" ht="16" customHeight="1">
      <c r="B36" s="68" t="inlineStr">
        <is>
          <t>Alle Teilnehmenden sind mit Namen, Vornamen, Geburtsdatum und Unterschrift zu erfassen. Für UVT-Teilnehmende sind zusätzlich der Name und die Anschrift des Arbeitgebers sowie der kostentragende UVT zu ergänzen.</t>
        </is>
      </c>
    </row>
    <row r="37" ht="16" customHeight="1"/>
    <row r="38" ht="16" customHeight="1"/>
    <row r="40" ht="16" customHeight="1">
      <c r="B40" s="68" t="inlineStr">
        <is>
          <t>Die Dokumentation ist fünf Jahre aufzubewahren und auf Anforderung dem Unfallversicherungsträger vorzulegen.</t>
        </is>
      </c>
    </row>
    <row r="42" ht="18" customHeight="1">
      <c r="B42" s="67" t="inlineStr">
        <is>
          <t>Für die Richtigkeit der Angaben:</t>
        </is>
      </c>
    </row>
    <row r="47" ht="18" customHeight="1">
      <c r="B47" s="72">
        <f>"Rastatt, "&amp;TEXT(Teilnehmer!C3,"DD.MM.YYYY")</f>
        <v/>
      </c>
      <c r="E47" s="72">
        <f>"Rastatt, "&amp;TEXT(Teilnehmer!C3,"DD.MM.YYYY")</f>
        <v/>
      </c>
    </row>
    <row r="48" ht="14" customHeight="1">
      <c r="B48" s="65" t="inlineStr">
        <is>
          <t>Ort, Datum     Unterschrift Lehrgangsleitung</t>
        </is>
      </c>
      <c r="E48" s="65" t="inlineStr">
        <is>
          <t>Ort, Datum     Unterschrift Ausbildungsstelle</t>
        </is>
      </c>
    </row>
    <row r="50" ht="14" customHeight="1">
      <c r="B50" s="73" t="inlineStr">
        <is>
          <t>Stand: 2026</t>
        </is>
      </c>
    </row>
  </sheetData>
  <mergeCells count="15">
    <mergeCell ref="B4:F4"/>
    <mergeCell ref="B33:D33"/>
    <mergeCell ref="B47:C47"/>
    <mergeCell ref="B48:C48"/>
    <mergeCell ref="A1:G1"/>
    <mergeCell ref="B15:F15"/>
    <mergeCell ref="B28:F28"/>
    <mergeCell ref="A2:G2"/>
    <mergeCell ref="B36:F38"/>
    <mergeCell ref="B30:D30"/>
    <mergeCell ref="B14:F14"/>
    <mergeCell ref="E48:F48"/>
    <mergeCell ref="B40:F40"/>
    <mergeCell ref="E47:F47"/>
    <mergeCell ref="B35:F35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E9E9E"/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7" t="inlineStr">
        <is>
          <t>Lehrkräfte</t>
        </is>
      </c>
    </row>
    <row r="2">
      <c r="A2" s="74" t="inlineStr">
        <is>
          <t>Putschler, Walter</t>
        </is>
      </c>
    </row>
    <row r="3">
      <c r="A3" s="74" t="inlineStr">
        <is>
          <t>Kaya, Michelle</t>
        </is>
      </c>
    </row>
    <row r="4">
      <c r="A4" s="74" t="inlineStr">
        <is>
          <t>Krempl, Elke</t>
        </is>
      </c>
    </row>
    <row r="5">
      <c r="A5" s="74" t="inlineStr">
        <is>
          <t>Breig, Bernd</t>
        </is>
      </c>
    </row>
    <row r="6">
      <c r="A6" s="74" t="inlineStr">
        <is>
          <t>Zuber, Harry</t>
        </is>
      </c>
    </row>
    <row r="7">
      <c r="A7" s="74" t="inlineStr">
        <is>
          <t>Jochim, Benjamin</t>
        </is>
      </c>
    </row>
    <row r="8">
      <c r="A8" s="74" t="inlineStr">
        <is>
          <t>Siebert, Emanuel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2026-03-18T13:12:45Z</dcterms:created>
  <dcterms:modified xsi:type="dcterms:W3CDTF">2026-03-18T13:12:45Z</dcterms:modified>
</cp:coreProperties>
</file>