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BG-Liste_2" sheetId="4" state="visible" r:id="rId4"/>
    <sheet xmlns:r="http://schemas.openxmlformats.org/officeDocument/2006/relationships" name="Lehrgangsdoku" sheetId="5" state="visible" r:id="rId5"/>
    <sheet xmlns:r="http://schemas.openxmlformats.org/officeDocument/2006/relationships" name="Hilfslisten" sheetId="6" state="visible" r:id="rId6"/>
  </sheets>
  <definedNames>
    <definedName name="Lehrkraefte">Hilfslisten!$A$2:$A$20</definedName>
    <definedName name="_xlnm.Print_Area" localSheetId="1">'Bescheinigungen'!$A$1:$AZ$37</definedName>
    <definedName name="_xlnm.Print_Area" localSheetId="2">'BG-Liste'!$A$1:$E$51</definedName>
    <definedName name="_xlnm.Print_Area" localSheetId="3">'BG-Liste_2'!$A$1:$E$51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0" applyAlignment="1" pivotButton="0" quotePrefix="0" xfId="0">
      <alignment horizontal="right" vertical="center"/>
    </xf>
    <xf numFmtId="14" fontId="8" fillId="0" borderId="2" applyAlignment="1" pivotButton="0" quotePrefix="0" xfId="0">
      <alignment horizontal="center" vertical="center"/>
    </xf>
    <xf numFmtId="14" fontId="8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0" applyAlignment="1" pivotButton="0" quotePrefix="0" xfId="0">
      <alignment horizontal="left" vertical="center"/>
    </xf>
    <xf numFmtId="20" fontId="8" fillId="0" borderId="2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left" vertical="center"/>
    </xf>
    <xf numFmtId="0" fontId="10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/Relationships>
</file>

<file path=xl/drawings/_rels/drawing2.xml.rels><Relationships xmlns="http://schemas.openxmlformats.org/package/2006/relationships"><Relationship Type="http://schemas.openxmlformats.org/officeDocument/2006/relationships/image" Target="/xl/media/image41.png" Id="rId1"/><Relationship Type="http://schemas.openxmlformats.org/officeDocument/2006/relationships/image" Target="/xl/media/image42.png" Id="rId2"/><Relationship Type="http://schemas.openxmlformats.org/officeDocument/2006/relationships/image" Target="/xl/media/image43.png" Id="rId3"/><Relationship Type="http://schemas.openxmlformats.org/officeDocument/2006/relationships/image" Target="/xl/media/image44.png" Id="rId4"/><Relationship Type="http://schemas.openxmlformats.org/officeDocument/2006/relationships/image" Target="/xl/media/image45.png" Id="rId5"/><Relationship Type="http://schemas.openxmlformats.org/officeDocument/2006/relationships/image" Target="/xl/media/image46.png" Id="rId6"/><Relationship Type="http://schemas.openxmlformats.org/officeDocument/2006/relationships/image" Target="/xl/media/image47.png" Id="rId7"/><Relationship Type="http://schemas.openxmlformats.org/officeDocument/2006/relationships/image" Target="/xl/media/image48.png" Id="rId8"/><Relationship Type="http://schemas.openxmlformats.org/officeDocument/2006/relationships/image" Target="/xl/media/image49.png" Id="rId9"/><Relationship Type="http://schemas.openxmlformats.org/officeDocument/2006/relationships/image" Target="/xl/media/image50.png" Id="rId10"/><Relationship Type="http://schemas.openxmlformats.org/officeDocument/2006/relationships/image" Target="/xl/media/image51.png" Id="rId11"/><Relationship Type="http://schemas.openxmlformats.org/officeDocument/2006/relationships/image" Target="/xl/media/image52.png" Id="rId12"/><Relationship Type="http://schemas.openxmlformats.org/officeDocument/2006/relationships/image" Target="/xl/media/image53.png" Id="rId13"/><Relationship Type="http://schemas.openxmlformats.org/officeDocument/2006/relationships/image" Target="/xl/media/image54.png" Id="rId14"/><Relationship Type="http://schemas.openxmlformats.org/officeDocument/2006/relationships/image" Target="/xl/media/image55.png" Id="rId15"/><Relationship Type="http://schemas.openxmlformats.org/officeDocument/2006/relationships/image" Target="/xl/media/image56.png" Id="rId16"/><Relationship Type="http://schemas.openxmlformats.org/officeDocument/2006/relationships/image" Target="/xl/media/image57.png" Id="rId17"/><Relationship Type="http://schemas.openxmlformats.org/officeDocument/2006/relationships/image" Target="/xl/media/image58.png" Id="rId18"/><Relationship Type="http://schemas.openxmlformats.org/officeDocument/2006/relationships/image" Target="/xl/media/image59.png" Id="rId19"/><Relationship Type="http://schemas.openxmlformats.org/officeDocument/2006/relationships/image" Target="/xl/media/image60.png" Id="rId20"/><Relationship Type="http://schemas.openxmlformats.org/officeDocument/2006/relationships/image" Target="/xl/media/image61.png" Id="rId21"/><Relationship Type="http://schemas.openxmlformats.org/officeDocument/2006/relationships/image" Target="/xl/media/image62.png" Id="rId22"/><Relationship Type="http://schemas.openxmlformats.org/officeDocument/2006/relationships/image" Target="/xl/media/image63.png" Id="rId23"/><Relationship Type="http://schemas.openxmlformats.org/officeDocument/2006/relationships/image" Target="/xl/media/image64.png" Id="rId24"/><Relationship Type="http://schemas.openxmlformats.org/officeDocument/2006/relationships/image" Target="/xl/media/image65.png" Id="rId25"/><Relationship Type="http://schemas.openxmlformats.org/officeDocument/2006/relationships/image" Target="/xl/media/image66.png" Id="rId26"/><Relationship Type="http://schemas.openxmlformats.org/officeDocument/2006/relationships/image" Target="/xl/media/image67.png" Id="rId27"/></Relationships>
</file>

<file path=xl/drawings/_rels/drawing3.xml.rels><Relationships xmlns="http://schemas.openxmlformats.org/package/2006/relationships"><Relationship Type="http://schemas.openxmlformats.org/officeDocument/2006/relationships/image" Target="/xl/media/image68.png" Id="rId1"/><Relationship Type="http://schemas.openxmlformats.org/officeDocument/2006/relationships/image" Target="/xl/media/image69.png" Id="rId2"/><Relationship Type="http://schemas.openxmlformats.org/officeDocument/2006/relationships/image" Target="/xl/media/image70.png" Id="rId3"/><Relationship Type="http://schemas.openxmlformats.org/officeDocument/2006/relationships/image" Target="/xl/media/image71.png" Id="rId4"/><Relationship Type="http://schemas.openxmlformats.org/officeDocument/2006/relationships/image" Target="/xl/media/image72.png" Id="rId5"/><Relationship Type="http://schemas.openxmlformats.org/officeDocument/2006/relationships/image" Target="/xl/media/image73.png" Id="rId6"/><Relationship Type="http://schemas.openxmlformats.org/officeDocument/2006/relationships/image" Target="/xl/media/image74.png" Id="rId7"/><Relationship Type="http://schemas.openxmlformats.org/officeDocument/2006/relationships/image" Target="/xl/media/image75.png" Id="rId8"/><Relationship Type="http://schemas.openxmlformats.org/officeDocument/2006/relationships/image" Target="/xl/media/image76.png" Id="rId9"/><Relationship Type="http://schemas.openxmlformats.org/officeDocument/2006/relationships/image" Target="/xl/media/image77.png" Id="rId10"/><Relationship Type="http://schemas.openxmlformats.org/officeDocument/2006/relationships/image" Target="/xl/media/image78.png" Id="rId11"/><Relationship Type="http://schemas.openxmlformats.org/officeDocument/2006/relationships/image" Target="/xl/media/image79.png" Id="rId12"/><Relationship Type="http://schemas.openxmlformats.org/officeDocument/2006/relationships/image" Target="/xl/media/image80.png" Id="rId13"/><Relationship Type="http://schemas.openxmlformats.org/officeDocument/2006/relationships/image" Target="/xl/media/image81.png" Id="rId14"/><Relationship Type="http://schemas.openxmlformats.org/officeDocument/2006/relationships/image" Target="/xl/media/image82.png" Id="rId15"/><Relationship Type="http://schemas.openxmlformats.org/officeDocument/2006/relationships/image" Target="/xl/media/image83.png" Id="rId16"/><Relationship Type="http://schemas.openxmlformats.org/officeDocument/2006/relationships/image" Target="/xl/media/image84.png" Id="rId17"/><Relationship Type="http://schemas.openxmlformats.org/officeDocument/2006/relationships/image" Target="/xl/media/image85.png" Id="rId18"/><Relationship Type="http://schemas.openxmlformats.org/officeDocument/2006/relationships/image" Target="/xl/media/image86.png" Id="rId19"/><Relationship Type="http://schemas.openxmlformats.org/officeDocument/2006/relationships/image" Target="/xl/media/image87.png" Id="rId20"/><Relationship Type="http://schemas.openxmlformats.org/officeDocument/2006/relationships/image" Target="/xl/media/image88.png" Id="rId21"/><Relationship Type="http://schemas.openxmlformats.org/officeDocument/2006/relationships/image" Target="/xl/media/image89.png" Id="rId22"/><Relationship Type="http://schemas.openxmlformats.org/officeDocument/2006/relationships/image" Target="/xl/media/image90.png" Id="rId23"/><Relationship Type="http://schemas.openxmlformats.org/officeDocument/2006/relationships/image" Target="/xl/media/image91.png" Id="rId24"/><Relationship Type="http://schemas.openxmlformats.org/officeDocument/2006/relationships/image" Target="/xl/media/image92.png" Id="rId25"/><Relationship Type="http://schemas.openxmlformats.org/officeDocument/2006/relationships/image" Target="/xl/media/image93.png" Id="rId26"/><Relationship Type="http://schemas.openxmlformats.org/officeDocument/2006/relationships/image" Target="/xl/media/image94.png" Id="rId27"/></Relationships>
</file>

<file path=xl/drawings/drawing1.xml><?xml version="1.0" encoding="utf-8"?>
<wsDr xmlns="http://schemas.openxmlformats.org/drawingml/2006/spreadsheetDrawing">
  <twoCellAnchor editAs="oneCell">
    <from>
      <col>0</col>
      <colOff>19178</colOff>
      <row>36</row>
      <rowOff>144004</rowOff>
    </from>
    <to>
      <col>23</col>
      <colOff>169404</colOff>
      <row>37</row>
      <rowOff>166670</rowOff>
    </to>
    <pic>
      <nvPicPr>
        <cNvPr id="4" name="Grafik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19178" y="6702830"/>
          <a:ext cx="4340587" cy="20485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0</row>
      <rowOff>0</rowOff>
    </from>
    <to>
      <col>24</col>
      <colOff>2753</colOff>
      <row>7</row>
      <rowOff>167142</rowOff>
    </to>
    <pic>
      <nvPicPr>
        <cNvPr id="8" name="Grafik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4363331" cy="143897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159372</colOff>
      <row>0</row>
      <rowOff>3197</rowOff>
    </from>
    <to>
      <col>51</col>
      <colOff>162256</colOff>
      <row>7</row>
      <rowOff>167384</rowOff>
    </to>
    <pic>
      <nvPicPr>
        <cNvPr id="10" name="Grafik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40135" y="3197"/>
          <a:ext cx="4365846" cy="143951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22374</colOff>
      <row>36</row>
      <rowOff>139679</rowOff>
    </from>
    <to>
      <col>51</col>
      <colOff>158020</colOff>
      <row>37</row>
      <rowOff>160826</rowOff>
    </to>
    <pic>
      <nvPicPr>
        <cNvPr id="14" name="Grafik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075738" y="6698505"/>
          <a:ext cx="4326007" cy="2033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24</col>
      <colOff>2753</colOff>
      <row>46</row>
      <rowOff>167142</rowOff>
    </to>
    <pic>
      <nvPicPr>
        <cNvPr id="6" name="Grafik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877050"/>
          <a:ext cx="43461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39</row>
      <rowOff>0</rowOff>
    </from>
    <to>
      <col>52</col>
      <colOff>2753</colOff>
      <row>46</row>
      <rowOff>167142</rowOff>
    </to>
    <pic>
      <nvPicPr>
        <cNvPr id="45" name="Grafik 4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8770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78</row>
      <rowOff>0</rowOff>
    </from>
    <to>
      <col>24</col>
      <colOff>2753</colOff>
      <row>85</row>
      <rowOff>167142</rowOff>
    </to>
    <pic>
      <nvPicPr>
        <cNvPr id="46" name="Grafik 4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78</row>
      <rowOff>0</rowOff>
    </from>
    <to>
      <col>52</col>
      <colOff>2753</colOff>
      <row>85</row>
      <rowOff>167142</rowOff>
    </to>
    <pic>
      <nvPicPr>
        <cNvPr id="47" name="Grafik 4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117</row>
      <rowOff>0</rowOff>
    </from>
    <to>
      <col>24</col>
      <colOff>2753</colOff>
      <row>124</row>
      <rowOff>167142</rowOff>
    </to>
    <pic>
      <nvPicPr>
        <cNvPr id="48" name="Grafik 4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06311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171450</colOff>
      <row>117</row>
      <rowOff>9525</rowOff>
    </from>
    <to>
      <col>52</col>
      <colOff>2753</colOff>
      <row>125</row>
      <rowOff>1407</rowOff>
    </to>
    <pic>
      <nvPicPr>
        <cNvPr id="49" name="Grafik 4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76850" y="20640675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156</row>
      <rowOff>0</rowOff>
    </from>
    <to>
      <col>24</col>
      <colOff>2753</colOff>
      <row>163</row>
      <rowOff>167142</rowOff>
    </to>
    <pic>
      <nvPicPr>
        <cNvPr id="51" name="Grafik 5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156</row>
      <rowOff>0</rowOff>
    </from>
    <to>
      <col>52</col>
      <colOff>2753</colOff>
      <row>163</row>
      <rowOff>167142</rowOff>
    </to>
    <pic>
      <nvPicPr>
        <cNvPr id="52" name="Grafik 5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195</row>
      <rowOff>0</rowOff>
    </from>
    <to>
      <col>24</col>
      <colOff>2753</colOff>
      <row>202</row>
      <rowOff>167142</rowOff>
    </to>
    <pic>
      <nvPicPr>
        <cNvPr id="53" name="Grafik 5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195</row>
      <rowOff>0</rowOff>
    </from>
    <to>
      <col>52</col>
      <colOff>2753</colOff>
      <row>202</row>
      <rowOff>167142</rowOff>
    </to>
    <pic>
      <nvPicPr>
        <cNvPr id="54" name="Grafik 5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234</row>
      <rowOff>0</rowOff>
    </from>
    <to>
      <col>24</col>
      <colOff>2753</colOff>
      <row>241</row>
      <rowOff>167142</rowOff>
    </to>
    <pic>
      <nvPicPr>
        <cNvPr id="55" name="Grafik 5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234</row>
      <rowOff>0</rowOff>
    </from>
    <to>
      <col>52</col>
      <colOff>2753</colOff>
      <row>241</row>
      <rowOff>167142</rowOff>
    </to>
    <pic>
      <nvPicPr>
        <cNvPr id="56" name="Grafik 5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273</row>
      <rowOff>0</rowOff>
    </from>
    <to>
      <col>24</col>
      <colOff>2753</colOff>
      <row>280</row>
      <rowOff>167142</rowOff>
    </to>
    <pic>
      <nvPicPr>
        <cNvPr id="57" name="Grafik 5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273</row>
      <rowOff>0</rowOff>
    </from>
    <to>
      <col>52</col>
      <colOff>2753</colOff>
      <row>280</row>
      <rowOff>167142</rowOff>
    </to>
    <pic>
      <nvPicPr>
        <cNvPr id="58" name="Grafik 5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312</row>
      <rowOff>0</rowOff>
    </from>
    <to>
      <col>24</col>
      <colOff>2753</colOff>
      <row>319</row>
      <rowOff>167142</rowOff>
    </to>
    <pic>
      <nvPicPr>
        <cNvPr id="59" name="Grafik 5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312</row>
      <rowOff>0</rowOff>
    </from>
    <to>
      <col>52</col>
      <colOff>2753</colOff>
      <row>319</row>
      <rowOff>167142</rowOff>
    </to>
    <pic>
      <nvPicPr>
        <cNvPr id="60" name="Grafik 5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351</row>
      <rowOff>0</rowOff>
    </from>
    <to>
      <col>24</col>
      <colOff>2753</colOff>
      <row>358</row>
      <rowOff>167142</rowOff>
    </to>
    <pic>
      <nvPicPr>
        <cNvPr id="61" name="Grafik 6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351</row>
      <rowOff>0</rowOff>
    </from>
    <to>
      <col>52</col>
      <colOff>2753</colOff>
      <row>358</row>
      <rowOff>167142</rowOff>
    </to>
    <pic>
      <nvPicPr>
        <cNvPr id="62" name="Grafik 6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0</col>
      <colOff>19178</colOff>
      <row>75</row>
      <rowOff>144004</rowOff>
    </from>
    <ext cx="4312651" cy="203641"/>
    <pic>
      <nvPicPr>
        <cNvPr id="7" name="Grafik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178" y="665910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75</row>
      <rowOff>144004</rowOff>
    </from>
    <ext cx="4312651" cy="203641"/>
    <pic>
      <nvPicPr>
        <cNvPr id="11" name="Grafik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114</row>
      <rowOff>144004</rowOff>
    </from>
    <ext cx="4312651" cy="203641"/>
    <pic>
      <nvPicPr>
        <cNvPr id="13" name="Grafik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114</row>
      <rowOff>144004</rowOff>
    </from>
    <ext cx="4312651" cy="203641"/>
    <pic>
      <nvPicPr>
        <cNvPr id="16" name="Grafik 1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153</row>
      <rowOff>144004</rowOff>
    </from>
    <ext cx="4312651" cy="203641"/>
    <pic>
      <nvPicPr>
        <cNvPr id="18" name="Grafik 1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153</row>
      <rowOff>144004</rowOff>
    </from>
    <ext cx="4312651" cy="203641"/>
    <pic>
      <nvPicPr>
        <cNvPr id="20" name="Grafik 1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192</row>
      <rowOff>144004</rowOff>
    </from>
    <ext cx="4312651" cy="203641"/>
    <pic>
      <nvPicPr>
        <cNvPr id="22" name="Grafik 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192</row>
      <rowOff>144004</rowOff>
    </from>
    <ext cx="4312651" cy="203641"/>
    <pic>
      <nvPicPr>
        <cNvPr id="24" name="Grafik 2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231</row>
      <rowOff>144004</rowOff>
    </from>
    <ext cx="4312651" cy="203641"/>
    <pic>
      <nvPicPr>
        <cNvPr id="26" name="Grafik 2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231</row>
      <rowOff>144004</rowOff>
    </from>
    <ext cx="4312651" cy="203641"/>
    <pic>
      <nvPicPr>
        <cNvPr id="28" name="Grafik 2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270</row>
      <rowOff>144004</rowOff>
    </from>
    <ext cx="4312651" cy="203641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270</row>
      <rowOff>144004</rowOff>
    </from>
    <ext cx="4312651" cy="203641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309</row>
      <rowOff>144004</rowOff>
    </from>
    <ext cx="4312651" cy="203641"/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309</row>
      <rowOff>144004</rowOff>
    </from>
    <ext cx="4312651" cy="203641"/>
    <pic>
      <nvPicPr>
        <cNvPr id="36" name="Grafik 3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348</row>
      <rowOff>144004</rowOff>
    </from>
    <ext cx="4312651" cy="203641"/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348</row>
      <rowOff>144004</rowOff>
    </from>
    <ext cx="4312651" cy="203641"/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387</row>
      <rowOff>144004</rowOff>
    </from>
    <ext cx="4312651" cy="203641"/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387</row>
      <rowOff>144004</rowOff>
    </from>
    <ext cx="4312651" cy="203641"/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0</col>
      <colOff>219075</colOff>
      <row>7</row>
      <rowOff>0</rowOff>
    </from>
    <to>
      <col>1</col>
      <colOff>38174</colOff>
      <row>19</row>
      <rowOff>29419</rowOff>
    </to>
    <pic>
      <nvPicPr>
        <cNvPr id="9" name="Grafik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9075" y="3495675"/>
          <a:ext cx="533474" cy="60492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2686050</colOff>
      <row>8</row>
      <rowOff>409575</rowOff>
    </from>
    <to>
      <col>4</col>
      <colOff>1381322</colOff>
      <row>19</row>
      <rowOff>210289</rowOff>
    </to>
    <pic>
      <nvPicPr>
        <cNvPr id="10" name="Grafik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134600" y="4429125"/>
          <a:ext cx="1409897" cy="52966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0</row>
      <rowOff>0</rowOff>
    </from>
    <to>
      <col>4</col>
      <colOff>1401762</colOff>
      <row>4</row>
      <rowOff>19336</rowOff>
    </to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0500" y="0"/>
          <a:ext cx="11374437" cy="20481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228600</colOff>
      <row>0</row>
      <rowOff>19050</rowOff>
    </from>
    <to>
      <col>1</col>
      <colOff>28647</colOff>
      <row>8</row>
      <rowOff>276822</rowOff>
    </to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28600" y="19050"/>
          <a:ext cx="514422" cy="4277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219075</colOff>
      <row>6</row>
      <rowOff>400050</rowOff>
    </from>
    <to>
      <col>4</col>
      <colOff>1392232</colOff>
      <row>9</row>
      <rowOff>114452</rowOff>
    </to>
    <pic>
      <nvPicPr>
        <cNvPr id="35" name="Grafik 3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19075" y="3486150"/>
          <a:ext cx="11336332" cy="108600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542925</colOff>
      <row>4</row>
      <rowOff>495300</rowOff>
    </from>
    <to>
      <col>2</col>
      <colOff>1267607</colOff>
      <row>5</row>
      <rowOff>276269</rowOff>
    </to>
    <pic>
      <nvPicPr>
        <cNvPr id="37" name="Grafik 3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542925" y="2524125"/>
          <a:ext cx="5601482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3914775</colOff>
      <row>2</row>
      <rowOff>476250</rowOff>
    </from>
    <to>
      <col>2</col>
      <colOff>1562353</colOff>
      <row>7</row>
      <rowOff>219379</rowOff>
    </to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4629150" y="1533525"/>
          <a:ext cx="1810003" cy="21815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5</row>
      <rowOff>466725</rowOff>
    </from>
    <to>
      <col>2</col>
      <colOff>810379</colOff>
      <row>6</row>
      <rowOff>181008</rowOff>
    </to>
    <pic>
      <nvPicPr>
        <cNvPr id="39" name="Grafik 3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285750" y="3028950"/>
          <a:ext cx="5401429" cy="2381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942975</colOff>
      <row>2</row>
      <rowOff>161925</rowOff>
    </from>
    <to>
      <col>4</col>
      <colOff>1381186</colOff>
      <row>7</row>
      <rowOff>209897</rowOff>
    </to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1106150" y="1219200"/>
          <a:ext cx="438211" cy="248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1019175</colOff>
      <row>5</row>
      <rowOff>142875</rowOff>
    </from>
    <to>
      <col>4</col>
      <colOff>1277124</colOff>
      <row>5</row>
      <rowOff>447718</rowOff>
    </to>
    <pic>
      <nvPicPr>
        <cNvPr id="41" name="Grafik 4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5895975" y="2705100"/>
          <a:ext cx="5544324" cy="304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1047750</colOff>
      <row>3</row>
      <rowOff>209550</rowOff>
    </from>
    <to>
      <col>4</col>
      <colOff>1172330</colOff>
      <row>4</row>
      <rowOff>200091</rowOff>
    </to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5924550" y="1752600"/>
          <a:ext cx="5410955" cy="47631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200025</colOff>
      <row>19</row>
      <rowOff>66675</rowOff>
    </from>
    <to>
      <col>4</col>
      <colOff>1392235</colOff>
      <row>20</row>
      <rowOff>304908</rowOff>
    </to>
    <pic>
      <nvPicPr>
        <cNvPr id="43" name="Grafik 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200025" y="9572625"/>
          <a:ext cx="11355385" cy="7716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20</row>
      <rowOff>47625</rowOff>
    </from>
    <to>
      <col>1</col>
      <colOff>857443</colOff>
      <row>27</row>
      <rowOff>95632</rowOff>
    </to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0500" y="10096500"/>
          <a:ext cx="1381318" cy="27340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23</row>
      <rowOff>342900</rowOff>
    </from>
    <to>
      <col>2</col>
      <colOff>2058344</colOff>
      <row>25</row>
      <rowOff>219168</rowOff>
    </to>
    <pic>
      <nvPicPr>
        <cNvPr id="45" name="Grafik 4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71450" y="11563350"/>
          <a:ext cx="6763694" cy="666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876300</colOff>
      <row>20</row>
      <rowOff>38100</rowOff>
    </from>
    <to>
      <col>2</col>
      <colOff>1076353</colOff>
      <row>25</row>
      <rowOff>19321</rowOff>
    </to>
    <pic>
      <nvPicPr>
        <cNvPr id="46" name="Grafik 4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5753100" y="10086975"/>
          <a:ext cx="200053" cy="194337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2057400</colOff>
      <row>24</row>
      <rowOff>95250</rowOff>
    </from>
    <to>
      <col>3</col>
      <colOff>276335</colOff>
      <row>25</row>
      <rowOff>28619</rowOff>
    </to>
    <pic>
      <nvPicPr>
        <cNvPr id="48" name="Grafik 4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6934200" y="11725275"/>
          <a:ext cx="790685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209550</colOff>
      <row>24</row>
      <rowOff>314325</rowOff>
    </from>
    <to>
      <col>4</col>
      <colOff>1372141</colOff>
      <row>27</row>
      <rowOff>85847</rowOff>
    </to>
    <pic>
      <nvPicPr>
        <cNvPr id="49" name="Grafik 4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7658100" y="11944350"/>
          <a:ext cx="3877216" cy="8764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904875</colOff>
      <row>20</row>
      <rowOff>0</rowOff>
    </from>
    <to>
      <col>4</col>
      <colOff>1409770</colOff>
      <row>25</row>
      <rowOff>200327</rowOff>
    </to>
    <pic>
      <nvPicPr>
        <cNvPr id="50" name="Grafik 4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1068050" y="10048875"/>
          <a:ext cx="504895" cy="21624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25</row>
      <rowOff>60846</rowOff>
    </from>
    <to>
      <col>4</col>
      <colOff>1401749</colOff>
      <row>27</row>
      <rowOff>97346</rowOff>
    </to>
    <pic>
      <nvPicPr>
        <cNvPr id="52" name="Grafik 5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285750" y="12071871"/>
          <a:ext cx="11279174" cy="760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2679539</colOff>
      <row>25</row>
      <rowOff>265132</rowOff>
    </from>
    <to>
      <col>4</col>
      <colOff>1422442</colOff>
      <row>42</row>
      <rowOff>94584</rowOff>
    </to>
    <pic>
      <nvPicPr>
        <cNvPr id="56" name="Grafik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>
        <a:xfrm xmlns:a="http://schemas.openxmlformats.org/drawingml/2006/main">
          <a:off x="10127727" y="12267838"/>
          <a:ext cx="1458493" cy="47275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284664</colOff>
      <row>31</row>
      <rowOff>54852</rowOff>
    </from>
    <to>
      <col>4</col>
      <colOff>590925</colOff>
      <row>32</row>
      <rowOff>45363</rowOff>
    </to>
    <pic>
      <nvPicPr>
        <cNvPr id="57" name="Grafik 5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>
        <a:xfrm xmlns:a="http://schemas.openxmlformats.org/drawingml/2006/main">
          <a:off x="284664" y="13742518"/>
          <a:ext cx="10470280" cy="25576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841214</colOff>
      <row>27</row>
      <rowOff>43899</rowOff>
    </from>
    <to>
      <col>2</col>
      <colOff>993635</colOff>
      <row>42</row>
      <rowOff>111408</rowOff>
    </to>
    <pic>
      <nvPicPr>
        <cNvPr id="58" name="Grafik 5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718255" y="12770022"/>
          <a:ext cx="152421" cy="42422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192234</colOff>
      <row>29</row>
      <rowOff>7900</rowOff>
    </from>
    <to>
      <col>4</col>
      <colOff>946233</colOff>
      <row>30</row>
      <rowOff>55561</rowOff>
    </to>
    <pic>
      <nvPicPr>
        <cNvPr id="60" name="Grafik 5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>
        <a:xfrm xmlns:a="http://schemas.openxmlformats.org/drawingml/2006/main">
          <a:off x="192234" y="13162046"/>
          <a:ext cx="10918018" cy="2586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180975</colOff>
      <row>33</row>
      <rowOff>14208</rowOff>
    </from>
    <to>
      <col>4</col>
      <colOff>830184</colOff>
      <row>34</row>
      <rowOff>99972</rowOff>
    </to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>
        <a:xfrm xmlns:a="http://schemas.openxmlformats.org/drawingml/2006/main">
          <a:off x="180975" y="14301708"/>
          <a:ext cx="10813228" cy="2756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193031</colOff>
      <row>39</row>
      <rowOff>312275</rowOff>
    </from>
    <to>
      <col>4</col>
      <colOff>594555</colOff>
      <row>42</row>
      <rowOff>112568</rowOff>
    </to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>
        <a:xfrm xmlns:a="http://schemas.openxmlformats.org/drawingml/2006/main">
          <a:off x="193031" y="16462576"/>
          <a:ext cx="10565543" cy="550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26</row>
      <rowOff>197975</rowOff>
    </from>
    <to>
      <col>0</col>
      <colOff>285766</colOff>
      <row>40</row>
      <rowOff>198561</rowOff>
    </to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>
        <a:xfrm xmlns:a="http://schemas.openxmlformats.org/drawingml/2006/main">
          <a:off x="171450" y="12523204"/>
          <a:ext cx="114316" cy="419640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304800</colOff>
      <row>39</row>
      <rowOff>47625</rowOff>
    </from>
    <to>
      <col>1</col>
      <colOff>1028801</colOff>
      <row>39</row>
      <rowOff>314362</rowOff>
    </to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>
        <a:xfrm xmlns:a="http://schemas.openxmlformats.org/drawingml/2006/main">
          <a:off x="1019175" y="16211550"/>
          <a:ext cx="724001" cy="26673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219075</colOff>
      <row>7</row>
      <rowOff>0</rowOff>
    </from>
    <to>
      <col>1</col>
      <colOff>38174</colOff>
      <row>19</row>
      <rowOff>29419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9075" y="3495675"/>
          <a:ext cx="533474" cy="60492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2686050</colOff>
      <row>8</row>
      <rowOff>409575</rowOff>
    </from>
    <to>
      <col>4</col>
      <colOff>1381322</colOff>
      <row>19</row>
      <rowOff>210289</rowOff>
    </to>
    <pic>
      <nvPicPr>
        <cNvPr id="3" name="Grafik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134600" y="4429125"/>
          <a:ext cx="1409897" cy="52966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0</row>
      <rowOff>0</rowOff>
    </from>
    <to>
      <col>4</col>
      <colOff>1401762</colOff>
      <row>4</row>
      <rowOff>19336</rowOff>
    </to>
    <pic>
      <nvPicPr>
        <cNvPr id="4" name="Grafik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0500" y="0"/>
          <a:ext cx="11374437" cy="20481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228600</colOff>
      <row>0</row>
      <rowOff>19050</rowOff>
    </from>
    <to>
      <col>1</col>
      <colOff>28647</colOff>
      <row>8</row>
      <rowOff>276822</rowOff>
    </to>
    <pic>
      <nvPicPr>
        <cNvPr id="5" name="Grafik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28600" y="19050"/>
          <a:ext cx="514422" cy="4277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219075</colOff>
      <row>6</row>
      <rowOff>400050</rowOff>
    </from>
    <to>
      <col>4</col>
      <colOff>1392232</colOff>
      <row>9</row>
      <rowOff>114452</rowOff>
    </to>
    <pic>
      <nvPicPr>
        <cNvPr id="6" name="Grafik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19075" y="3486150"/>
          <a:ext cx="11336332" cy="108600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542925</colOff>
      <row>4</row>
      <rowOff>495300</rowOff>
    </from>
    <to>
      <col>2</col>
      <colOff>1267607</colOff>
      <row>5</row>
      <rowOff>276269</rowOff>
    </to>
    <pic>
      <nvPicPr>
        <cNvPr id="7" name="Grafik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542925" y="2524125"/>
          <a:ext cx="5601482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3914775</colOff>
      <row>2</row>
      <rowOff>476250</rowOff>
    </from>
    <to>
      <col>2</col>
      <colOff>1562353</colOff>
      <row>7</row>
      <rowOff>219379</rowOff>
    </to>
    <pic>
      <nvPicPr>
        <cNvPr id="8" name="Grafik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4629150" y="1533525"/>
          <a:ext cx="1810003" cy="21815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5</row>
      <rowOff>466725</rowOff>
    </from>
    <to>
      <col>2</col>
      <colOff>810379</colOff>
      <row>6</row>
      <rowOff>181008</rowOff>
    </to>
    <pic>
      <nvPicPr>
        <cNvPr id="9" name="Grafik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285750" y="3028950"/>
          <a:ext cx="5401429" cy="2381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942975</colOff>
      <row>2</row>
      <rowOff>161925</rowOff>
    </from>
    <to>
      <col>4</col>
      <colOff>1381186</colOff>
      <row>7</row>
      <rowOff>209897</rowOff>
    </to>
    <pic>
      <nvPicPr>
        <cNvPr id="10" name="Grafik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1106150" y="1219200"/>
          <a:ext cx="438211" cy="248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1019175</colOff>
      <row>5</row>
      <rowOff>142875</rowOff>
    </from>
    <to>
      <col>4</col>
      <colOff>1277124</colOff>
      <row>5</row>
      <rowOff>447718</rowOff>
    </to>
    <pic>
      <nvPicPr>
        <cNvPr id="11" name="Grafik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5895975" y="2705100"/>
          <a:ext cx="5544324" cy="304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1047750</colOff>
      <row>3</row>
      <rowOff>209550</rowOff>
    </from>
    <to>
      <col>4</col>
      <colOff>1172330</colOff>
      <row>4</row>
      <rowOff>200091</rowOff>
    </to>
    <pic>
      <nvPicPr>
        <cNvPr id="12" name="Grafik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5924550" y="1752600"/>
          <a:ext cx="5410955" cy="47631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200025</colOff>
      <row>19</row>
      <rowOff>66675</rowOff>
    </from>
    <to>
      <col>4</col>
      <colOff>1392235</colOff>
      <row>20</row>
      <rowOff>304908</rowOff>
    </to>
    <pic>
      <nvPicPr>
        <cNvPr id="13" name="Grafik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200025" y="9582150"/>
          <a:ext cx="11355385" cy="7716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20</row>
      <rowOff>47625</rowOff>
    </from>
    <to>
      <col>1</col>
      <colOff>857443</colOff>
      <row>27</row>
      <rowOff>95632</rowOff>
    </to>
    <pic>
      <nvPicPr>
        <cNvPr id="14" name="Grafik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0500" y="10096500"/>
          <a:ext cx="1381318" cy="27340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23</row>
      <rowOff>342900</rowOff>
    </from>
    <to>
      <col>2</col>
      <colOff>2058344</colOff>
      <row>25</row>
      <rowOff>219168</rowOff>
    </to>
    <pic>
      <nvPicPr>
        <cNvPr id="15" name="Grafik 1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71450" y="11563350"/>
          <a:ext cx="6763694" cy="666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876300</colOff>
      <row>20</row>
      <rowOff>38100</rowOff>
    </from>
    <to>
      <col>2</col>
      <colOff>1076353</colOff>
      <row>25</row>
      <rowOff>19321</rowOff>
    </to>
    <pic>
      <nvPicPr>
        <cNvPr id="16" name="Grafik 1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5753100" y="10086975"/>
          <a:ext cx="200053" cy="194337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2057400</colOff>
      <row>24</row>
      <rowOff>95250</rowOff>
    </from>
    <to>
      <col>3</col>
      <colOff>276335</colOff>
      <row>25</row>
      <rowOff>28619</rowOff>
    </to>
    <pic>
      <nvPicPr>
        <cNvPr id="17" name="Grafik 1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6934200" y="11725275"/>
          <a:ext cx="790685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209550</colOff>
      <row>24</row>
      <rowOff>314325</rowOff>
    </from>
    <to>
      <col>4</col>
      <colOff>1372141</colOff>
      <row>27</row>
      <rowOff>85847</rowOff>
    </to>
    <pic>
      <nvPicPr>
        <cNvPr id="18" name="Grafik 1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7658100" y="11944350"/>
          <a:ext cx="3877216" cy="8764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904875</colOff>
      <row>20</row>
      <rowOff>0</rowOff>
    </from>
    <to>
      <col>4</col>
      <colOff>1409770</colOff>
      <row>25</row>
      <rowOff>200327</rowOff>
    </to>
    <pic>
      <nvPicPr>
        <cNvPr id="19" name="Grafik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1068050" y="10048875"/>
          <a:ext cx="504895" cy="21624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25</row>
      <rowOff>60846</rowOff>
    </from>
    <to>
      <col>4</col>
      <colOff>1401749</colOff>
      <row>27</row>
      <rowOff>97346</rowOff>
    </to>
    <pic>
      <nvPicPr>
        <cNvPr id="20" name="Grafik 1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285750" y="12071871"/>
          <a:ext cx="11279174" cy="760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2679539</colOff>
      <row>25</row>
      <rowOff>265132</rowOff>
    </from>
    <to>
      <col>5</col>
      <colOff>3217</colOff>
      <row>42</row>
      <rowOff>94584</rowOff>
    </to>
    <pic>
      <nvPicPr>
        <cNvPr id="21" name="Grafik 2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>
        <a:xfrm xmlns:a="http://schemas.openxmlformats.org/drawingml/2006/main">
          <a:off x="10128089" y="12276157"/>
          <a:ext cx="1457528" cy="473482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284664</colOff>
      <row>31</row>
      <rowOff>54852</rowOff>
    </from>
    <to>
      <col>4</col>
      <colOff>590925</colOff>
      <row>32</row>
      <rowOff>45363</rowOff>
    </to>
    <pic>
      <nvPicPr>
        <cNvPr id="22" name="Grafik 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>
        <a:xfrm xmlns:a="http://schemas.openxmlformats.org/drawingml/2006/main">
          <a:off x="284664" y="13751802"/>
          <a:ext cx="10469436" cy="25721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841214</colOff>
      <row>27</row>
      <rowOff>43899</rowOff>
    </from>
    <to>
      <col>2</col>
      <colOff>993635</colOff>
      <row>42</row>
      <rowOff>111408</rowOff>
    </to>
    <pic>
      <nvPicPr>
        <cNvPr id="23" name="Grafik 2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718014" y="12778824"/>
          <a:ext cx="152421" cy="424898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192234</colOff>
      <row>29</row>
      <rowOff>7900</rowOff>
    </from>
    <to>
      <col>4</col>
      <colOff>946233</colOff>
      <row>30</row>
      <rowOff>55561</rowOff>
    </to>
    <pic>
      <nvPicPr>
        <cNvPr id="24" name="Grafik 2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>
        <a:xfrm xmlns:a="http://schemas.openxmlformats.org/drawingml/2006/main">
          <a:off x="192234" y="13171450"/>
          <a:ext cx="10917174" cy="25721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180975</colOff>
      <row>33</row>
      <rowOff>14208</rowOff>
    </from>
    <to>
      <col>4</col>
      <colOff>830184</colOff>
      <row>34</row>
      <rowOff>99972</rowOff>
    </to>
    <pic>
      <nvPicPr>
        <cNvPr id="25" name="Grafik 2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>
        <a:xfrm xmlns:a="http://schemas.openxmlformats.org/drawingml/2006/main">
          <a:off x="180975" y="14311233"/>
          <a:ext cx="10812384" cy="27626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193031</colOff>
      <row>39</row>
      <rowOff>312275</rowOff>
    </from>
    <to>
      <col>4</col>
      <colOff>594555</colOff>
      <row>42</row>
      <rowOff>112568</rowOff>
    </to>
    <pic>
      <nvPicPr>
        <cNvPr id="26" name="Grafik 2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>
        <a:xfrm xmlns:a="http://schemas.openxmlformats.org/drawingml/2006/main">
          <a:off x="193031" y="16476200"/>
          <a:ext cx="10564699" cy="55276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26</row>
      <rowOff>197975</rowOff>
    </from>
    <to>
      <col>0</col>
      <colOff>285766</colOff>
      <row>40</row>
      <rowOff>198561</rowOff>
    </to>
    <pic>
      <nvPicPr>
        <cNvPr id="27" name="Grafik 2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>
        <a:xfrm xmlns:a="http://schemas.openxmlformats.org/drawingml/2006/main">
          <a:off x="171450" y="12532850"/>
          <a:ext cx="114316" cy="420111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304800</colOff>
      <row>39</row>
      <rowOff>47625</rowOff>
    </from>
    <to>
      <col>1</col>
      <colOff>1028801</colOff>
      <row>39</row>
      <rowOff>314362</rowOff>
    </to>
    <pic>
      <nvPicPr>
        <cNvPr id="28" name="Grafik 2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>
        <a:xfrm xmlns:a="http://schemas.openxmlformats.org/drawingml/2006/main">
          <a:off x="1019175" y="16211550"/>
          <a:ext cx="724001" cy="26673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1" t="inlineStr">
        <is>
          <t>EH-Kurs – Teilnehmerliste 2026</t>
        </is>
      </c>
    </row>
    <row r="3" ht="22" customHeight="1">
      <c r="B3" s="2" t="inlineStr">
        <is>
          <t>Datum:</t>
        </is>
      </c>
      <c r="C3" s="3" t="n"/>
      <c r="E3" s="2" t="inlineStr">
        <is>
          <t>Beginn:</t>
        </is>
      </c>
      <c r="F3" s="4" t="n"/>
      <c r="G3" s="2" t="inlineStr">
        <is>
          <t>Ende:</t>
        </is>
      </c>
      <c r="H3" s="4" t="n"/>
    </row>
    <row r="4" ht="22" customHeight="1">
      <c r="B4" s="2" t="inlineStr">
        <is>
          <t>Lehrkraft:</t>
        </is>
      </c>
      <c r="C4" s="5" t="n"/>
      <c r="E4" s="2" t="inlineStr">
        <is>
          <t>Kursart:</t>
        </is>
      </c>
      <c r="F4" s="5" t="n"/>
    </row>
    <row r="5" ht="22" customHeight="1">
      <c r="B5" s="2" t="inlineStr">
        <is>
          <t>Registriernr.:</t>
        </is>
      </c>
      <c r="C5" s="5" t="n"/>
      <c r="E5" s="2" t="inlineStr">
        <is>
          <t>QSEH-Kennziffer:</t>
        </is>
      </c>
      <c r="F5" s="6" t="inlineStr">
        <is>
          <t>7.0103</t>
        </is>
      </c>
    </row>
    <row r="6" ht="22" customHeight="1">
      <c r="B6" s="2" t="inlineStr">
        <is>
          <t>Lehrgangsort:</t>
        </is>
      </c>
      <c r="C6" s="5" t="inlineStr">
        <is>
          <t>Mercedes-Benz AG, PKW-Werk Rastatt</t>
        </is>
      </c>
    </row>
    <row r="7" ht="22" customHeight="1">
      <c r="B7" s="2" t="inlineStr">
        <is>
          <t>Verantw. Arzt:</t>
        </is>
      </c>
      <c r="C7" s="6" t="inlineStr">
        <is>
          <t>Dr. Schmidt, Sabine</t>
        </is>
      </c>
      <c r="E7" s="2" t="inlineStr">
        <is>
          <t>Tel.:</t>
        </is>
      </c>
      <c r="F7" s="6" t="inlineStr">
        <is>
          <t>07222/91-22111</t>
        </is>
      </c>
    </row>
    <row r="8" ht="22" customHeight="1">
      <c r="B8" s="2" t="inlineStr">
        <is>
          <t>Masken-Charge:</t>
        </is>
      </c>
      <c r="C8" s="5" t="n"/>
    </row>
    <row r="10" ht="25" customHeight="1">
      <c r="A10" s="7" t="inlineStr">
        <is>
          <t>Nr</t>
        </is>
      </c>
      <c r="B10" s="7" t="inlineStr">
        <is>
          <t>Nachname</t>
        </is>
      </c>
      <c r="C10" s="7" t="inlineStr">
        <is>
          <t>Vorname</t>
        </is>
      </c>
      <c r="D10" s="7" t="inlineStr">
        <is>
          <t>Geburtsdatum</t>
        </is>
      </c>
      <c r="E10" s="7" t="inlineStr">
        <is>
          <t>Ersthelfer (x)</t>
        </is>
      </c>
    </row>
    <row r="11" ht="22" customHeight="1">
      <c r="A11" s="8" t="n">
        <v>1</v>
      </c>
      <c r="B11" s="9" t="n"/>
      <c r="C11" s="9" t="n"/>
      <c r="D11" s="10" t="n"/>
      <c r="E11" s="11" t="n"/>
    </row>
    <row r="12" ht="22" customHeight="1">
      <c r="A12" s="12" t="n">
        <v>2</v>
      </c>
      <c r="B12" s="13" t="n"/>
      <c r="C12" s="13" t="n"/>
      <c r="D12" s="14" t="n"/>
      <c r="E12" s="15" t="n"/>
    </row>
    <row r="13" ht="22" customHeight="1">
      <c r="A13" s="8" t="n">
        <v>3</v>
      </c>
      <c r="B13" s="9" t="n"/>
      <c r="C13" s="9" t="n"/>
      <c r="D13" s="10" t="n"/>
      <c r="E13" s="11" t="n"/>
    </row>
    <row r="14" ht="22" customHeight="1">
      <c r="A14" s="12" t="n">
        <v>4</v>
      </c>
      <c r="B14" s="13" t="n"/>
      <c r="C14" s="13" t="n"/>
      <c r="D14" s="14" t="n"/>
      <c r="E14" s="15" t="n"/>
    </row>
    <row r="15" ht="22" customHeight="1">
      <c r="A15" s="8" t="n">
        <v>5</v>
      </c>
      <c r="B15" s="9" t="n"/>
      <c r="C15" s="9" t="n"/>
      <c r="D15" s="10" t="n"/>
      <c r="E15" s="11" t="n"/>
    </row>
    <row r="16" ht="22" customHeight="1">
      <c r="A16" s="12" t="n">
        <v>6</v>
      </c>
      <c r="B16" s="13" t="n"/>
      <c r="C16" s="13" t="n"/>
      <c r="D16" s="14" t="n"/>
      <c r="E16" s="15" t="n"/>
    </row>
    <row r="17" ht="22" customHeight="1">
      <c r="A17" s="8" t="n">
        <v>7</v>
      </c>
      <c r="B17" s="9" t="n"/>
      <c r="C17" s="9" t="n"/>
      <c r="D17" s="10" t="n"/>
      <c r="E17" s="11" t="n"/>
    </row>
    <row r="18" ht="22" customHeight="1">
      <c r="A18" s="12" t="n">
        <v>8</v>
      </c>
      <c r="B18" s="13" t="n"/>
      <c r="C18" s="13" t="n"/>
      <c r="D18" s="14" t="n"/>
      <c r="E18" s="15" t="n"/>
    </row>
    <row r="19" ht="22" customHeight="1">
      <c r="A19" s="8" t="n">
        <v>9</v>
      </c>
      <c r="B19" s="9" t="n"/>
      <c r="C19" s="9" t="n"/>
      <c r="D19" s="10" t="n"/>
      <c r="E19" s="11" t="n"/>
    </row>
    <row r="20" ht="22" customHeight="1">
      <c r="A20" s="12" t="n">
        <v>10</v>
      </c>
      <c r="B20" s="13" t="n"/>
      <c r="C20" s="13" t="n"/>
      <c r="D20" s="14" t="n"/>
      <c r="E20" s="15" t="n"/>
    </row>
    <row r="21" ht="22" customHeight="1">
      <c r="A21" s="8" t="n">
        <v>11</v>
      </c>
      <c r="B21" s="9" t="n"/>
      <c r="C21" s="9" t="n"/>
      <c r="D21" s="10" t="n"/>
      <c r="E21" s="11" t="n"/>
    </row>
    <row r="22" ht="22" customHeight="1">
      <c r="A22" s="12" t="n">
        <v>12</v>
      </c>
      <c r="B22" s="13" t="n"/>
      <c r="C22" s="13" t="n"/>
      <c r="D22" s="14" t="n"/>
      <c r="E22" s="15" t="n"/>
    </row>
    <row r="23" ht="22" customHeight="1">
      <c r="A23" s="8" t="n">
        <v>13</v>
      </c>
      <c r="B23" s="9" t="n"/>
      <c r="C23" s="9" t="n"/>
      <c r="D23" s="10" t="n"/>
      <c r="E23" s="11" t="n"/>
    </row>
    <row r="24" ht="22" customHeight="1">
      <c r="A24" s="12" t="n">
        <v>14</v>
      </c>
      <c r="B24" s="13" t="n"/>
      <c r="C24" s="13" t="n"/>
      <c r="D24" s="14" t="n"/>
      <c r="E24" s="15" t="n"/>
    </row>
    <row r="25" ht="22" customHeight="1">
      <c r="A25" s="8" t="n">
        <v>15</v>
      </c>
      <c r="B25" s="9" t="n"/>
      <c r="C25" s="9" t="n"/>
      <c r="D25" s="10" t="n"/>
      <c r="E25" s="11" t="n"/>
    </row>
    <row r="26" ht="22" customHeight="1">
      <c r="A26" s="12" t="n">
        <v>16</v>
      </c>
      <c r="B26" s="13" t="n"/>
      <c r="C26" s="13" t="n"/>
      <c r="D26" s="14" t="n"/>
      <c r="E26" s="15" t="n"/>
    </row>
    <row r="27" ht="22" customHeight="1">
      <c r="A27" s="8" t="n">
        <v>17</v>
      </c>
      <c r="B27" s="9" t="n"/>
      <c r="C27" s="9" t="n"/>
      <c r="D27" s="10" t="n"/>
      <c r="E27" s="11" t="n"/>
    </row>
    <row r="28" ht="22" customHeight="1">
      <c r="A28" s="12" t="n">
        <v>18</v>
      </c>
      <c r="B28" s="13" t="n"/>
      <c r="C28" s="13" t="n"/>
      <c r="D28" s="14" t="n"/>
      <c r="E28" s="15" t="n"/>
    </row>
    <row r="29" ht="22" customHeight="1">
      <c r="A29" s="8" t="n">
        <v>19</v>
      </c>
      <c r="B29" s="9" t="n"/>
      <c r="C29" s="9" t="n"/>
      <c r="D29" s="10" t="n"/>
      <c r="E29" s="11" t="n"/>
    </row>
    <row r="30" ht="22" customHeight="1">
      <c r="A30" s="12" t="n">
        <v>20</v>
      </c>
      <c r="B30" s="13" t="n"/>
      <c r="C30" s="13" t="n"/>
      <c r="D30" s="14" t="n"/>
      <c r="E30" s="15" t="n"/>
    </row>
    <row r="32" ht="25" customHeight="1">
      <c r="B32" s="2" t="inlineStr">
        <is>
          <t>Gesamtanzahl:</t>
        </is>
      </c>
      <c r="C32" s="16">
        <f>COUNTA(B11:B30)</f>
        <v/>
      </c>
      <c r="D32" s="2" t="inlineStr">
        <is>
          <t>davon Ersthelfer:</t>
        </is>
      </c>
      <c r="E32" s="1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/>
  </sheetPr>
  <dimension ref="A1:BE388"/>
  <sheetViews>
    <sheetView workbookViewId="0">
      <selection activeCell="A1" sqref="A1"/>
    </sheetView>
  </sheetViews>
  <sheetFormatPr baseColWidth="8" defaultRowHeight="15"/>
  <cols>
    <col width="2.7109375" customWidth="1" min="1" max="1"/>
    <col width="2.42578125" customWidth="1" min="26" max="26"/>
    <col width="2.5703125" customWidth="1" min="28" max="28"/>
    <col width="2.7109375" customWidth="1" min="29" max="29"/>
    <col width="9.140625" customWidth="1" min="53" max="53"/>
    <col width="10.140625" customWidth="1" min="57" max="57"/>
    <col width="9.140625" customWidth="1" min="58" max="58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18" t="n"/>
      <c r="C11" s="18" t="n"/>
      <c r="D11" s="18" t="n"/>
      <c r="E11" s="18" t="n"/>
      <c r="F11" s="18" t="n"/>
      <c r="G11" s="18" t="n"/>
      <c r="H11" s="18" t="n"/>
      <c r="I11" s="17">
        <f>Teilnehmer!C11</f>
        <v/>
      </c>
      <c r="J11" s="18" t="n"/>
      <c r="K11" s="18" t="n"/>
      <c r="L11" s="18" t="n"/>
      <c r="M11" s="18" t="n"/>
      <c r="N11" s="18" t="n"/>
      <c r="O11" s="18" t="n"/>
      <c r="P11" s="18" t="n"/>
      <c r="S11" s="19" t="inlineStr">
        <is>
          <t>geb. am:</t>
        </is>
      </c>
      <c r="T11" s="20">
        <f>Teilnehmer!D11</f>
        <v/>
      </c>
      <c r="U11" s="18" t="n"/>
      <c r="V11" s="18" t="n"/>
      <c r="W11" s="18" t="n"/>
      <c r="X11" s="18" t="n"/>
      <c r="Y11" s="21" t="n"/>
      <c r="AC11" s="17">
        <f>Teilnehmer!B12</f>
        <v/>
      </c>
      <c r="AD11" s="18" t="n"/>
      <c r="AE11" s="18" t="n"/>
      <c r="AF11" s="18" t="n"/>
      <c r="AG11" s="18" t="n"/>
      <c r="AH11" s="18" t="n"/>
      <c r="AI11" s="18" t="n"/>
      <c r="AJ11" s="18" t="n"/>
      <c r="AK11" s="17">
        <f>Teilnehmer!C12</f>
        <v/>
      </c>
      <c r="AL11" s="18" t="n"/>
      <c r="AM11" s="18" t="n"/>
      <c r="AN11" s="18" t="n"/>
      <c r="AO11" s="18" t="n"/>
      <c r="AP11" s="18" t="n"/>
      <c r="AQ11" s="18" t="n"/>
      <c r="AR11" s="18" t="n"/>
      <c r="AU11" s="19" t="inlineStr">
        <is>
          <t>geb. am:</t>
        </is>
      </c>
      <c r="AV11" s="20">
        <f>Teilnehmer!D12</f>
        <v/>
      </c>
      <c r="AW11" s="18" t="n"/>
      <c r="AX11" s="18" t="n"/>
      <c r="AY11" s="18" t="n"/>
      <c r="AZ11" s="18" t="n"/>
    </row>
    <row r="12" ht="14.25" customHeight="1">
      <c r="A12" s="22" t="n"/>
      <c r="B12" s="23" t="inlineStr">
        <is>
          <t>Name</t>
        </is>
      </c>
      <c r="C12" s="24" t="n"/>
      <c r="D12" s="24" t="n"/>
      <c r="E12" s="24" t="n"/>
      <c r="F12" s="24" t="n"/>
      <c r="G12" s="24" t="n"/>
      <c r="H12" s="22" t="n"/>
      <c r="I12" s="22" t="n"/>
      <c r="J12" s="23" t="inlineStr">
        <is>
          <t>Vorname</t>
        </is>
      </c>
      <c r="K12" s="24" t="n"/>
      <c r="L12" s="24" t="n"/>
      <c r="M12" s="24" t="n"/>
      <c r="N12" s="24" t="n"/>
      <c r="O12" s="24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AC12" s="22" t="n"/>
      <c r="AD12" s="23" t="inlineStr">
        <is>
          <t>Name</t>
        </is>
      </c>
      <c r="AE12" s="24" t="n"/>
      <c r="AF12" s="24" t="n"/>
      <c r="AG12" s="24" t="n"/>
      <c r="AH12" s="24" t="n"/>
      <c r="AI12" s="24" t="n"/>
      <c r="AJ12" s="22" t="n"/>
      <c r="AK12" s="22" t="n"/>
      <c r="AL12" s="23" t="inlineStr">
        <is>
          <t>Vorname</t>
        </is>
      </c>
      <c r="AM12" s="24" t="n"/>
      <c r="AN12" s="24" t="n"/>
      <c r="AO12" s="24" t="n"/>
      <c r="AP12" s="24" t="n"/>
      <c r="AQ12" s="24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</row>
    <row r="13"/>
    <row r="14" ht="14.25" customHeight="1">
      <c r="A14" s="25" t="inlineStr">
        <is>
          <t>hat an dem 9 Unterrichtseinheiten (Nettounterrichtszeit 9 x 45 Minuten) umfassenden Lehrgang</t>
        </is>
      </c>
      <c r="AC14" s="25" t="inlineStr">
        <is>
          <t>hat an dem 9 Unterrichtseinheiten (Nettounterrichtszeit 9 x 45 Minuten) umfassenden Lehrgang</t>
        </is>
      </c>
    </row>
    <row r="15"/>
    <row r="16" ht="14.25" customHeight="1">
      <c r="A16" s="25" t="inlineStr">
        <is>
          <t>am</t>
        </is>
      </c>
      <c r="C16" s="20">
        <f>Teilnehmer!C3</f>
        <v/>
      </c>
      <c r="D16" s="18" t="n"/>
      <c r="E16" s="18" t="n"/>
      <c r="F16" s="18" t="n"/>
      <c r="G16" s="18" t="n"/>
      <c r="H16" s="25" t="inlineStr">
        <is>
          <t>in der Zeit von</t>
        </is>
      </c>
      <c r="M16" s="26">
        <f>Teilnehmer!F3</f>
        <v/>
      </c>
      <c r="N16" s="18" t="n"/>
      <c r="O16" s="18" t="n"/>
      <c r="P16" s="25" t="inlineStr">
        <is>
          <t>Uhr bis</t>
        </is>
      </c>
      <c r="S16" s="26">
        <f>Teilnehmer!H3</f>
        <v/>
      </c>
      <c r="T16" s="18" t="n"/>
      <c r="U16" s="18" t="n"/>
      <c r="V16" s="25" t="inlineStr">
        <is>
          <t>Uhr</t>
        </is>
      </c>
      <c r="AC16" s="25" t="inlineStr">
        <is>
          <t>am</t>
        </is>
      </c>
      <c r="AE16" s="20">
        <f>Teilnehmer!C3</f>
        <v/>
      </c>
      <c r="AF16" s="18" t="n"/>
      <c r="AG16" s="18" t="n"/>
      <c r="AH16" s="18" t="n"/>
      <c r="AI16" s="18" t="n"/>
      <c r="AJ16" s="25" t="inlineStr">
        <is>
          <t>in der Zeit von</t>
        </is>
      </c>
      <c r="AO16" s="26">
        <f>Teilnehmer!F3</f>
        <v/>
      </c>
      <c r="AP16" s="18" t="n"/>
      <c r="AQ16" s="18" t="n"/>
      <c r="AR16" s="25" t="inlineStr">
        <is>
          <t>Uhr bis</t>
        </is>
      </c>
      <c r="AU16" s="26">
        <f>Teilnehmer!H3</f>
        <v/>
      </c>
      <c r="AV16" s="18" t="n"/>
      <c r="AW16" s="18" t="n"/>
      <c r="AX16" s="25" t="inlineStr">
        <is>
          <t>Uhr</t>
        </is>
      </c>
    </row>
    <row r="17" ht="14.25" customHeight="1">
      <c r="BE17" s="27" t="n"/>
    </row>
    <row r="18" ht="14.25" customHeight="1">
      <c r="A18" s="25" t="inlineStr">
        <is>
          <t>unter der Leitung von</t>
        </is>
      </c>
      <c r="H18" s="17">
        <f>Teilnehmer!C4</f>
        <v/>
      </c>
      <c r="I18" s="28" t="n"/>
      <c r="J18" s="28" t="n"/>
      <c r="K18" s="28" t="n"/>
      <c r="L18" s="28" t="n"/>
      <c r="M18" s="28" t="n"/>
      <c r="N18" s="28" t="n"/>
      <c r="O18" s="28" t="n"/>
      <c r="Q18" s="25" t="inlineStr">
        <is>
          <t>erfolgreich teilgenommen.</t>
        </is>
      </c>
      <c r="AC18" s="25" t="inlineStr">
        <is>
          <t>unter der Leitung von</t>
        </is>
      </c>
      <c r="AJ18" s="17">
        <f>Teilnehmer!C4</f>
        <v/>
      </c>
      <c r="AK18" s="28" t="n"/>
      <c r="AL18" s="28" t="n"/>
      <c r="AM18" s="28" t="n"/>
      <c r="AN18" s="28" t="n"/>
      <c r="AO18" s="28" t="n"/>
      <c r="AP18" s="28" t="n"/>
      <c r="AQ18" s="28" t="n"/>
      <c r="AS18" s="25" t="inlineStr">
        <is>
          <t>erfolgreich teilgenommen.</t>
        </is>
      </c>
    </row>
    <row r="19"/>
    <row r="20" ht="14.25" customHeight="1">
      <c r="A20" s="25" t="inlineStr">
        <is>
          <t>Teilnehmerunterlagen ausgehändigt:</t>
        </is>
      </c>
      <c r="N20" s="29" t="inlineStr">
        <is>
          <t>X</t>
        </is>
      </c>
      <c r="O20" s="25" t="inlineStr">
        <is>
          <t>ja</t>
        </is>
      </c>
      <c r="R20" s="29" t="n"/>
      <c r="S20" s="25" t="inlineStr">
        <is>
          <t>nein</t>
        </is>
      </c>
      <c r="AC20" s="25" t="inlineStr">
        <is>
          <t>Teilnehmerunterlagen ausgehändigt:</t>
        </is>
      </c>
      <c r="AP20" s="29" t="inlineStr">
        <is>
          <t>X</t>
        </is>
      </c>
      <c r="AQ20" s="25" t="inlineStr">
        <is>
          <t>ja</t>
        </is>
      </c>
      <c r="AT20" s="29" t="n"/>
      <c r="AU20" s="25" t="inlineStr">
        <is>
          <t>nein</t>
        </is>
      </c>
    </row>
    <row r="21"/>
    <row r="22"/>
    <row r="23" ht="14.25" customHeight="1">
      <c r="A23" s="30" t="inlineStr">
        <is>
          <t>Rastatt</t>
        </is>
      </c>
      <c r="G23" s="25" t="inlineStr">
        <is>
          <t>,den</t>
        </is>
      </c>
      <c r="I23" s="21">
        <f>Teilnehmer!C3</f>
        <v/>
      </c>
      <c r="AC23" s="30" t="inlineStr">
        <is>
          <t>Rastatt</t>
        </is>
      </c>
      <c r="AI23" s="25" t="inlineStr">
        <is>
          <t>,den</t>
        </is>
      </c>
      <c r="AK23" s="21">
        <f>Teilnehmer!C3</f>
        <v/>
      </c>
    </row>
    <row r="24" ht="14.25" customHeight="1">
      <c r="A24" s="23" t="inlineStr">
        <is>
          <t>Ort</t>
        </is>
      </c>
      <c r="B24" s="24" t="n"/>
      <c r="C24" s="24" t="n"/>
      <c r="D24" s="24" t="n"/>
      <c r="E24" s="24" t="n"/>
      <c r="F24" s="31" t="n"/>
      <c r="I24" s="23" t="inlineStr">
        <is>
          <t>Datum</t>
        </is>
      </c>
      <c r="J24" s="24" t="n"/>
      <c r="K24" s="24" t="n"/>
      <c r="L24" s="24" t="n"/>
      <c r="M24" s="24" t="n"/>
      <c r="O24" s="23" t="inlineStr">
        <is>
          <t>Unterschrift der Lehrkraft</t>
        </is>
      </c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32" t="n"/>
      <c r="AC24" s="23" t="inlineStr">
        <is>
          <t>Ort</t>
        </is>
      </c>
      <c r="AD24" s="24" t="n"/>
      <c r="AE24" s="24" t="n"/>
      <c r="AF24" s="24" t="n"/>
      <c r="AG24" s="24" t="n"/>
      <c r="AH24" s="31" t="n"/>
      <c r="AK24" s="23" t="inlineStr">
        <is>
          <t>Datum</t>
        </is>
      </c>
      <c r="AL24" s="24" t="n"/>
      <c r="AM24" s="24" t="n"/>
      <c r="AN24" s="24" t="n"/>
      <c r="AO24" s="24" t="n"/>
      <c r="AQ24" s="23" t="inlineStr">
        <is>
          <t>Unterschrift der Lehrkraft</t>
        </is>
      </c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</row>
    <row r="25" ht="14.25" customHeight="1">
      <c r="A25" s="32" t="n"/>
      <c r="B25" s="32" t="n"/>
      <c r="C25" s="32" t="n"/>
      <c r="D25" s="32" t="n"/>
      <c r="E25" s="32" t="n"/>
      <c r="F25" s="31" t="n"/>
      <c r="I25" s="32" t="n"/>
      <c r="J25" s="32" t="n"/>
      <c r="K25" s="32" t="n"/>
      <c r="L25" s="32" t="n"/>
      <c r="M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  <c r="X25" s="32" t="n"/>
      <c r="Y25" s="32" t="n"/>
      <c r="AC25" s="32" t="n"/>
      <c r="AD25" s="32" t="n"/>
      <c r="AE25" s="32" t="n"/>
      <c r="AF25" s="32" t="n"/>
      <c r="AG25" s="32" t="n"/>
      <c r="AH25" s="31" t="n"/>
      <c r="AK25" s="32" t="n"/>
      <c r="AL25" s="32" t="n"/>
      <c r="AM25" s="32" t="n"/>
      <c r="AN25" s="32" t="n"/>
      <c r="AO25" s="32" t="n"/>
      <c r="AQ25" s="32" t="n"/>
      <c r="AR25" s="32" t="n"/>
      <c r="AS25" s="32" t="n"/>
      <c r="AT25" s="32" t="n"/>
      <c r="AU25" s="32" t="n"/>
      <c r="AV25" s="32" t="n"/>
      <c r="AW25" s="32" t="n"/>
      <c r="AX25" s="32" t="n"/>
      <c r="AY25" s="32" t="n"/>
      <c r="AZ25" s="32" t="n"/>
    </row>
    <row r="26" ht="14.25" customHeight="1">
      <c r="A26" s="32" t="n"/>
      <c r="B26" s="32" t="n"/>
      <c r="C26" s="32" t="n"/>
      <c r="D26" s="32" t="n"/>
      <c r="E26" s="32" t="n"/>
      <c r="F26" s="31" t="n"/>
      <c r="I26" s="32" t="n"/>
      <c r="J26" s="32" t="n"/>
      <c r="K26" s="32" t="n"/>
      <c r="L26" s="32" t="n"/>
      <c r="M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AC26" s="32" t="n"/>
      <c r="AD26" s="32" t="n"/>
      <c r="AE26" s="32" t="n"/>
      <c r="AF26" s="32" t="n"/>
      <c r="AG26" s="32" t="n"/>
      <c r="AH26" s="31" t="n"/>
      <c r="AK26" s="32" t="n"/>
      <c r="AL26" s="32" t="n"/>
      <c r="AM26" s="32" t="n"/>
      <c r="AN26" s="32" t="n"/>
      <c r="AO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</row>
    <row r="27" ht="14.25" customHeight="1">
      <c r="A27" s="32" t="n"/>
      <c r="B27" s="32" t="n"/>
      <c r="C27" s="32" t="n"/>
      <c r="D27" s="32" t="n"/>
      <c r="E27" s="32" t="n"/>
      <c r="F27" s="31" t="n"/>
      <c r="I27" s="32" t="n"/>
      <c r="J27" s="32" t="n"/>
      <c r="K27" s="32" t="n"/>
      <c r="L27" s="32" t="n"/>
      <c r="M27" s="32" t="n"/>
      <c r="O27" s="23" t="inlineStr">
        <is>
          <t>Ausbildungsverantwortlicher</t>
        </is>
      </c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32" t="n"/>
      <c r="AC27" s="32" t="n"/>
      <c r="AD27" s="32" t="n"/>
      <c r="AE27" s="32" t="n"/>
      <c r="AF27" s="32" t="n"/>
      <c r="AG27" s="32" t="n"/>
      <c r="AH27" s="31" t="n"/>
      <c r="AK27" s="32" t="n"/>
      <c r="AL27" s="32" t="n"/>
      <c r="AM27" s="32" t="n"/>
      <c r="AN27" s="32" t="n"/>
      <c r="AO27" s="32" t="n"/>
      <c r="AQ27" s="23" t="inlineStr">
        <is>
          <t>Ausbildungsverantwortlicher</t>
        </is>
      </c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</row>
    <row r="28"/>
    <row r="29" ht="14.25" customHeight="1">
      <c r="A29" s="25" t="inlineStr">
        <is>
          <t>Name der ermächtigten Stelle:</t>
        </is>
      </c>
      <c r="K29" s="30" t="inlineStr">
        <is>
          <t>Mercedes-Benz AG, Werk Rastatt</t>
        </is>
      </c>
      <c r="AC29" s="25" t="inlineStr">
        <is>
          <t>Name der ermächtigten Stelle:</t>
        </is>
      </c>
      <c r="AM29" s="30" t="inlineStr">
        <is>
          <t>Mercedes-Benz AG, Werk Rastatt</t>
        </is>
      </c>
    </row>
    <row r="30"/>
    <row r="31" ht="14.25" customHeight="1">
      <c r="A31" s="25" t="inlineStr">
        <is>
          <t>Kennziffer der ermächtigten Stelle</t>
        </is>
      </c>
      <c r="AC31" s="25" t="inlineStr">
        <is>
          <t>Kennziffer der ermächtigten Stelle</t>
        </is>
      </c>
    </row>
    <row r="32" ht="14.25" customHeight="1">
      <c r="A32" s="25" t="inlineStr">
        <is>
          <t>gemäß § 26 DGUV Vorschri_x001F_ft:</t>
        </is>
      </c>
      <c r="K32" s="33" t="inlineStr">
        <is>
          <t>7.0103</t>
        </is>
      </c>
      <c r="AC32" s="25" t="inlineStr">
        <is>
          <t>gemäß § 26 DGUV Vorschri_x001F_ft:</t>
        </is>
      </c>
      <c r="AM32" s="33" t="inlineStr">
        <is>
          <t>7.0103</t>
        </is>
      </c>
    </row>
    <row r="33"/>
    <row r="34" ht="14.25" customHeight="1">
      <c r="A34" s="25" t="inlineStr">
        <is>
          <t>Registriernummer der Schulung:</t>
        </is>
      </c>
      <c r="K34" s="30">
        <f>Teilnehmer!C5</f>
        <v/>
      </c>
      <c r="AC34" s="25" t="inlineStr">
        <is>
          <t>Registriernummer der Schulung:</t>
        </is>
      </c>
      <c r="AM34" s="30">
        <f>Teilnehmer!C5</f>
        <v/>
      </c>
    </row>
    <row r="35"/>
    <row r="36" ht="14.25" customHeight="1">
      <c r="A36" s="34" t="inlineStr">
        <is>
          <t>* Die Teilnahme an der Ausbildung in betrieblicher Erster Hilfe gilt als Schulung in Erster Hilfe gem. § 19 Fahrerlaubnis- Verordnung</t>
        </is>
      </c>
      <c r="AC36" s="34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34" t="inlineStr">
        <is>
          <t xml:space="preserve">   (FeV).</t>
        </is>
      </c>
      <c r="AC37" s="34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18" t="n"/>
      <c r="C50" s="18" t="n"/>
      <c r="D50" s="18" t="n"/>
      <c r="E50" s="18" t="n"/>
      <c r="F50" s="18" t="n"/>
      <c r="G50" s="18" t="n"/>
      <c r="H50" s="18" t="n"/>
      <c r="I50" s="17">
        <f>Teilnehmer!C13</f>
        <v/>
      </c>
      <c r="J50" s="18" t="n"/>
      <c r="K50" s="18" t="n"/>
      <c r="L50" s="18" t="n"/>
      <c r="M50" s="18" t="n"/>
      <c r="N50" s="18" t="n"/>
      <c r="O50" s="18" t="n"/>
      <c r="P50" s="18" t="n"/>
      <c r="S50" s="19" t="inlineStr">
        <is>
          <t>geb. am:</t>
        </is>
      </c>
      <c r="T50" s="20">
        <f>Teilnehmer!D13</f>
        <v/>
      </c>
      <c r="U50" s="18" t="n"/>
      <c r="V50" s="18" t="n"/>
      <c r="W50" s="18" t="n"/>
      <c r="X50" s="18" t="n"/>
      <c r="AC50" s="17">
        <f>Teilnehmer!B14</f>
        <v/>
      </c>
      <c r="AD50" s="18" t="n"/>
      <c r="AE50" s="18" t="n"/>
      <c r="AF50" s="18" t="n"/>
      <c r="AG50" s="18" t="n"/>
      <c r="AH50" s="18" t="n"/>
      <c r="AI50" s="18" t="n"/>
      <c r="AJ50" s="18" t="n"/>
      <c r="AK50" s="17">
        <f>Teilnehmer!C14</f>
        <v/>
      </c>
      <c r="AL50" s="18" t="n"/>
      <c r="AM50" s="18" t="n"/>
      <c r="AN50" s="18" t="n"/>
      <c r="AO50" s="18" t="n"/>
      <c r="AP50" s="18" t="n"/>
      <c r="AQ50" s="18" t="n"/>
      <c r="AR50" s="18" t="n"/>
      <c r="AU50" s="19" t="inlineStr">
        <is>
          <t>geb. am:</t>
        </is>
      </c>
      <c r="AV50" s="20">
        <f>Teilnehmer!D14</f>
        <v/>
      </c>
      <c r="AW50" s="18" t="n"/>
      <c r="AX50" s="18" t="n"/>
      <c r="AY50" s="18" t="n"/>
      <c r="AZ50" s="18" t="n"/>
    </row>
    <row r="51" ht="14.25" customHeight="1">
      <c r="A51" s="22" t="n"/>
      <c r="B51" s="23" t="inlineStr">
        <is>
          <t>Name</t>
        </is>
      </c>
      <c r="C51" s="24" t="n"/>
      <c r="D51" s="24" t="n"/>
      <c r="E51" s="24" t="n"/>
      <c r="F51" s="24" t="n"/>
      <c r="G51" s="24" t="n"/>
      <c r="H51" s="22" t="n"/>
      <c r="I51" s="22" t="n"/>
      <c r="J51" s="23" t="inlineStr">
        <is>
          <t>Vorname</t>
        </is>
      </c>
      <c r="K51" s="24" t="n"/>
      <c r="L51" s="24" t="n"/>
      <c r="M51" s="24" t="n"/>
      <c r="N51" s="24" t="n"/>
      <c r="O51" s="24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AC51" s="22" t="n"/>
      <c r="AD51" s="23" t="inlineStr">
        <is>
          <t>Name</t>
        </is>
      </c>
      <c r="AE51" s="24" t="n"/>
      <c r="AF51" s="24" t="n"/>
      <c r="AG51" s="24" t="n"/>
      <c r="AH51" s="24" t="n"/>
      <c r="AI51" s="24" t="n"/>
      <c r="AJ51" s="22" t="n"/>
      <c r="AK51" s="22" t="n"/>
      <c r="AL51" s="23" t="inlineStr">
        <is>
          <t>Vorname</t>
        </is>
      </c>
      <c r="AM51" s="24" t="n"/>
      <c r="AN51" s="24" t="n"/>
      <c r="AO51" s="24" t="n"/>
      <c r="AP51" s="24" t="n"/>
      <c r="AQ51" s="24" t="n"/>
      <c r="AR51" s="22" t="n"/>
      <c r="AS51" s="22" t="n"/>
      <c r="AT51" s="22" t="n"/>
      <c r="AU51" s="22" t="n"/>
      <c r="AV51" s="22" t="n"/>
      <c r="AW51" s="22" t="n"/>
      <c r="AX51" s="22" t="n"/>
      <c r="AY51" s="22" t="n"/>
      <c r="AZ51" s="22" t="n"/>
    </row>
    <row r="52"/>
    <row r="53" ht="14.25" customHeight="1">
      <c r="A53" s="25" t="inlineStr">
        <is>
          <t>hat an dem 9 Unterrichtseinheiten (Nettounterrichtszeit 9 x 45 Minuten) umfassenden Lehrgang</t>
        </is>
      </c>
      <c r="AC53" s="25" t="inlineStr">
        <is>
          <t>hat an dem 9 Unterrichtseinheiten (Nettounterrichtszeit 9 x 45 Minuten) umfassenden Lehrgang</t>
        </is>
      </c>
    </row>
    <row r="54"/>
    <row r="55" ht="14.25" customHeight="1">
      <c r="A55" s="25" t="inlineStr">
        <is>
          <t>am</t>
        </is>
      </c>
      <c r="C55" s="20">
        <f>Teilnehmer!C3</f>
        <v/>
      </c>
      <c r="D55" s="18" t="n"/>
      <c r="E55" s="18" t="n"/>
      <c r="F55" s="18" t="n"/>
      <c r="G55" s="18" t="n"/>
      <c r="H55" s="25" t="inlineStr">
        <is>
          <t>in der Zeit von</t>
        </is>
      </c>
      <c r="M55" s="26">
        <f>Teilnehmer!F3</f>
        <v/>
      </c>
      <c r="N55" s="18" t="n"/>
      <c r="O55" s="18" t="n"/>
      <c r="P55" s="25" t="inlineStr">
        <is>
          <t>Uhr bis</t>
        </is>
      </c>
      <c r="S55" s="26">
        <f>Teilnehmer!H3</f>
        <v/>
      </c>
      <c r="T55" s="18" t="n"/>
      <c r="U55" s="18" t="n"/>
      <c r="V55" s="25" t="inlineStr">
        <is>
          <t>Uhr</t>
        </is>
      </c>
      <c r="AC55" s="25" t="inlineStr">
        <is>
          <t>am</t>
        </is>
      </c>
      <c r="AE55" s="20">
        <f>Teilnehmer!C3</f>
        <v/>
      </c>
      <c r="AF55" s="18" t="n"/>
      <c r="AG55" s="18" t="n"/>
      <c r="AH55" s="18" t="n"/>
      <c r="AI55" s="18" t="n"/>
      <c r="AJ55" s="25" t="inlineStr">
        <is>
          <t>in der Zeit von</t>
        </is>
      </c>
      <c r="AO55" s="26">
        <f>Teilnehmer!F3</f>
        <v/>
      </c>
      <c r="AP55" s="18" t="n"/>
      <c r="AQ55" s="18" t="n"/>
      <c r="AR55" s="25" t="inlineStr">
        <is>
          <t>Uhr bis</t>
        </is>
      </c>
      <c r="AU55" s="26">
        <f>Teilnehmer!H3</f>
        <v/>
      </c>
      <c r="AV55" s="18" t="n"/>
      <c r="AW55" s="18" t="n"/>
      <c r="AX55" s="25" t="inlineStr">
        <is>
          <t>Uhr</t>
        </is>
      </c>
    </row>
    <row r="56"/>
    <row r="57" ht="14.25" customHeight="1">
      <c r="A57" s="25" t="inlineStr">
        <is>
          <t>unter der Leitung von</t>
        </is>
      </c>
      <c r="H57" s="17">
        <f>Teilnehmer!C4</f>
        <v/>
      </c>
      <c r="I57" s="28" t="n"/>
      <c r="J57" s="28" t="n"/>
      <c r="K57" s="28" t="n"/>
      <c r="L57" s="28" t="n"/>
      <c r="M57" s="28" t="n"/>
      <c r="N57" s="28" t="n"/>
      <c r="O57" s="28" t="n"/>
      <c r="Q57" s="25" t="inlineStr">
        <is>
          <t>erfolgreich teilgenommen.</t>
        </is>
      </c>
      <c r="AC57" s="25" t="inlineStr">
        <is>
          <t>unter der Leitung von</t>
        </is>
      </c>
      <c r="AJ57" s="17">
        <f>Teilnehmer!C4</f>
        <v/>
      </c>
      <c r="AK57" s="28" t="n"/>
      <c r="AL57" s="28" t="n"/>
      <c r="AM57" s="28" t="n"/>
      <c r="AN57" s="28" t="n"/>
      <c r="AO57" s="28" t="n"/>
      <c r="AP57" s="28" t="n"/>
      <c r="AQ57" s="28" t="n"/>
      <c r="AS57" s="25" t="inlineStr">
        <is>
          <t>erfolgreich teilgenommen.</t>
        </is>
      </c>
    </row>
    <row r="58"/>
    <row r="59" ht="14.25" customHeight="1">
      <c r="A59" s="25" t="inlineStr">
        <is>
          <t>Teilnehmerunterlagen ausgehändigt:</t>
        </is>
      </c>
      <c r="N59" s="29" t="inlineStr">
        <is>
          <t>X</t>
        </is>
      </c>
      <c r="O59" s="25" t="inlineStr">
        <is>
          <t>ja</t>
        </is>
      </c>
      <c r="R59" s="29" t="n"/>
      <c r="S59" s="25" t="inlineStr">
        <is>
          <t>nein</t>
        </is>
      </c>
      <c r="AC59" s="25" t="inlineStr">
        <is>
          <t>Teilnehmerunterlagen ausgehändigt:</t>
        </is>
      </c>
      <c r="AP59" s="29" t="inlineStr">
        <is>
          <t>X</t>
        </is>
      </c>
      <c r="AQ59" s="25" t="inlineStr">
        <is>
          <t>ja</t>
        </is>
      </c>
      <c r="AT59" s="29" t="n"/>
      <c r="AU59" s="25" t="inlineStr">
        <is>
          <t>nein</t>
        </is>
      </c>
    </row>
    <row r="60"/>
    <row r="61"/>
    <row r="62" ht="14.25" customHeight="1">
      <c r="A62" s="30" t="inlineStr">
        <is>
          <t>Rastatt</t>
        </is>
      </c>
      <c r="G62" s="25" t="inlineStr">
        <is>
          <t>,den</t>
        </is>
      </c>
      <c r="I62" s="21">
        <f>Teilnehmer!C3</f>
        <v/>
      </c>
      <c r="AC62" s="30" t="inlineStr">
        <is>
          <t>Rastatt</t>
        </is>
      </c>
      <c r="AI62" s="25" t="inlineStr">
        <is>
          <t>,den</t>
        </is>
      </c>
      <c r="AK62" s="21">
        <f>Teilnehmer!C3</f>
        <v/>
      </c>
    </row>
    <row r="63" ht="14.25" customHeight="1">
      <c r="A63" s="23" t="inlineStr">
        <is>
          <t>Ort</t>
        </is>
      </c>
      <c r="B63" s="24" t="n"/>
      <c r="C63" s="24" t="n"/>
      <c r="D63" s="24" t="n"/>
      <c r="E63" s="24" t="n"/>
      <c r="F63" s="31" t="n"/>
      <c r="I63" s="23" t="inlineStr">
        <is>
          <t>Datum</t>
        </is>
      </c>
      <c r="J63" s="24" t="n"/>
      <c r="K63" s="24" t="n"/>
      <c r="L63" s="24" t="n"/>
      <c r="M63" s="24" t="n"/>
      <c r="O63" s="23" t="inlineStr">
        <is>
          <t>Unterschrift der Lehrkraft</t>
        </is>
      </c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AC63" s="23" t="inlineStr">
        <is>
          <t>Ort</t>
        </is>
      </c>
      <c r="AD63" s="24" t="n"/>
      <c r="AE63" s="24" t="n"/>
      <c r="AF63" s="24" t="n"/>
      <c r="AG63" s="24" t="n"/>
      <c r="AH63" s="31" t="n"/>
      <c r="AK63" s="23" t="inlineStr">
        <is>
          <t>Datum</t>
        </is>
      </c>
      <c r="AL63" s="24" t="n"/>
      <c r="AM63" s="24" t="n"/>
      <c r="AN63" s="24" t="n"/>
      <c r="AO63" s="24" t="n"/>
      <c r="AQ63" s="23" t="inlineStr">
        <is>
          <t>Unterschrift der Lehrkraft</t>
        </is>
      </c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</row>
    <row r="64" ht="14.25" customHeight="1">
      <c r="A64" s="32" t="n"/>
      <c r="B64" s="32" t="n"/>
      <c r="C64" s="32" t="n"/>
      <c r="D64" s="32" t="n"/>
      <c r="E64" s="32" t="n"/>
      <c r="F64" s="31" t="n"/>
      <c r="I64" s="32" t="n"/>
      <c r="J64" s="32" t="n"/>
      <c r="K64" s="32" t="n"/>
      <c r="L64" s="32" t="n"/>
      <c r="M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AC64" s="32" t="n"/>
      <c r="AD64" s="32" t="n"/>
      <c r="AE64" s="32" t="n"/>
      <c r="AF64" s="32" t="n"/>
      <c r="AG64" s="32" t="n"/>
      <c r="AH64" s="31" t="n"/>
      <c r="AK64" s="32" t="n"/>
      <c r="AL64" s="32" t="n"/>
      <c r="AM64" s="32" t="n"/>
      <c r="AN64" s="32" t="n"/>
      <c r="AO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</row>
    <row r="65" ht="14.25" customHeight="1">
      <c r="A65" s="32" t="n"/>
      <c r="B65" s="32" t="n"/>
      <c r="C65" s="32" t="n"/>
      <c r="D65" s="32" t="n"/>
      <c r="E65" s="32" t="n"/>
      <c r="F65" s="31" t="n"/>
      <c r="I65" s="32" t="n"/>
      <c r="J65" s="32" t="n"/>
      <c r="K65" s="32" t="n"/>
      <c r="L65" s="32" t="n"/>
      <c r="M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AC65" s="32" t="n"/>
      <c r="AD65" s="32" t="n"/>
      <c r="AE65" s="32" t="n"/>
      <c r="AF65" s="32" t="n"/>
      <c r="AG65" s="32" t="n"/>
      <c r="AH65" s="31" t="n"/>
      <c r="AK65" s="32" t="n"/>
      <c r="AL65" s="32" t="n"/>
      <c r="AM65" s="32" t="n"/>
      <c r="AN65" s="32" t="n"/>
      <c r="AO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</row>
    <row r="66" ht="14.25" customHeight="1">
      <c r="A66" s="32" t="n"/>
      <c r="B66" s="32" t="n"/>
      <c r="C66" s="32" t="n"/>
      <c r="D66" s="32" t="n"/>
      <c r="E66" s="32" t="n"/>
      <c r="F66" s="31" t="n"/>
      <c r="I66" s="32" t="n"/>
      <c r="J66" s="32" t="n"/>
      <c r="K66" s="32" t="n"/>
      <c r="L66" s="32" t="n"/>
      <c r="M66" s="32" t="n"/>
      <c r="O66" s="23" t="inlineStr">
        <is>
          <t>Ausbildungsverantwortlicher</t>
        </is>
      </c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AC66" s="32" t="n"/>
      <c r="AD66" s="32" t="n"/>
      <c r="AE66" s="32" t="n"/>
      <c r="AF66" s="32" t="n"/>
      <c r="AG66" s="32" t="n"/>
      <c r="AH66" s="31" t="n"/>
      <c r="AK66" s="32" t="n"/>
      <c r="AL66" s="32" t="n"/>
      <c r="AM66" s="32" t="n"/>
      <c r="AN66" s="32" t="n"/>
      <c r="AO66" s="32" t="n"/>
      <c r="AQ66" s="23" t="inlineStr">
        <is>
          <t>Ausbildungsverantwortlicher</t>
        </is>
      </c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</row>
    <row r="67"/>
    <row r="68" ht="14.25" customHeight="1">
      <c r="A68" s="25" t="inlineStr">
        <is>
          <t>Name der ermächtigten Stelle:</t>
        </is>
      </c>
      <c r="K68" s="30" t="inlineStr">
        <is>
          <t>Mercedes-Benz AG, Werk Rastatt</t>
        </is>
      </c>
      <c r="AC68" s="25" t="inlineStr">
        <is>
          <t>Name der ermächtigten Stelle:</t>
        </is>
      </c>
      <c r="AM68" s="30" t="inlineStr">
        <is>
          <t>Mercedes-Benz AG, Werk Rastatt</t>
        </is>
      </c>
    </row>
    <row r="69"/>
    <row r="70" ht="14.25" customHeight="1">
      <c r="A70" s="25" t="inlineStr">
        <is>
          <t>Kennziffer der ermächtigten Stelle</t>
        </is>
      </c>
      <c r="AC70" s="25" t="inlineStr">
        <is>
          <t>Kennziffer der ermächtigten Stelle</t>
        </is>
      </c>
    </row>
    <row r="71" ht="14.25" customHeight="1">
      <c r="A71" s="25" t="inlineStr">
        <is>
          <t>gemäß § 26 DGUV Vorschri_x001F_ft:</t>
        </is>
      </c>
      <c r="K71" s="33" t="inlineStr">
        <is>
          <t>7.0103</t>
        </is>
      </c>
      <c r="AC71" s="25" t="inlineStr">
        <is>
          <t>gemäß § 26 DGUV Vorschri_x001F_ft:</t>
        </is>
      </c>
      <c r="AM71" s="33" t="inlineStr">
        <is>
          <t>7.0103</t>
        </is>
      </c>
    </row>
    <row r="72"/>
    <row r="73" ht="14.25" customHeight="1">
      <c r="A73" s="25" t="inlineStr">
        <is>
          <t>Registriernummer der Schulung:</t>
        </is>
      </c>
      <c r="K73" s="30">
        <f>Teilnehmer!C5</f>
        <v/>
      </c>
      <c r="AC73" s="25" t="inlineStr">
        <is>
          <t>Registriernummer der Schulung:</t>
        </is>
      </c>
      <c r="AM73" s="30">
        <f>Teilnehmer!C5</f>
        <v/>
      </c>
    </row>
    <row r="74"/>
    <row r="75" ht="14.25" customHeight="1">
      <c r="A75" s="34" t="inlineStr">
        <is>
          <t>* Die Teilnahme an der Ausbildung in betrieblicher Erster Hilfe gilt als Schulung in Erster Hilfe gem. § 19 Fahrerlaubnis- Verordnung</t>
        </is>
      </c>
      <c r="AC75" s="34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34" t="inlineStr">
        <is>
          <t xml:space="preserve">   (FeV).</t>
        </is>
      </c>
      <c r="AC76" s="34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18" t="n"/>
      <c r="C89" s="18" t="n"/>
      <c r="D89" s="18" t="n"/>
      <c r="E89" s="18" t="n"/>
      <c r="F89" s="18" t="n"/>
      <c r="G89" s="18" t="n"/>
      <c r="H89" s="18" t="n"/>
      <c r="I89" s="17">
        <f>Teilnehmer!C15</f>
        <v/>
      </c>
      <c r="J89" s="18" t="n"/>
      <c r="K89" s="18" t="n"/>
      <c r="L89" s="18" t="n"/>
      <c r="M89" s="18" t="n"/>
      <c r="N89" s="18" t="n"/>
      <c r="O89" s="18" t="n"/>
      <c r="P89" s="18" t="n"/>
      <c r="S89" s="19" t="inlineStr">
        <is>
          <t>geb. am:</t>
        </is>
      </c>
      <c r="T89" s="20">
        <f>Teilnehmer!D15</f>
        <v/>
      </c>
      <c r="U89" s="18" t="n"/>
      <c r="V89" s="18" t="n"/>
      <c r="W89" s="18" t="n"/>
      <c r="X89" s="18" t="n"/>
      <c r="AC89" s="17">
        <f>Teilnehmer!B16</f>
        <v/>
      </c>
      <c r="AD89" s="18" t="n"/>
      <c r="AE89" s="18" t="n"/>
      <c r="AF89" s="18" t="n"/>
      <c r="AG89" s="18" t="n"/>
      <c r="AH89" s="18" t="n"/>
      <c r="AI89" s="18" t="n"/>
      <c r="AJ89" s="18" t="n"/>
      <c r="AK89" s="17">
        <f>Teilnehmer!C16</f>
        <v/>
      </c>
      <c r="AL89" s="18" t="n"/>
      <c r="AM89" s="18" t="n"/>
      <c r="AN89" s="18" t="n"/>
      <c r="AO89" s="18" t="n"/>
      <c r="AP89" s="18" t="n"/>
      <c r="AQ89" s="18" t="n"/>
      <c r="AR89" s="18" t="n"/>
      <c r="AU89" s="19" t="inlineStr">
        <is>
          <t>geb. am:</t>
        </is>
      </c>
      <c r="AV89" s="20">
        <f>Teilnehmer!D16</f>
        <v/>
      </c>
      <c r="AW89" s="18" t="n"/>
      <c r="AX89" s="18" t="n"/>
      <c r="AY89" s="18" t="n"/>
      <c r="AZ89" s="18" t="n"/>
    </row>
    <row r="90" ht="14.25" customHeight="1">
      <c r="A90" s="22" t="n"/>
      <c r="B90" s="23" t="inlineStr">
        <is>
          <t>Name</t>
        </is>
      </c>
      <c r="C90" s="24" t="n"/>
      <c r="D90" s="24" t="n"/>
      <c r="E90" s="24" t="n"/>
      <c r="F90" s="24" t="n"/>
      <c r="G90" s="24" t="n"/>
      <c r="H90" s="22" t="n"/>
      <c r="I90" s="22" t="n"/>
      <c r="J90" s="23" t="inlineStr">
        <is>
          <t>Vorname</t>
        </is>
      </c>
      <c r="K90" s="24" t="n"/>
      <c r="L90" s="24" t="n"/>
      <c r="M90" s="24" t="n"/>
      <c r="N90" s="24" t="n"/>
      <c r="O90" s="24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AC90" s="22" t="n"/>
      <c r="AD90" s="23" t="inlineStr">
        <is>
          <t>Name</t>
        </is>
      </c>
      <c r="AE90" s="24" t="n"/>
      <c r="AF90" s="24" t="n"/>
      <c r="AG90" s="24" t="n"/>
      <c r="AH90" s="24" t="n"/>
      <c r="AI90" s="24" t="n"/>
      <c r="AJ90" s="22" t="n"/>
      <c r="AK90" s="22" t="n"/>
      <c r="AL90" s="23" t="inlineStr">
        <is>
          <t>Vorname</t>
        </is>
      </c>
      <c r="AM90" s="24" t="n"/>
      <c r="AN90" s="24" t="n"/>
      <c r="AO90" s="24" t="n"/>
      <c r="AP90" s="24" t="n"/>
      <c r="AQ90" s="24" t="n"/>
      <c r="AR90" s="22" t="n"/>
      <c r="AS90" s="22" t="n"/>
      <c r="AT90" s="22" t="n"/>
      <c r="AU90" s="22" t="n"/>
      <c r="AV90" s="22" t="n"/>
      <c r="AW90" s="22" t="n"/>
      <c r="AX90" s="22" t="n"/>
      <c r="AY90" s="22" t="n"/>
      <c r="AZ90" s="22" t="n"/>
    </row>
    <row r="91"/>
    <row r="92" ht="14.25" customHeight="1">
      <c r="A92" s="25" t="inlineStr">
        <is>
          <t>hat an dem 9 Unterrichtseinheiten (Nettounterrichtszeit 9 x 45 Minuten) umfassenden Lehrgang</t>
        </is>
      </c>
      <c r="AC92" s="25" t="inlineStr">
        <is>
          <t>hat an dem 9 Unterrichtseinheiten (Nettounterrichtszeit 9 x 45 Minuten) umfassenden Lehrgang</t>
        </is>
      </c>
    </row>
    <row r="93"/>
    <row r="94" ht="14.25" customHeight="1">
      <c r="A94" s="25" t="inlineStr">
        <is>
          <t>am</t>
        </is>
      </c>
      <c r="C94" s="20">
        <f>Teilnehmer!C3</f>
        <v/>
      </c>
      <c r="D94" s="18" t="n"/>
      <c r="E94" s="18" t="n"/>
      <c r="F94" s="18" t="n"/>
      <c r="G94" s="18" t="n"/>
      <c r="H94" s="25" t="inlineStr">
        <is>
          <t>in der Zeit von</t>
        </is>
      </c>
      <c r="M94" s="26">
        <f>Teilnehmer!F3</f>
        <v/>
      </c>
      <c r="N94" s="18" t="n"/>
      <c r="O94" s="18" t="n"/>
      <c r="P94" s="25" t="inlineStr">
        <is>
          <t>Uhr bis</t>
        </is>
      </c>
      <c r="S94" s="26">
        <f>Teilnehmer!H3</f>
        <v/>
      </c>
      <c r="T94" s="18" t="n"/>
      <c r="U94" s="18" t="n"/>
      <c r="V94" s="25" t="inlineStr">
        <is>
          <t>Uhr</t>
        </is>
      </c>
      <c r="AC94" s="25" t="inlineStr">
        <is>
          <t>am</t>
        </is>
      </c>
      <c r="AE94" s="20">
        <f>Teilnehmer!C3</f>
        <v/>
      </c>
      <c r="AF94" s="18" t="n"/>
      <c r="AG94" s="18" t="n"/>
      <c r="AH94" s="18" t="n"/>
      <c r="AI94" s="18" t="n"/>
      <c r="AJ94" s="25" t="inlineStr">
        <is>
          <t>in der Zeit von</t>
        </is>
      </c>
      <c r="AO94" s="26">
        <f>Teilnehmer!F3</f>
        <v/>
      </c>
      <c r="AP94" s="18" t="n"/>
      <c r="AQ94" s="18" t="n"/>
      <c r="AR94" s="25" t="inlineStr">
        <is>
          <t>Uhr bis</t>
        </is>
      </c>
      <c r="AU94" s="26">
        <f>Teilnehmer!H3</f>
        <v/>
      </c>
      <c r="AV94" s="18" t="n"/>
      <c r="AW94" s="18" t="n"/>
      <c r="AX94" s="25" t="inlineStr">
        <is>
          <t>Uhr</t>
        </is>
      </c>
    </row>
    <row r="95"/>
    <row r="96" ht="14.25" customHeight="1">
      <c r="A96" s="25" t="inlineStr">
        <is>
          <t>unter der Leitung von</t>
        </is>
      </c>
      <c r="H96" s="17">
        <f>Teilnehmer!C4</f>
        <v/>
      </c>
      <c r="I96" s="28" t="n"/>
      <c r="J96" s="28" t="n"/>
      <c r="K96" s="28" t="n"/>
      <c r="L96" s="28" t="n"/>
      <c r="M96" s="28" t="n"/>
      <c r="N96" s="28" t="n"/>
      <c r="O96" s="28" t="n"/>
      <c r="Q96" s="25" t="inlineStr">
        <is>
          <t>erfolgreich teilgenommen.</t>
        </is>
      </c>
      <c r="AC96" s="25" t="inlineStr">
        <is>
          <t>unter der Leitung von</t>
        </is>
      </c>
      <c r="AJ96" s="17">
        <f>Teilnehmer!C4</f>
        <v/>
      </c>
      <c r="AK96" s="28" t="n"/>
      <c r="AL96" s="28" t="n"/>
      <c r="AM96" s="28" t="n"/>
      <c r="AN96" s="28" t="n"/>
      <c r="AO96" s="28" t="n"/>
      <c r="AP96" s="28" t="n"/>
      <c r="AQ96" s="28" t="n"/>
      <c r="AS96" s="25" t="inlineStr">
        <is>
          <t>erfolgreich teilgenommen.</t>
        </is>
      </c>
    </row>
    <row r="97"/>
    <row r="98" ht="14.25" customHeight="1">
      <c r="A98" s="25" t="inlineStr">
        <is>
          <t>Teilnehmerunterlagen ausgehändigt:</t>
        </is>
      </c>
      <c r="N98" s="29" t="inlineStr">
        <is>
          <t>X</t>
        </is>
      </c>
      <c r="O98" s="25" t="inlineStr">
        <is>
          <t>ja</t>
        </is>
      </c>
      <c r="R98" s="29" t="n"/>
      <c r="S98" s="25" t="inlineStr">
        <is>
          <t>nein</t>
        </is>
      </c>
      <c r="AC98" s="25" t="inlineStr">
        <is>
          <t>Teilnehmerunterlagen ausgehändigt:</t>
        </is>
      </c>
      <c r="AP98" s="29" t="inlineStr">
        <is>
          <t>X</t>
        </is>
      </c>
      <c r="AQ98" s="25" t="inlineStr">
        <is>
          <t>ja</t>
        </is>
      </c>
      <c r="AT98" s="29" t="n"/>
      <c r="AU98" s="25" t="inlineStr">
        <is>
          <t>nein</t>
        </is>
      </c>
    </row>
    <row r="99"/>
    <row r="100"/>
    <row r="101" ht="14.25" customHeight="1">
      <c r="A101" s="30" t="inlineStr">
        <is>
          <t>Rastatt</t>
        </is>
      </c>
      <c r="G101" s="25" t="inlineStr">
        <is>
          <t>,den</t>
        </is>
      </c>
      <c r="I101" s="21">
        <f>Teilnehmer!C3</f>
        <v/>
      </c>
      <c r="AC101" s="30" t="inlineStr">
        <is>
          <t>Rastatt</t>
        </is>
      </c>
      <c r="AI101" s="25" t="inlineStr">
        <is>
          <t>,den</t>
        </is>
      </c>
      <c r="AK101" s="21">
        <f>Teilnehmer!C3</f>
        <v/>
      </c>
    </row>
    <row r="102" ht="14.25" customHeight="1">
      <c r="A102" s="23" t="inlineStr">
        <is>
          <t>Ort</t>
        </is>
      </c>
      <c r="B102" s="24" t="n"/>
      <c r="C102" s="24" t="n"/>
      <c r="D102" s="24" t="n"/>
      <c r="E102" s="24" t="n"/>
      <c r="F102" s="31" t="n"/>
      <c r="I102" s="23" t="inlineStr">
        <is>
          <t>Datum</t>
        </is>
      </c>
      <c r="J102" s="24" t="n"/>
      <c r="K102" s="24" t="n"/>
      <c r="L102" s="24" t="n"/>
      <c r="M102" s="24" t="n"/>
      <c r="O102" s="23" t="inlineStr">
        <is>
          <t>Unterschrift der Lehrkraft</t>
        </is>
      </c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AC102" s="23" t="inlineStr">
        <is>
          <t>Ort</t>
        </is>
      </c>
      <c r="AD102" s="24" t="n"/>
      <c r="AE102" s="24" t="n"/>
      <c r="AF102" s="24" t="n"/>
      <c r="AG102" s="24" t="n"/>
      <c r="AH102" s="31" t="n"/>
      <c r="AK102" s="23" t="inlineStr">
        <is>
          <t>Datum</t>
        </is>
      </c>
      <c r="AL102" s="24" t="n"/>
      <c r="AM102" s="24" t="n"/>
      <c r="AN102" s="24" t="n"/>
      <c r="AO102" s="24" t="n"/>
      <c r="AQ102" s="23" t="inlineStr">
        <is>
          <t>Unterschrift der Lehrkraft</t>
        </is>
      </c>
      <c r="AR102" s="24" t="n"/>
      <c r="AS102" s="24" t="n"/>
      <c r="AT102" s="24" t="n"/>
      <c r="AU102" s="24" t="n"/>
      <c r="AV102" s="24" t="n"/>
      <c r="AW102" s="24" t="n"/>
      <c r="AX102" s="24" t="n"/>
      <c r="AY102" s="24" t="n"/>
      <c r="AZ102" s="24" t="n"/>
    </row>
    <row r="103" ht="14.25" customHeight="1">
      <c r="A103" s="32" t="n"/>
      <c r="B103" s="32" t="n"/>
      <c r="C103" s="32" t="n"/>
      <c r="D103" s="32" t="n"/>
      <c r="E103" s="32" t="n"/>
      <c r="F103" s="31" t="n"/>
      <c r="I103" s="32" t="n"/>
      <c r="J103" s="32" t="n"/>
      <c r="K103" s="32" t="n"/>
      <c r="L103" s="32" t="n"/>
      <c r="M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AC103" s="32" t="n"/>
      <c r="AD103" s="32" t="n"/>
      <c r="AE103" s="32" t="n"/>
      <c r="AF103" s="32" t="n"/>
      <c r="AG103" s="32" t="n"/>
      <c r="AH103" s="31" t="n"/>
      <c r="AK103" s="32" t="n"/>
      <c r="AL103" s="32" t="n"/>
      <c r="AM103" s="32" t="n"/>
      <c r="AN103" s="32" t="n"/>
      <c r="AO103" s="32" t="n"/>
      <c r="AQ103" s="32" t="n"/>
      <c r="AR103" s="32" t="n"/>
      <c r="AS103" s="32" t="n"/>
      <c r="AT103" s="32" t="n"/>
      <c r="AU103" s="32" t="n"/>
      <c r="AV103" s="32" t="n"/>
      <c r="AW103" s="32" t="n"/>
      <c r="AX103" s="32" t="n"/>
      <c r="AY103" s="32" t="n"/>
      <c r="AZ103" s="32" t="n"/>
    </row>
    <row r="104" ht="14.25" customHeight="1">
      <c r="A104" s="32" t="n"/>
      <c r="B104" s="32" t="n"/>
      <c r="C104" s="32" t="n"/>
      <c r="D104" s="32" t="n"/>
      <c r="E104" s="32" t="n"/>
      <c r="F104" s="31" t="n"/>
      <c r="I104" s="32" t="n"/>
      <c r="J104" s="32" t="n"/>
      <c r="K104" s="32" t="n"/>
      <c r="L104" s="32" t="n"/>
      <c r="M104" s="32" t="n"/>
      <c r="O104" s="32" t="n"/>
      <c r="P104" s="32" t="n"/>
      <c r="Q104" s="32" t="n"/>
      <c r="R104" s="32" t="n"/>
      <c r="S104" s="32" t="n"/>
      <c r="T104" s="32" t="n"/>
      <c r="U104" s="32" t="n"/>
      <c r="V104" s="32" t="n"/>
      <c r="W104" s="32" t="n"/>
      <c r="X104" s="32" t="n"/>
      <c r="AC104" s="32" t="n"/>
      <c r="AD104" s="32" t="n"/>
      <c r="AE104" s="32" t="n"/>
      <c r="AF104" s="32" t="n"/>
      <c r="AG104" s="32" t="n"/>
      <c r="AH104" s="31" t="n"/>
      <c r="AK104" s="32" t="n"/>
      <c r="AL104" s="32" t="n"/>
      <c r="AM104" s="32" t="n"/>
      <c r="AN104" s="32" t="n"/>
      <c r="AO104" s="32" t="n"/>
      <c r="AQ104" s="32" t="n"/>
      <c r="AR104" s="32" t="n"/>
      <c r="AS104" s="32" t="n"/>
      <c r="AT104" s="32" t="n"/>
      <c r="AU104" s="32" t="n"/>
      <c r="AV104" s="32" t="n"/>
      <c r="AW104" s="32" t="n"/>
      <c r="AX104" s="32" t="n"/>
      <c r="AY104" s="32" t="n"/>
      <c r="AZ104" s="32" t="n"/>
    </row>
    <row r="105" ht="14.25" customHeight="1">
      <c r="A105" s="32" t="n"/>
      <c r="B105" s="32" t="n"/>
      <c r="C105" s="32" t="n"/>
      <c r="D105" s="32" t="n"/>
      <c r="E105" s="32" t="n"/>
      <c r="F105" s="31" t="n"/>
      <c r="I105" s="32" t="n"/>
      <c r="J105" s="32" t="n"/>
      <c r="K105" s="32" t="n"/>
      <c r="L105" s="32" t="n"/>
      <c r="M105" s="32" t="n"/>
      <c r="O105" s="23" t="inlineStr">
        <is>
          <t>Ausbildungsverantwortlicher</t>
        </is>
      </c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AC105" s="32" t="n"/>
      <c r="AD105" s="32" t="n"/>
      <c r="AE105" s="32" t="n"/>
      <c r="AF105" s="32" t="n"/>
      <c r="AG105" s="32" t="n"/>
      <c r="AH105" s="31" t="n"/>
      <c r="AK105" s="32" t="n"/>
      <c r="AL105" s="32" t="n"/>
      <c r="AM105" s="32" t="n"/>
      <c r="AN105" s="32" t="n"/>
      <c r="AO105" s="32" t="n"/>
      <c r="AQ105" s="23" t="inlineStr">
        <is>
          <t>Ausbildungsverantwortlicher</t>
        </is>
      </c>
      <c r="AR105" s="24" t="n"/>
      <c r="AS105" s="24" t="n"/>
      <c r="AT105" s="24" t="n"/>
      <c r="AU105" s="24" t="n"/>
      <c r="AV105" s="24" t="n"/>
      <c r="AW105" s="24" t="n"/>
      <c r="AX105" s="24" t="n"/>
      <c r="AY105" s="24" t="n"/>
      <c r="AZ105" s="24" t="n"/>
    </row>
    <row r="106"/>
    <row r="107" ht="14.25" customHeight="1">
      <c r="A107" s="25" t="inlineStr">
        <is>
          <t>Name der ermächtigten Stelle:</t>
        </is>
      </c>
      <c r="K107" s="30" t="inlineStr">
        <is>
          <t>Mercedes-Benz AG, Werk Rastatt</t>
        </is>
      </c>
      <c r="AC107" s="25" t="inlineStr">
        <is>
          <t>Name der ermächtigten Stelle:</t>
        </is>
      </c>
      <c r="AM107" s="30" t="inlineStr">
        <is>
          <t>Mercedes-Benz AG, Werk Rastatt</t>
        </is>
      </c>
    </row>
    <row r="108"/>
    <row r="109" ht="14.25" customHeight="1">
      <c r="A109" s="25" t="inlineStr">
        <is>
          <t>Kennziffer der ermächtigten Stelle</t>
        </is>
      </c>
      <c r="AC109" s="25" t="inlineStr">
        <is>
          <t>Kennziffer der ermächtigten Stelle</t>
        </is>
      </c>
    </row>
    <row r="110" ht="14.25" customHeight="1">
      <c r="A110" s="25" t="inlineStr">
        <is>
          <t>gemäß § 26 DGUV Vorschri_x001F_ft:</t>
        </is>
      </c>
      <c r="K110" s="33" t="inlineStr">
        <is>
          <t>7.0103</t>
        </is>
      </c>
      <c r="AC110" s="25" t="inlineStr">
        <is>
          <t>gemäß § 26 DGUV Vorschri_x001F_ft:</t>
        </is>
      </c>
      <c r="AM110" s="33" t="inlineStr">
        <is>
          <t>7.0103</t>
        </is>
      </c>
    </row>
    <row r="111"/>
    <row r="112" ht="14.25" customHeight="1">
      <c r="A112" s="25" t="inlineStr">
        <is>
          <t>Registriernummer der Schulung:</t>
        </is>
      </c>
      <c r="K112" s="30">
        <f>Teilnehmer!C5</f>
        <v/>
      </c>
      <c r="AC112" s="25" t="inlineStr">
        <is>
          <t>Registriernummer der Schulung:</t>
        </is>
      </c>
      <c r="AM112" s="30">
        <f>Teilnehmer!C5</f>
        <v/>
      </c>
    </row>
    <row r="113"/>
    <row r="114" ht="14.25" customHeight="1">
      <c r="A114" s="34" t="inlineStr">
        <is>
          <t>* Die Teilnahme an der Ausbildung in betrieblicher Erster Hilfe gilt als Schulung in Erster Hilfe gem. § 19 Fahrerlaubnis- Verordnung</t>
        </is>
      </c>
      <c r="AC114" s="34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34" t="inlineStr">
        <is>
          <t xml:space="preserve">   (FeV).</t>
        </is>
      </c>
      <c r="AC115" s="34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18" t="n"/>
      <c r="C128" s="18" t="n"/>
      <c r="D128" s="18" t="n"/>
      <c r="E128" s="18" t="n"/>
      <c r="F128" s="18" t="n"/>
      <c r="G128" s="18" t="n"/>
      <c r="H128" s="18" t="n"/>
      <c r="I128" s="17">
        <f>Teilnehmer!C17</f>
        <v/>
      </c>
      <c r="J128" s="18" t="n"/>
      <c r="K128" s="18" t="n"/>
      <c r="L128" s="18" t="n"/>
      <c r="M128" s="18" t="n"/>
      <c r="N128" s="18" t="n"/>
      <c r="O128" s="18" t="n"/>
      <c r="P128" s="18" t="n"/>
      <c r="S128" s="19" t="inlineStr">
        <is>
          <t>geb. am:</t>
        </is>
      </c>
      <c r="T128" s="20">
        <f>Teilnehmer!D17</f>
        <v/>
      </c>
      <c r="U128" s="18" t="n"/>
      <c r="V128" s="18" t="n"/>
      <c r="W128" s="18" t="n"/>
      <c r="X128" s="18" t="n"/>
      <c r="AC128" s="17">
        <f>Teilnehmer!B18</f>
        <v/>
      </c>
      <c r="AD128" s="18" t="n"/>
      <c r="AE128" s="18" t="n"/>
      <c r="AF128" s="18" t="n"/>
      <c r="AG128" s="18" t="n"/>
      <c r="AH128" s="18" t="n"/>
      <c r="AI128" s="18" t="n"/>
      <c r="AJ128" s="18" t="n"/>
      <c r="AK128" s="17">
        <f>Teilnehmer!C18</f>
        <v/>
      </c>
      <c r="AL128" s="18" t="n"/>
      <c r="AM128" s="18" t="n"/>
      <c r="AN128" s="18" t="n"/>
      <c r="AO128" s="18" t="n"/>
      <c r="AP128" s="18" t="n"/>
      <c r="AQ128" s="18" t="n"/>
      <c r="AR128" s="18" t="n"/>
      <c r="AU128" s="19" t="inlineStr">
        <is>
          <t>geb. am:</t>
        </is>
      </c>
      <c r="AV128" s="20">
        <f>Teilnehmer!D18</f>
        <v/>
      </c>
      <c r="AW128" s="18" t="n"/>
      <c r="AX128" s="18" t="n"/>
      <c r="AY128" s="18" t="n"/>
      <c r="AZ128" s="18" t="n"/>
    </row>
    <row r="129" ht="14.25" customHeight="1">
      <c r="A129" s="22" t="n"/>
      <c r="B129" s="23" t="inlineStr">
        <is>
          <t>Name</t>
        </is>
      </c>
      <c r="C129" s="24" t="n"/>
      <c r="D129" s="24" t="n"/>
      <c r="E129" s="24" t="n"/>
      <c r="F129" s="24" t="n"/>
      <c r="G129" s="24" t="n"/>
      <c r="H129" s="22" t="n"/>
      <c r="I129" s="22" t="n"/>
      <c r="J129" s="23" t="inlineStr">
        <is>
          <t>Vorname</t>
        </is>
      </c>
      <c r="K129" s="24" t="n"/>
      <c r="L129" s="24" t="n"/>
      <c r="M129" s="24" t="n"/>
      <c r="N129" s="24" t="n"/>
      <c r="O129" s="24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AC129" s="22" t="n"/>
      <c r="AD129" s="23" t="inlineStr">
        <is>
          <t>Name</t>
        </is>
      </c>
      <c r="AE129" s="24" t="n"/>
      <c r="AF129" s="24" t="n"/>
      <c r="AG129" s="24" t="n"/>
      <c r="AH129" s="24" t="n"/>
      <c r="AI129" s="24" t="n"/>
      <c r="AJ129" s="22" t="n"/>
      <c r="AK129" s="22" t="n"/>
      <c r="AL129" s="23" t="inlineStr">
        <is>
          <t>Vorname</t>
        </is>
      </c>
      <c r="AM129" s="24" t="n"/>
      <c r="AN129" s="24" t="n"/>
      <c r="AO129" s="24" t="n"/>
      <c r="AP129" s="24" t="n"/>
      <c r="AQ129" s="24" t="n"/>
      <c r="AR129" s="22" t="n"/>
      <c r="AS129" s="22" t="n"/>
      <c r="AT129" s="22" t="n"/>
      <c r="AU129" s="22" t="n"/>
      <c r="AV129" s="22" t="n"/>
      <c r="AW129" s="22" t="n"/>
      <c r="AX129" s="22" t="n"/>
      <c r="AY129" s="22" t="n"/>
      <c r="AZ129" s="22" t="n"/>
    </row>
    <row r="130"/>
    <row r="131" ht="14.25" customHeight="1">
      <c r="A131" s="25" t="inlineStr">
        <is>
          <t>hat an dem 9 Unterrichtseinheiten (Nettounterrichtszeit 9 x 45 Minuten) umfassenden Lehrgang</t>
        </is>
      </c>
      <c r="AC131" s="25" t="inlineStr">
        <is>
          <t>hat an dem 9 Unterrichtseinheiten (Nettounterrichtszeit 9 x 45 Minuten) umfassenden Lehrgang</t>
        </is>
      </c>
    </row>
    <row r="132"/>
    <row r="133" ht="14.25" customHeight="1">
      <c r="A133" s="25" t="inlineStr">
        <is>
          <t>am</t>
        </is>
      </c>
      <c r="C133" s="20">
        <f>Teilnehmer!C3</f>
        <v/>
      </c>
      <c r="D133" s="18" t="n"/>
      <c r="E133" s="18" t="n"/>
      <c r="F133" s="18" t="n"/>
      <c r="G133" s="18" t="n"/>
      <c r="H133" s="25" t="inlineStr">
        <is>
          <t>in der Zeit von</t>
        </is>
      </c>
      <c r="M133" s="26">
        <f>Teilnehmer!F3</f>
        <v/>
      </c>
      <c r="N133" s="18" t="n"/>
      <c r="O133" s="18" t="n"/>
      <c r="P133" s="25" t="inlineStr">
        <is>
          <t>Uhr bis</t>
        </is>
      </c>
      <c r="S133" s="26">
        <f>Teilnehmer!H3</f>
        <v/>
      </c>
      <c r="T133" s="18" t="n"/>
      <c r="U133" s="18" t="n"/>
      <c r="V133" s="25" t="inlineStr">
        <is>
          <t>Uhr</t>
        </is>
      </c>
      <c r="AC133" s="25" t="inlineStr">
        <is>
          <t>am</t>
        </is>
      </c>
      <c r="AE133" s="20">
        <f>Teilnehmer!C3</f>
        <v/>
      </c>
      <c r="AF133" s="18" t="n"/>
      <c r="AG133" s="18" t="n"/>
      <c r="AH133" s="18" t="n"/>
      <c r="AI133" s="18" t="n"/>
      <c r="AJ133" s="25" t="inlineStr">
        <is>
          <t>in der Zeit von</t>
        </is>
      </c>
      <c r="AO133" s="26">
        <f>Teilnehmer!F3</f>
        <v/>
      </c>
      <c r="AP133" s="18" t="n"/>
      <c r="AQ133" s="18" t="n"/>
      <c r="AR133" s="25" t="inlineStr">
        <is>
          <t>Uhr bis</t>
        </is>
      </c>
      <c r="AU133" s="26">
        <f>Teilnehmer!H3</f>
        <v/>
      </c>
      <c r="AV133" s="18" t="n"/>
      <c r="AW133" s="18" t="n"/>
      <c r="AX133" s="25" t="inlineStr">
        <is>
          <t>Uhr</t>
        </is>
      </c>
    </row>
    <row r="134"/>
    <row r="135" ht="14.25" customHeight="1">
      <c r="A135" s="25" t="inlineStr">
        <is>
          <t>unter der Leitung von</t>
        </is>
      </c>
      <c r="H135" s="17">
        <f>Teilnehmer!C4</f>
        <v/>
      </c>
      <c r="I135" s="28" t="n"/>
      <c r="J135" s="28" t="n"/>
      <c r="K135" s="28" t="n"/>
      <c r="L135" s="28" t="n"/>
      <c r="M135" s="28" t="n"/>
      <c r="N135" s="28" t="n"/>
      <c r="O135" s="28" t="n"/>
      <c r="Q135" s="25" t="inlineStr">
        <is>
          <t>erfolgreich teilgenommen.</t>
        </is>
      </c>
      <c r="AC135" s="25" t="inlineStr">
        <is>
          <t>unter der Leitung von</t>
        </is>
      </c>
      <c r="AJ135" s="17">
        <f>Teilnehmer!C4</f>
        <v/>
      </c>
      <c r="AK135" s="28" t="n"/>
      <c r="AL135" s="28" t="n"/>
      <c r="AM135" s="28" t="n"/>
      <c r="AN135" s="28" t="n"/>
      <c r="AO135" s="28" t="n"/>
      <c r="AP135" s="28" t="n"/>
      <c r="AQ135" s="28" t="n"/>
      <c r="AS135" s="25" t="inlineStr">
        <is>
          <t>erfolgreich teilgenommen.</t>
        </is>
      </c>
    </row>
    <row r="136"/>
    <row r="137" ht="14.25" customHeight="1">
      <c r="A137" s="25" t="inlineStr">
        <is>
          <t>Teilnehmerunterlagen ausgehändigt:</t>
        </is>
      </c>
      <c r="N137" s="29" t="inlineStr">
        <is>
          <t>X</t>
        </is>
      </c>
      <c r="O137" s="25" t="inlineStr">
        <is>
          <t>ja</t>
        </is>
      </c>
      <c r="R137" s="29" t="n"/>
      <c r="S137" s="25" t="inlineStr">
        <is>
          <t>nein</t>
        </is>
      </c>
      <c r="AC137" s="25" t="inlineStr">
        <is>
          <t>Teilnehmerunterlagen ausgehändigt:</t>
        </is>
      </c>
      <c r="AP137" s="29" t="inlineStr">
        <is>
          <t>X</t>
        </is>
      </c>
      <c r="AQ137" s="25" t="inlineStr">
        <is>
          <t>ja</t>
        </is>
      </c>
      <c r="AT137" s="29" t="n"/>
      <c r="AU137" s="25" t="inlineStr">
        <is>
          <t>nein</t>
        </is>
      </c>
    </row>
    <row r="138"/>
    <row r="139"/>
    <row r="140" ht="14.25" customHeight="1">
      <c r="A140" s="30" t="inlineStr">
        <is>
          <t>Rastatt</t>
        </is>
      </c>
      <c r="G140" s="25" t="inlineStr">
        <is>
          <t>,den</t>
        </is>
      </c>
      <c r="I140" s="21">
        <f>Teilnehmer!C3</f>
        <v/>
      </c>
      <c r="AC140" s="30" t="inlineStr">
        <is>
          <t>Rastatt</t>
        </is>
      </c>
      <c r="AI140" s="25" t="inlineStr">
        <is>
          <t>,den</t>
        </is>
      </c>
      <c r="AK140" s="21">
        <f>Teilnehmer!C3</f>
        <v/>
      </c>
    </row>
    <row r="141" ht="14.25" customHeight="1">
      <c r="A141" s="23" t="inlineStr">
        <is>
          <t>Ort</t>
        </is>
      </c>
      <c r="B141" s="24" t="n"/>
      <c r="C141" s="24" t="n"/>
      <c r="D141" s="24" t="n"/>
      <c r="E141" s="24" t="n"/>
      <c r="F141" s="31" t="n"/>
      <c r="I141" s="23" t="inlineStr">
        <is>
          <t>Datum</t>
        </is>
      </c>
      <c r="J141" s="24" t="n"/>
      <c r="K141" s="24" t="n"/>
      <c r="L141" s="24" t="n"/>
      <c r="M141" s="24" t="n"/>
      <c r="O141" s="23" t="inlineStr">
        <is>
          <t>Unterschrift der Lehrkraft</t>
        </is>
      </c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AC141" s="23" t="inlineStr">
        <is>
          <t>Ort</t>
        </is>
      </c>
      <c r="AD141" s="24" t="n"/>
      <c r="AE141" s="24" t="n"/>
      <c r="AF141" s="24" t="n"/>
      <c r="AG141" s="24" t="n"/>
      <c r="AH141" s="31" t="n"/>
      <c r="AK141" s="23" t="inlineStr">
        <is>
          <t>Datum</t>
        </is>
      </c>
      <c r="AL141" s="24" t="n"/>
      <c r="AM141" s="24" t="n"/>
      <c r="AN141" s="24" t="n"/>
      <c r="AO141" s="24" t="n"/>
      <c r="AQ141" s="23" t="inlineStr">
        <is>
          <t>Unterschrift der Lehrkraft</t>
        </is>
      </c>
      <c r="AR141" s="24" t="n"/>
      <c r="AS141" s="24" t="n"/>
      <c r="AT141" s="24" t="n"/>
      <c r="AU141" s="24" t="n"/>
      <c r="AV141" s="24" t="n"/>
      <c r="AW141" s="24" t="n"/>
      <c r="AX141" s="24" t="n"/>
      <c r="AY141" s="24" t="n"/>
      <c r="AZ141" s="24" t="n"/>
    </row>
    <row r="142" ht="14.25" customHeight="1">
      <c r="A142" s="32" t="n"/>
      <c r="B142" s="32" t="n"/>
      <c r="C142" s="32" t="n"/>
      <c r="D142" s="32" t="n"/>
      <c r="E142" s="32" t="n"/>
      <c r="F142" s="31" t="n"/>
      <c r="I142" s="32" t="n"/>
      <c r="J142" s="32" t="n"/>
      <c r="K142" s="32" t="n"/>
      <c r="L142" s="32" t="n"/>
      <c r="M142" s="32" t="n"/>
      <c r="O142" s="32" t="n"/>
      <c r="P142" s="32" t="n"/>
      <c r="Q142" s="32" t="n"/>
      <c r="R142" s="32" t="n"/>
      <c r="S142" s="32" t="n"/>
      <c r="T142" s="32" t="n"/>
      <c r="U142" s="32" t="n"/>
      <c r="V142" s="32" t="n"/>
      <c r="W142" s="32" t="n"/>
      <c r="X142" s="32" t="n"/>
      <c r="AC142" s="32" t="n"/>
      <c r="AD142" s="32" t="n"/>
      <c r="AE142" s="32" t="n"/>
      <c r="AF142" s="32" t="n"/>
      <c r="AG142" s="32" t="n"/>
      <c r="AH142" s="31" t="n"/>
      <c r="AK142" s="32" t="n"/>
      <c r="AL142" s="32" t="n"/>
      <c r="AM142" s="32" t="n"/>
      <c r="AN142" s="32" t="n"/>
      <c r="AO142" s="32" t="n"/>
      <c r="AQ142" s="32" t="n"/>
      <c r="AR142" s="32" t="n"/>
      <c r="AS142" s="32" t="n"/>
      <c r="AT142" s="32" t="n"/>
      <c r="AU142" s="32" t="n"/>
      <c r="AV142" s="32" t="n"/>
      <c r="AW142" s="32" t="n"/>
      <c r="AX142" s="32" t="n"/>
      <c r="AY142" s="32" t="n"/>
      <c r="AZ142" s="32" t="n"/>
    </row>
    <row r="143" ht="14.25" customHeight="1">
      <c r="A143" s="32" t="n"/>
      <c r="B143" s="32" t="n"/>
      <c r="C143" s="32" t="n"/>
      <c r="D143" s="32" t="n"/>
      <c r="E143" s="32" t="n"/>
      <c r="F143" s="31" t="n"/>
      <c r="I143" s="32" t="n"/>
      <c r="J143" s="32" t="n"/>
      <c r="K143" s="32" t="n"/>
      <c r="L143" s="32" t="n"/>
      <c r="M143" s="32" t="n"/>
      <c r="O143" s="32" t="n"/>
      <c r="P143" s="32" t="n"/>
      <c r="Q143" s="32" t="n"/>
      <c r="R143" s="32" t="n"/>
      <c r="S143" s="32" t="n"/>
      <c r="T143" s="32" t="n"/>
      <c r="U143" s="32" t="n"/>
      <c r="V143" s="32" t="n"/>
      <c r="W143" s="32" t="n"/>
      <c r="X143" s="32" t="n"/>
      <c r="AC143" s="32" t="n"/>
      <c r="AD143" s="32" t="n"/>
      <c r="AE143" s="32" t="n"/>
      <c r="AF143" s="32" t="n"/>
      <c r="AG143" s="32" t="n"/>
      <c r="AH143" s="31" t="n"/>
      <c r="AK143" s="32" t="n"/>
      <c r="AL143" s="32" t="n"/>
      <c r="AM143" s="32" t="n"/>
      <c r="AN143" s="32" t="n"/>
      <c r="AO143" s="32" t="n"/>
      <c r="AQ143" s="32" t="n"/>
      <c r="AR143" s="32" t="n"/>
      <c r="AS143" s="32" t="n"/>
      <c r="AT143" s="32" t="n"/>
      <c r="AU143" s="32" t="n"/>
      <c r="AV143" s="32" t="n"/>
      <c r="AW143" s="32" t="n"/>
      <c r="AX143" s="32" t="n"/>
      <c r="AY143" s="32" t="n"/>
      <c r="AZ143" s="32" t="n"/>
    </row>
    <row r="144" ht="14.25" customHeight="1">
      <c r="A144" s="32" t="n"/>
      <c r="B144" s="32" t="n"/>
      <c r="C144" s="32" t="n"/>
      <c r="D144" s="32" t="n"/>
      <c r="E144" s="32" t="n"/>
      <c r="F144" s="31" t="n"/>
      <c r="I144" s="32" t="n"/>
      <c r="J144" s="32" t="n"/>
      <c r="K144" s="32" t="n"/>
      <c r="L144" s="32" t="n"/>
      <c r="M144" s="32" t="n"/>
      <c r="O144" s="23" t="inlineStr">
        <is>
          <t>Ausbildungsverantwortlicher</t>
        </is>
      </c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AC144" s="32" t="n"/>
      <c r="AD144" s="32" t="n"/>
      <c r="AE144" s="32" t="n"/>
      <c r="AF144" s="32" t="n"/>
      <c r="AG144" s="32" t="n"/>
      <c r="AH144" s="31" t="n"/>
      <c r="AK144" s="32" t="n"/>
      <c r="AL144" s="32" t="n"/>
      <c r="AM144" s="32" t="n"/>
      <c r="AN144" s="32" t="n"/>
      <c r="AO144" s="32" t="n"/>
      <c r="AQ144" s="23" t="inlineStr">
        <is>
          <t>Ausbildungsverantwortlicher</t>
        </is>
      </c>
      <c r="AR144" s="24" t="n"/>
      <c r="AS144" s="24" t="n"/>
      <c r="AT144" s="24" t="n"/>
      <c r="AU144" s="24" t="n"/>
      <c r="AV144" s="24" t="n"/>
      <c r="AW144" s="24" t="n"/>
      <c r="AX144" s="24" t="n"/>
      <c r="AY144" s="24" t="n"/>
      <c r="AZ144" s="24" t="n"/>
    </row>
    <row r="145"/>
    <row r="146" ht="14.25" customHeight="1">
      <c r="A146" s="25" t="inlineStr">
        <is>
          <t>Name der ermächtigten Stelle:</t>
        </is>
      </c>
      <c r="K146" s="30" t="inlineStr">
        <is>
          <t>Mercedes-Benz AG, Werk Rastatt</t>
        </is>
      </c>
      <c r="AC146" s="25" t="inlineStr">
        <is>
          <t>Name der ermächtigten Stelle:</t>
        </is>
      </c>
      <c r="AM146" s="30" t="inlineStr">
        <is>
          <t>Mercedes-Benz AG, Werk Rastatt</t>
        </is>
      </c>
    </row>
    <row r="147"/>
    <row r="148" ht="14.25" customHeight="1">
      <c r="A148" s="25" t="inlineStr">
        <is>
          <t>Kennziffer der ermächtigten Stelle</t>
        </is>
      </c>
      <c r="AC148" s="25" t="inlineStr">
        <is>
          <t>Kennziffer der ermächtigten Stelle</t>
        </is>
      </c>
    </row>
    <row r="149" ht="14.25" customHeight="1">
      <c r="A149" s="25" t="inlineStr">
        <is>
          <t>gemäß § 26 DGUV Vorschri_x001F_ft:</t>
        </is>
      </c>
      <c r="K149" s="33" t="inlineStr">
        <is>
          <t>7.0103</t>
        </is>
      </c>
      <c r="AC149" s="25" t="inlineStr">
        <is>
          <t>gemäß § 26 DGUV Vorschri_x001F_ft:</t>
        </is>
      </c>
      <c r="AM149" s="33" t="inlineStr">
        <is>
          <t>7.0103</t>
        </is>
      </c>
    </row>
    <row r="150"/>
    <row r="151" ht="14.25" customHeight="1">
      <c r="A151" s="25" t="inlineStr">
        <is>
          <t>Registriernummer der Schulung:</t>
        </is>
      </c>
      <c r="K151" s="30">
        <f>Teilnehmer!C5</f>
        <v/>
      </c>
      <c r="AC151" s="25" t="inlineStr">
        <is>
          <t>Registriernummer der Schulung:</t>
        </is>
      </c>
      <c r="AM151" s="30">
        <f>Teilnehmer!C5</f>
        <v/>
      </c>
    </row>
    <row r="152"/>
    <row r="153" ht="14.25" customHeight="1">
      <c r="A153" s="34" t="inlineStr">
        <is>
          <t>* Die Teilnahme an der Ausbildung in betrieblicher Erster Hilfe gilt als Schulung in Erster Hilfe gem. § 19 Fahrerlaubnis- Verordnung</t>
        </is>
      </c>
      <c r="AC153" s="34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34" t="inlineStr">
        <is>
          <t xml:space="preserve">   (FeV).</t>
        </is>
      </c>
      <c r="AC154" s="34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18" t="n"/>
      <c r="C167" s="18" t="n"/>
      <c r="D167" s="18" t="n"/>
      <c r="E167" s="18" t="n"/>
      <c r="F167" s="18" t="n"/>
      <c r="G167" s="18" t="n"/>
      <c r="H167" s="18" t="n"/>
      <c r="I167" s="17">
        <f>Teilnehmer!C19</f>
        <v/>
      </c>
      <c r="J167" s="18" t="n"/>
      <c r="K167" s="18" t="n"/>
      <c r="L167" s="18" t="n"/>
      <c r="M167" s="18" t="n"/>
      <c r="N167" s="18" t="n"/>
      <c r="O167" s="18" t="n"/>
      <c r="P167" s="18" t="n"/>
      <c r="S167" s="19" t="inlineStr">
        <is>
          <t>geb. am:</t>
        </is>
      </c>
      <c r="T167" s="20">
        <f>Teilnehmer!D19</f>
        <v/>
      </c>
      <c r="U167" s="18" t="n"/>
      <c r="V167" s="18" t="n"/>
      <c r="W167" s="18" t="n"/>
      <c r="X167" s="18" t="n"/>
      <c r="AC167" s="17">
        <f>Teilnehmer!B20</f>
        <v/>
      </c>
      <c r="AD167" s="18" t="n"/>
      <c r="AE167" s="18" t="n"/>
      <c r="AF167" s="18" t="n"/>
      <c r="AG167" s="18" t="n"/>
      <c r="AH167" s="18" t="n"/>
      <c r="AI167" s="18" t="n"/>
      <c r="AJ167" s="18" t="n"/>
      <c r="AK167" s="17">
        <f>Teilnehmer!C20</f>
        <v/>
      </c>
      <c r="AL167" s="18" t="n"/>
      <c r="AM167" s="18" t="n"/>
      <c r="AN167" s="18" t="n"/>
      <c r="AO167" s="18" t="n"/>
      <c r="AP167" s="18" t="n"/>
      <c r="AQ167" s="18" t="n"/>
      <c r="AR167" s="18" t="n"/>
      <c r="AU167" s="19" t="inlineStr">
        <is>
          <t>geb. am:</t>
        </is>
      </c>
      <c r="AV167" s="20">
        <f>Teilnehmer!D20</f>
        <v/>
      </c>
      <c r="AW167" s="18" t="n"/>
      <c r="AX167" s="18" t="n"/>
      <c r="AY167" s="18" t="n"/>
      <c r="AZ167" s="18" t="n"/>
    </row>
    <row r="168" ht="14.25" customHeight="1">
      <c r="A168" s="22" t="n"/>
      <c r="B168" s="23" t="inlineStr">
        <is>
          <t>Name</t>
        </is>
      </c>
      <c r="C168" s="24" t="n"/>
      <c r="D168" s="24" t="n"/>
      <c r="E168" s="24" t="n"/>
      <c r="F168" s="24" t="n"/>
      <c r="G168" s="24" t="n"/>
      <c r="H168" s="22" t="n"/>
      <c r="I168" s="22" t="n"/>
      <c r="J168" s="23" t="inlineStr">
        <is>
          <t>Vorname</t>
        </is>
      </c>
      <c r="K168" s="24" t="n"/>
      <c r="L168" s="24" t="n"/>
      <c r="M168" s="24" t="n"/>
      <c r="N168" s="24" t="n"/>
      <c r="O168" s="24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AC168" s="22" t="n"/>
      <c r="AD168" s="23" t="inlineStr">
        <is>
          <t>Name</t>
        </is>
      </c>
      <c r="AE168" s="24" t="n"/>
      <c r="AF168" s="24" t="n"/>
      <c r="AG168" s="24" t="n"/>
      <c r="AH168" s="24" t="n"/>
      <c r="AI168" s="24" t="n"/>
      <c r="AJ168" s="22" t="n"/>
      <c r="AK168" s="22" t="n"/>
      <c r="AL168" s="23" t="inlineStr">
        <is>
          <t>Vorname</t>
        </is>
      </c>
      <c r="AM168" s="24" t="n"/>
      <c r="AN168" s="24" t="n"/>
      <c r="AO168" s="24" t="n"/>
      <c r="AP168" s="24" t="n"/>
      <c r="AQ168" s="24" t="n"/>
      <c r="AR168" s="22" t="n"/>
      <c r="AS168" s="22" t="n"/>
      <c r="AT168" s="22" t="n"/>
      <c r="AU168" s="22" t="n"/>
      <c r="AV168" s="22" t="n"/>
      <c r="AW168" s="22" t="n"/>
      <c r="AX168" s="22" t="n"/>
      <c r="AY168" s="22" t="n"/>
      <c r="AZ168" s="22" t="n"/>
    </row>
    <row r="169"/>
    <row r="170" ht="14.25" customHeight="1">
      <c r="A170" s="25" t="inlineStr">
        <is>
          <t>hat an dem 9 Unterrichtseinheiten (Nettounterrichtszeit 9 x 45 Minuten) umfassenden Lehrgang</t>
        </is>
      </c>
      <c r="AC170" s="25" t="inlineStr">
        <is>
          <t>hat an dem 9 Unterrichtseinheiten (Nettounterrichtszeit 9 x 45 Minuten) umfassenden Lehrgang</t>
        </is>
      </c>
    </row>
    <row r="171"/>
    <row r="172" ht="14.25" customHeight="1">
      <c r="A172" s="25" t="inlineStr">
        <is>
          <t>am</t>
        </is>
      </c>
      <c r="C172" s="20">
        <f>Teilnehmer!C3</f>
        <v/>
      </c>
      <c r="D172" s="18" t="n"/>
      <c r="E172" s="18" t="n"/>
      <c r="F172" s="18" t="n"/>
      <c r="G172" s="18" t="n"/>
      <c r="H172" s="25" t="inlineStr">
        <is>
          <t>in der Zeit von</t>
        </is>
      </c>
      <c r="M172" s="26">
        <f>Teilnehmer!F3</f>
        <v/>
      </c>
      <c r="N172" s="18" t="n"/>
      <c r="O172" s="18" t="n"/>
      <c r="P172" s="25" t="inlineStr">
        <is>
          <t>Uhr bis</t>
        </is>
      </c>
      <c r="S172" s="26">
        <f>Teilnehmer!H3</f>
        <v/>
      </c>
      <c r="T172" s="18" t="n"/>
      <c r="U172" s="18" t="n"/>
      <c r="V172" s="25" t="inlineStr">
        <is>
          <t>Uhr</t>
        </is>
      </c>
      <c r="AC172" s="25" t="inlineStr">
        <is>
          <t>am</t>
        </is>
      </c>
      <c r="AE172" s="20">
        <f>Teilnehmer!C3</f>
        <v/>
      </c>
      <c r="AF172" s="18" t="n"/>
      <c r="AG172" s="18" t="n"/>
      <c r="AH172" s="18" t="n"/>
      <c r="AI172" s="18" t="n"/>
      <c r="AJ172" s="25" t="inlineStr">
        <is>
          <t>in der Zeit von</t>
        </is>
      </c>
      <c r="AO172" s="26">
        <f>Teilnehmer!F3</f>
        <v/>
      </c>
      <c r="AP172" s="18" t="n"/>
      <c r="AQ172" s="18" t="n"/>
      <c r="AR172" s="25" t="inlineStr">
        <is>
          <t>Uhr bis</t>
        </is>
      </c>
      <c r="AU172" s="26">
        <f>Teilnehmer!H3</f>
        <v/>
      </c>
      <c r="AV172" s="18" t="n"/>
      <c r="AW172" s="18" t="n"/>
      <c r="AX172" s="25" t="inlineStr">
        <is>
          <t>Uhr</t>
        </is>
      </c>
    </row>
    <row r="173"/>
    <row r="174" ht="14.25" customHeight="1">
      <c r="A174" s="25" t="inlineStr">
        <is>
          <t>unter der Leitung von</t>
        </is>
      </c>
      <c r="H174" s="17">
        <f>Teilnehmer!C4</f>
        <v/>
      </c>
      <c r="I174" s="28" t="n"/>
      <c r="J174" s="28" t="n"/>
      <c r="K174" s="28" t="n"/>
      <c r="L174" s="28" t="n"/>
      <c r="M174" s="28" t="n"/>
      <c r="N174" s="28" t="n"/>
      <c r="O174" s="28" t="n"/>
      <c r="Q174" s="25" t="inlineStr">
        <is>
          <t>erfolgreich teilgenommen.</t>
        </is>
      </c>
      <c r="AC174" s="25" t="inlineStr">
        <is>
          <t>unter der Leitung von</t>
        </is>
      </c>
      <c r="AJ174" s="17">
        <f>Teilnehmer!C4</f>
        <v/>
      </c>
      <c r="AK174" s="28" t="n"/>
      <c r="AL174" s="28" t="n"/>
      <c r="AM174" s="28" t="n"/>
      <c r="AN174" s="28" t="n"/>
      <c r="AO174" s="28" t="n"/>
      <c r="AP174" s="28" t="n"/>
      <c r="AQ174" s="28" t="n"/>
      <c r="AS174" s="25" t="inlineStr">
        <is>
          <t>erfolgreich teilgenommen.</t>
        </is>
      </c>
    </row>
    <row r="175"/>
    <row r="176" ht="14.25" customHeight="1">
      <c r="A176" s="25" t="inlineStr">
        <is>
          <t>Teilnehmerunterlagen ausgehändigt:</t>
        </is>
      </c>
      <c r="N176" s="29" t="inlineStr">
        <is>
          <t>X</t>
        </is>
      </c>
      <c r="O176" s="25" t="inlineStr">
        <is>
          <t>ja</t>
        </is>
      </c>
      <c r="R176" s="29" t="n"/>
      <c r="S176" s="25" t="inlineStr">
        <is>
          <t>nein</t>
        </is>
      </c>
      <c r="AC176" s="25" t="inlineStr">
        <is>
          <t>Teilnehmerunterlagen ausgehändigt:</t>
        </is>
      </c>
      <c r="AP176" s="29" t="inlineStr">
        <is>
          <t>X</t>
        </is>
      </c>
      <c r="AQ176" s="25" t="inlineStr">
        <is>
          <t>ja</t>
        </is>
      </c>
      <c r="AT176" s="29" t="n"/>
      <c r="AU176" s="25" t="inlineStr">
        <is>
          <t>nein</t>
        </is>
      </c>
    </row>
    <row r="177"/>
    <row r="178"/>
    <row r="179" ht="14.25" customHeight="1">
      <c r="A179" s="30" t="inlineStr">
        <is>
          <t>Rastatt</t>
        </is>
      </c>
      <c r="G179" s="25" t="inlineStr">
        <is>
          <t>,den</t>
        </is>
      </c>
      <c r="I179" s="21">
        <f>Teilnehmer!C3</f>
        <v/>
      </c>
      <c r="AC179" s="30" t="inlineStr">
        <is>
          <t>Rastatt</t>
        </is>
      </c>
      <c r="AI179" s="25" t="inlineStr">
        <is>
          <t>,den</t>
        </is>
      </c>
      <c r="AK179" s="21">
        <f>Teilnehmer!C3</f>
        <v/>
      </c>
    </row>
    <row r="180" ht="14.25" customHeight="1">
      <c r="A180" s="23" t="inlineStr">
        <is>
          <t>Ort</t>
        </is>
      </c>
      <c r="B180" s="24" t="n"/>
      <c r="C180" s="24" t="n"/>
      <c r="D180" s="24" t="n"/>
      <c r="E180" s="24" t="n"/>
      <c r="F180" s="31" t="n"/>
      <c r="I180" s="23" t="inlineStr">
        <is>
          <t>Datum</t>
        </is>
      </c>
      <c r="J180" s="24" t="n"/>
      <c r="K180" s="24" t="n"/>
      <c r="L180" s="24" t="n"/>
      <c r="M180" s="24" t="n"/>
      <c r="O180" s="23" t="inlineStr">
        <is>
          <t>Unterschrift der Lehrkraft</t>
        </is>
      </c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AC180" s="23" t="inlineStr">
        <is>
          <t>Ort</t>
        </is>
      </c>
      <c r="AD180" s="24" t="n"/>
      <c r="AE180" s="24" t="n"/>
      <c r="AF180" s="24" t="n"/>
      <c r="AG180" s="24" t="n"/>
      <c r="AH180" s="31" t="n"/>
      <c r="AK180" s="23" t="inlineStr">
        <is>
          <t>Datum</t>
        </is>
      </c>
      <c r="AL180" s="24" t="n"/>
      <c r="AM180" s="24" t="n"/>
      <c r="AN180" s="24" t="n"/>
      <c r="AO180" s="24" t="n"/>
      <c r="AQ180" s="23" t="inlineStr">
        <is>
          <t>Unterschrift der Lehrkraft</t>
        </is>
      </c>
      <c r="AR180" s="24" t="n"/>
      <c r="AS180" s="24" t="n"/>
      <c r="AT180" s="24" t="n"/>
      <c r="AU180" s="24" t="n"/>
      <c r="AV180" s="24" t="n"/>
      <c r="AW180" s="24" t="n"/>
      <c r="AX180" s="24" t="n"/>
      <c r="AY180" s="24" t="n"/>
      <c r="AZ180" s="24" t="n"/>
    </row>
    <row r="181" ht="14.25" customHeight="1">
      <c r="A181" s="32" t="n"/>
      <c r="B181" s="32" t="n"/>
      <c r="C181" s="32" t="n"/>
      <c r="D181" s="32" t="n"/>
      <c r="E181" s="32" t="n"/>
      <c r="F181" s="31" t="n"/>
      <c r="I181" s="32" t="n"/>
      <c r="J181" s="32" t="n"/>
      <c r="K181" s="32" t="n"/>
      <c r="L181" s="32" t="n"/>
      <c r="M181" s="32" t="n"/>
      <c r="O181" s="32" t="n"/>
      <c r="P181" s="32" t="n"/>
      <c r="Q181" s="32" t="n"/>
      <c r="R181" s="32" t="n"/>
      <c r="S181" s="32" t="n"/>
      <c r="T181" s="32" t="n"/>
      <c r="U181" s="32" t="n"/>
      <c r="V181" s="32" t="n"/>
      <c r="W181" s="32" t="n"/>
      <c r="X181" s="32" t="n"/>
      <c r="AC181" s="32" t="n"/>
      <c r="AD181" s="32" t="n"/>
      <c r="AE181" s="32" t="n"/>
      <c r="AF181" s="32" t="n"/>
      <c r="AG181" s="32" t="n"/>
      <c r="AH181" s="31" t="n"/>
      <c r="AK181" s="32" t="n"/>
      <c r="AL181" s="32" t="n"/>
      <c r="AM181" s="32" t="n"/>
      <c r="AN181" s="32" t="n"/>
      <c r="AO181" s="32" t="n"/>
      <c r="AQ181" s="32" t="n"/>
      <c r="AR181" s="32" t="n"/>
      <c r="AS181" s="32" t="n"/>
      <c r="AT181" s="32" t="n"/>
      <c r="AU181" s="32" t="n"/>
      <c r="AV181" s="32" t="n"/>
      <c r="AW181" s="32" t="n"/>
      <c r="AX181" s="32" t="n"/>
      <c r="AY181" s="32" t="n"/>
      <c r="AZ181" s="32" t="n"/>
    </row>
    <row r="182" ht="14.25" customHeight="1">
      <c r="A182" s="32" t="n"/>
      <c r="B182" s="32" t="n"/>
      <c r="C182" s="32" t="n"/>
      <c r="D182" s="32" t="n"/>
      <c r="E182" s="32" t="n"/>
      <c r="F182" s="31" t="n"/>
      <c r="I182" s="32" t="n"/>
      <c r="J182" s="32" t="n"/>
      <c r="K182" s="32" t="n"/>
      <c r="L182" s="32" t="n"/>
      <c r="M182" s="32" t="n"/>
      <c r="O182" s="32" t="n"/>
      <c r="P182" s="32" t="n"/>
      <c r="Q182" s="32" t="n"/>
      <c r="R182" s="32" t="n"/>
      <c r="S182" s="32" t="n"/>
      <c r="T182" s="32" t="n"/>
      <c r="U182" s="32" t="n"/>
      <c r="V182" s="32" t="n"/>
      <c r="W182" s="32" t="n"/>
      <c r="X182" s="32" t="n"/>
      <c r="AC182" s="32" t="n"/>
      <c r="AD182" s="32" t="n"/>
      <c r="AE182" s="32" t="n"/>
      <c r="AF182" s="32" t="n"/>
      <c r="AG182" s="32" t="n"/>
      <c r="AH182" s="31" t="n"/>
      <c r="AK182" s="32" t="n"/>
      <c r="AL182" s="32" t="n"/>
      <c r="AM182" s="32" t="n"/>
      <c r="AN182" s="32" t="n"/>
      <c r="AO182" s="32" t="n"/>
      <c r="AQ182" s="32" t="n"/>
      <c r="AR182" s="32" t="n"/>
      <c r="AS182" s="32" t="n"/>
      <c r="AT182" s="32" t="n"/>
      <c r="AU182" s="32" t="n"/>
      <c r="AV182" s="32" t="n"/>
      <c r="AW182" s="32" t="n"/>
      <c r="AX182" s="32" t="n"/>
      <c r="AY182" s="32" t="n"/>
      <c r="AZ182" s="32" t="n"/>
    </row>
    <row r="183" ht="14.25" customHeight="1">
      <c r="A183" s="32" t="n"/>
      <c r="B183" s="32" t="n"/>
      <c r="C183" s="32" t="n"/>
      <c r="D183" s="32" t="n"/>
      <c r="E183" s="32" t="n"/>
      <c r="F183" s="31" t="n"/>
      <c r="I183" s="32" t="n"/>
      <c r="J183" s="32" t="n"/>
      <c r="K183" s="32" t="n"/>
      <c r="L183" s="32" t="n"/>
      <c r="M183" s="32" t="n"/>
      <c r="O183" s="23" t="inlineStr">
        <is>
          <t>Ausbildungsverantwortlicher</t>
        </is>
      </c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AC183" s="32" t="n"/>
      <c r="AD183" s="32" t="n"/>
      <c r="AE183" s="32" t="n"/>
      <c r="AF183" s="32" t="n"/>
      <c r="AG183" s="32" t="n"/>
      <c r="AH183" s="31" t="n"/>
      <c r="AK183" s="32" t="n"/>
      <c r="AL183" s="32" t="n"/>
      <c r="AM183" s="32" t="n"/>
      <c r="AN183" s="32" t="n"/>
      <c r="AO183" s="32" t="n"/>
      <c r="AQ183" s="23" t="inlineStr">
        <is>
          <t>Ausbildungsverantwortlicher</t>
        </is>
      </c>
      <c r="AR183" s="24" t="n"/>
      <c r="AS183" s="24" t="n"/>
      <c r="AT183" s="24" t="n"/>
      <c r="AU183" s="24" t="n"/>
      <c r="AV183" s="24" t="n"/>
      <c r="AW183" s="24" t="n"/>
      <c r="AX183" s="24" t="n"/>
      <c r="AY183" s="24" t="n"/>
      <c r="AZ183" s="24" t="n"/>
    </row>
    <row r="184"/>
    <row r="185" ht="14.25" customHeight="1">
      <c r="A185" s="25" t="inlineStr">
        <is>
          <t>Name der ermächtigten Stelle:</t>
        </is>
      </c>
      <c r="K185" s="30" t="inlineStr">
        <is>
          <t>Mercedes-Benz AG, Werk Rastatt</t>
        </is>
      </c>
      <c r="AC185" s="25" t="inlineStr">
        <is>
          <t>Name der ermächtigten Stelle:</t>
        </is>
      </c>
      <c r="AM185" s="30" t="inlineStr">
        <is>
          <t>Mercedes-Benz AG, Werk Rastatt</t>
        </is>
      </c>
    </row>
    <row r="186"/>
    <row r="187" ht="14.25" customHeight="1">
      <c r="A187" s="25" t="inlineStr">
        <is>
          <t>Kennziffer der ermächtigten Stelle</t>
        </is>
      </c>
      <c r="AC187" s="25" t="inlineStr">
        <is>
          <t>Kennziffer der ermächtigten Stelle</t>
        </is>
      </c>
    </row>
    <row r="188" ht="14.25" customHeight="1">
      <c r="A188" s="25" t="inlineStr">
        <is>
          <t>gemäß § 26 DGUV Vorschri_x001F_ft:</t>
        </is>
      </c>
      <c r="K188" s="33" t="inlineStr">
        <is>
          <t>7.0103</t>
        </is>
      </c>
      <c r="AC188" s="25" t="inlineStr">
        <is>
          <t>gemäß § 26 DGUV Vorschri_x001F_ft:</t>
        </is>
      </c>
      <c r="AM188" s="33" t="inlineStr">
        <is>
          <t>7.0103</t>
        </is>
      </c>
    </row>
    <row r="189"/>
    <row r="190" ht="14.25" customHeight="1">
      <c r="A190" s="25" t="inlineStr">
        <is>
          <t>Registriernummer der Schulung:</t>
        </is>
      </c>
      <c r="K190" s="30">
        <f>Teilnehmer!C5</f>
        <v/>
      </c>
      <c r="AC190" s="25" t="inlineStr">
        <is>
          <t>Registriernummer der Schulung:</t>
        </is>
      </c>
      <c r="AM190" s="30">
        <f>Teilnehmer!C5</f>
        <v/>
      </c>
    </row>
    <row r="191"/>
    <row r="192" ht="14.25" customHeight="1">
      <c r="A192" s="34" t="inlineStr">
        <is>
          <t>* Die Teilnahme an der Ausbildung in betrieblicher Erster Hilfe gilt als Schulung in Erster Hilfe gem. § 19 Fahrerlaubnis- Verordnung</t>
        </is>
      </c>
      <c r="AC192" s="34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34" t="inlineStr">
        <is>
          <t xml:space="preserve">   (FeV).</t>
        </is>
      </c>
      <c r="AC193" s="34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18" t="n"/>
      <c r="C206" s="18" t="n"/>
      <c r="D206" s="18" t="n"/>
      <c r="E206" s="18" t="n"/>
      <c r="F206" s="18" t="n"/>
      <c r="G206" s="18" t="n"/>
      <c r="H206" s="18" t="n"/>
      <c r="I206" s="17">
        <f>Teilnehmer!C21</f>
        <v/>
      </c>
      <c r="J206" s="18" t="n"/>
      <c r="K206" s="18" t="n"/>
      <c r="L206" s="18" t="n"/>
      <c r="M206" s="18" t="n"/>
      <c r="N206" s="18" t="n"/>
      <c r="O206" s="18" t="n"/>
      <c r="P206" s="18" t="n"/>
      <c r="S206" s="19" t="inlineStr">
        <is>
          <t>geb. am:</t>
        </is>
      </c>
      <c r="T206" s="20">
        <f>Teilnehmer!D21</f>
        <v/>
      </c>
      <c r="U206" s="18" t="n"/>
      <c r="V206" s="18" t="n"/>
      <c r="W206" s="18" t="n"/>
      <c r="X206" s="18" t="n"/>
      <c r="AC206" s="17">
        <f>Teilnehmer!B22</f>
        <v/>
      </c>
      <c r="AD206" s="18" t="n"/>
      <c r="AE206" s="18" t="n"/>
      <c r="AF206" s="18" t="n"/>
      <c r="AG206" s="18" t="n"/>
      <c r="AH206" s="18" t="n"/>
      <c r="AI206" s="18" t="n"/>
      <c r="AJ206" s="18" t="n"/>
      <c r="AK206" s="17">
        <f>Teilnehmer!C22</f>
        <v/>
      </c>
      <c r="AL206" s="18" t="n"/>
      <c r="AM206" s="18" t="n"/>
      <c r="AN206" s="18" t="n"/>
      <c r="AO206" s="18" t="n"/>
      <c r="AP206" s="18" t="n"/>
      <c r="AQ206" s="18" t="n"/>
      <c r="AR206" s="18" t="n"/>
      <c r="AU206" s="19" t="inlineStr">
        <is>
          <t>geb. am:</t>
        </is>
      </c>
      <c r="AV206" s="20">
        <f>Teilnehmer!D22</f>
        <v/>
      </c>
      <c r="AW206" s="18" t="n"/>
      <c r="AX206" s="18" t="n"/>
      <c r="AY206" s="18" t="n"/>
      <c r="AZ206" s="18" t="n"/>
    </row>
    <row r="207" ht="14.25" customHeight="1">
      <c r="A207" s="22" t="n"/>
      <c r="B207" s="23" t="inlineStr">
        <is>
          <t>Name</t>
        </is>
      </c>
      <c r="C207" s="24" t="n"/>
      <c r="D207" s="24" t="n"/>
      <c r="E207" s="24" t="n"/>
      <c r="F207" s="24" t="n"/>
      <c r="G207" s="24" t="n"/>
      <c r="H207" s="22" t="n"/>
      <c r="I207" s="22" t="n"/>
      <c r="J207" s="23" t="inlineStr">
        <is>
          <t>Vorname</t>
        </is>
      </c>
      <c r="K207" s="24" t="n"/>
      <c r="L207" s="24" t="n"/>
      <c r="M207" s="24" t="n"/>
      <c r="N207" s="24" t="n"/>
      <c r="O207" s="24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AC207" s="22" t="n"/>
      <c r="AD207" s="23" t="inlineStr">
        <is>
          <t>Name</t>
        </is>
      </c>
      <c r="AE207" s="24" t="n"/>
      <c r="AF207" s="24" t="n"/>
      <c r="AG207" s="24" t="n"/>
      <c r="AH207" s="24" t="n"/>
      <c r="AI207" s="24" t="n"/>
      <c r="AJ207" s="22" t="n"/>
      <c r="AK207" s="22" t="n"/>
      <c r="AL207" s="23" t="inlineStr">
        <is>
          <t>Vorname</t>
        </is>
      </c>
      <c r="AM207" s="24" t="n"/>
      <c r="AN207" s="24" t="n"/>
      <c r="AO207" s="24" t="n"/>
      <c r="AP207" s="24" t="n"/>
      <c r="AQ207" s="24" t="n"/>
      <c r="AR207" s="22" t="n"/>
      <c r="AS207" s="22" t="n"/>
      <c r="AT207" s="22" t="n"/>
      <c r="AU207" s="22" t="n"/>
      <c r="AV207" s="22" t="n"/>
      <c r="AW207" s="22" t="n"/>
      <c r="AX207" s="22" t="n"/>
      <c r="AY207" s="22" t="n"/>
      <c r="AZ207" s="22" t="n"/>
    </row>
    <row r="208"/>
    <row r="209" ht="14.25" customHeight="1">
      <c r="A209" s="25" t="inlineStr">
        <is>
          <t>hat an dem 9 Unterrichtseinheiten (Nettounterrichtszeit 9 x 45 Minuten) umfassenden Lehrgang</t>
        </is>
      </c>
      <c r="AC209" s="25" t="inlineStr">
        <is>
          <t>hat an dem 9 Unterrichtseinheiten (Nettounterrichtszeit 9 x 45 Minuten) umfassenden Lehrgang</t>
        </is>
      </c>
    </row>
    <row r="210"/>
    <row r="211" ht="14.25" customHeight="1">
      <c r="A211" s="25" t="inlineStr">
        <is>
          <t>am</t>
        </is>
      </c>
      <c r="C211" s="20">
        <f>Teilnehmer!C3</f>
        <v/>
      </c>
      <c r="D211" s="18" t="n"/>
      <c r="E211" s="18" t="n"/>
      <c r="F211" s="18" t="n"/>
      <c r="G211" s="18" t="n"/>
      <c r="H211" s="25" t="inlineStr">
        <is>
          <t>in der Zeit von</t>
        </is>
      </c>
      <c r="M211" s="26">
        <f>Teilnehmer!F3</f>
        <v/>
      </c>
      <c r="N211" s="18" t="n"/>
      <c r="O211" s="18" t="n"/>
      <c r="P211" s="25" t="inlineStr">
        <is>
          <t>Uhr bis</t>
        </is>
      </c>
      <c r="S211" s="26">
        <f>Teilnehmer!H3</f>
        <v/>
      </c>
      <c r="T211" s="18" t="n"/>
      <c r="U211" s="18" t="n"/>
      <c r="V211" s="25" t="inlineStr">
        <is>
          <t>Uhr</t>
        </is>
      </c>
      <c r="AC211" s="25" t="inlineStr">
        <is>
          <t>am</t>
        </is>
      </c>
      <c r="AE211" s="20">
        <f>Teilnehmer!C3</f>
        <v/>
      </c>
      <c r="AF211" s="18" t="n"/>
      <c r="AG211" s="18" t="n"/>
      <c r="AH211" s="18" t="n"/>
      <c r="AI211" s="18" t="n"/>
      <c r="AJ211" s="25" t="inlineStr">
        <is>
          <t>in der Zeit von</t>
        </is>
      </c>
      <c r="AO211" s="26">
        <f>Teilnehmer!F3</f>
        <v/>
      </c>
      <c r="AP211" s="18" t="n"/>
      <c r="AQ211" s="18" t="n"/>
      <c r="AR211" s="25" t="inlineStr">
        <is>
          <t>Uhr bis</t>
        </is>
      </c>
      <c r="AU211" s="26">
        <f>Teilnehmer!H3</f>
        <v/>
      </c>
      <c r="AV211" s="18" t="n"/>
      <c r="AW211" s="18" t="n"/>
      <c r="AX211" s="25" t="inlineStr">
        <is>
          <t>Uhr</t>
        </is>
      </c>
    </row>
    <row r="212"/>
    <row r="213" ht="14.25" customHeight="1">
      <c r="A213" s="25" t="inlineStr">
        <is>
          <t>unter der Leitung von</t>
        </is>
      </c>
      <c r="H213" s="17">
        <f>Teilnehmer!C4</f>
        <v/>
      </c>
      <c r="I213" s="28" t="n"/>
      <c r="J213" s="28" t="n"/>
      <c r="K213" s="28" t="n"/>
      <c r="L213" s="28" t="n"/>
      <c r="M213" s="28" t="n"/>
      <c r="N213" s="28" t="n"/>
      <c r="O213" s="28" t="n"/>
      <c r="Q213" s="25" t="inlineStr">
        <is>
          <t>erfolgreich teilgenommen.</t>
        </is>
      </c>
      <c r="AC213" s="25" t="inlineStr">
        <is>
          <t>unter der Leitung von</t>
        </is>
      </c>
      <c r="AJ213" s="17">
        <f>Teilnehmer!C4</f>
        <v/>
      </c>
      <c r="AK213" s="28" t="n"/>
      <c r="AL213" s="28" t="n"/>
      <c r="AM213" s="28" t="n"/>
      <c r="AN213" s="28" t="n"/>
      <c r="AO213" s="28" t="n"/>
      <c r="AP213" s="28" t="n"/>
      <c r="AQ213" s="28" t="n"/>
      <c r="AS213" s="25" t="inlineStr">
        <is>
          <t>erfolgreich teilgenommen.</t>
        </is>
      </c>
    </row>
    <row r="214"/>
    <row r="215" ht="14.25" customHeight="1">
      <c r="A215" s="25" t="inlineStr">
        <is>
          <t>Teilnehmerunterlagen ausgehändigt:</t>
        </is>
      </c>
      <c r="N215" s="29" t="inlineStr">
        <is>
          <t>X</t>
        </is>
      </c>
      <c r="O215" s="25" t="inlineStr">
        <is>
          <t>ja</t>
        </is>
      </c>
      <c r="R215" s="29" t="n"/>
      <c r="S215" s="25" t="inlineStr">
        <is>
          <t>nein</t>
        </is>
      </c>
      <c r="AC215" s="25" t="inlineStr">
        <is>
          <t>Teilnehmerunterlagen ausgehändigt:</t>
        </is>
      </c>
      <c r="AP215" s="29" t="inlineStr">
        <is>
          <t>X</t>
        </is>
      </c>
      <c r="AQ215" s="25" t="inlineStr">
        <is>
          <t>ja</t>
        </is>
      </c>
      <c r="AT215" s="29" t="n"/>
      <c r="AU215" s="25" t="inlineStr">
        <is>
          <t>nein</t>
        </is>
      </c>
    </row>
    <row r="216"/>
    <row r="217"/>
    <row r="218" ht="14.25" customHeight="1">
      <c r="A218" s="30" t="inlineStr">
        <is>
          <t>Rastatt</t>
        </is>
      </c>
      <c r="G218" s="25" t="inlineStr">
        <is>
          <t>,den</t>
        </is>
      </c>
      <c r="I218" s="21">
        <f>Teilnehmer!C3</f>
        <v/>
      </c>
      <c r="AC218" s="30" t="inlineStr">
        <is>
          <t>Rastatt</t>
        </is>
      </c>
      <c r="AI218" s="25" t="inlineStr">
        <is>
          <t>,den</t>
        </is>
      </c>
      <c r="AK218" s="21">
        <f>Teilnehmer!C3</f>
        <v/>
      </c>
    </row>
    <row r="219" ht="14.25" customHeight="1">
      <c r="A219" s="23" t="inlineStr">
        <is>
          <t>Ort</t>
        </is>
      </c>
      <c r="B219" s="24" t="n"/>
      <c r="C219" s="24" t="n"/>
      <c r="D219" s="24" t="n"/>
      <c r="E219" s="24" t="n"/>
      <c r="F219" s="31" t="n"/>
      <c r="I219" s="23" t="inlineStr">
        <is>
          <t>Datum</t>
        </is>
      </c>
      <c r="J219" s="24" t="n"/>
      <c r="K219" s="24" t="n"/>
      <c r="L219" s="24" t="n"/>
      <c r="M219" s="24" t="n"/>
      <c r="O219" s="23" t="inlineStr">
        <is>
          <t>Unterschrift der Lehrkraft</t>
        </is>
      </c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AC219" s="23" t="inlineStr">
        <is>
          <t>Ort</t>
        </is>
      </c>
      <c r="AD219" s="24" t="n"/>
      <c r="AE219" s="24" t="n"/>
      <c r="AF219" s="24" t="n"/>
      <c r="AG219" s="24" t="n"/>
      <c r="AH219" s="31" t="n"/>
      <c r="AK219" s="23" t="inlineStr">
        <is>
          <t>Datum</t>
        </is>
      </c>
      <c r="AL219" s="24" t="n"/>
      <c r="AM219" s="24" t="n"/>
      <c r="AN219" s="24" t="n"/>
      <c r="AO219" s="24" t="n"/>
      <c r="AQ219" s="23" t="inlineStr">
        <is>
          <t>Unterschrift der Lehrkraft</t>
        </is>
      </c>
      <c r="AR219" s="24" t="n"/>
      <c r="AS219" s="24" t="n"/>
      <c r="AT219" s="24" t="n"/>
      <c r="AU219" s="24" t="n"/>
      <c r="AV219" s="24" t="n"/>
      <c r="AW219" s="24" t="n"/>
      <c r="AX219" s="24" t="n"/>
      <c r="AY219" s="24" t="n"/>
      <c r="AZ219" s="24" t="n"/>
    </row>
    <row r="220" ht="14.25" customHeight="1">
      <c r="A220" s="32" t="n"/>
      <c r="B220" s="32" t="n"/>
      <c r="C220" s="32" t="n"/>
      <c r="D220" s="32" t="n"/>
      <c r="E220" s="32" t="n"/>
      <c r="F220" s="31" t="n"/>
      <c r="I220" s="32" t="n"/>
      <c r="J220" s="32" t="n"/>
      <c r="K220" s="32" t="n"/>
      <c r="L220" s="32" t="n"/>
      <c r="M220" s="32" t="n"/>
      <c r="O220" s="32" t="n"/>
      <c r="P220" s="32" t="n"/>
      <c r="Q220" s="32" t="n"/>
      <c r="R220" s="32" t="n"/>
      <c r="S220" s="32" t="n"/>
      <c r="T220" s="32" t="n"/>
      <c r="U220" s="32" t="n"/>
      <c r="V220" s="32" t="n"/>
      <c r="W220" s="32" t="n"/>
      <c r="X220" s="32" t="n"/>
      <c r="AC220" s="32" t="n"/>
      <c r="AD220" s="32" t="n"/>
      <c r="AE220" s="32" t="n"/>
      <c r="AF220" s="32" t="n"/>
      <c r="AG220" s="32" t="n"/>
      <c r="AH220" s="31" t="n"/>
      <c r="AK220" s="32" t="n"/>
      <c r="AL220" s="32" t="n"/>
      <c r="AM220" s="32" t="n"/>
      <c r="AN220" s="32" t="n"/>
      <c r="AO220" s="32" t="n"/>
      <c r="AQ220" s="32" t="n"/>
      <c r="AR220" s="32" t="n"/>
      <c r="AS220" s="32" t="n"/>
      <c r="AT220" s="32" t="n"/>
      <c r="AU220" s="32" t="n"/>
      <c r="AV220" s="32" t="n"/>
      <c r="AW220" s="32" t="n"/>
      <c r="AX220" s="32" t="n"/>
      <c r="AY220" s="32" t="n"/>
      <c r="AZ220" s="32" t="n"/>
    </row>
    <row r="221" ht="14.25" customHeight="1">
      <c r="A221" s="32" t="n"/>
      <c r="B221" s="32" t="n"/>
      <c r="C221" s="32" t="n"/>
      <c r="D221" s="32" t="n"/>
      <c r="E221" s="32" t="n"/>
      <c r="F221" s="31" t="n"/>
      <c r="I221" s="32" t="n"/>
      <c r="J221" s="32" t="n"/>
      <c r="K221" s="32" t="n"/>
      <c r="L221" s="32" t="n"/>
      <c r="M221" s="32" t="n"/>
      <c r="O221" s="32" t="n"/>
      <c r="P221" s="32" t="n"/>
      <c r="Q221" s="32" t="n"/>
      <c r="R221" s="32" t="n"/>
      <c r="S221" s="32" t="n"/>
      <c r="T221" s="32" t="n"/>
      <c r="U221" s="32" t="n"/>
      <c r="V221" s="32" t="n"/>
      <c r="W221" s="32" t="n"/>
      <c r="X221" s="32" t="n"/>
      <c r="AC221" s="32" t="n"/>
      <c r="AD221" s="32" t="n"/>
      <c r="AE221" s="32" t="n"/>
      <c r="AF221" s="32" t="n"/>
      <c r="AG221" s="32" t="n"/>
      <c r="AH221" s="31" t="n"/>
      <c r="AK221" s="32" t="n"/>
      <c r="AL221" s="32" t="n"/>
      <c r="AM221" s="32" t="n"/>
      <c r="AN221" s="32" t="n"/>
      <c r="AO221" s="32" t="n"/>
      <c r="AQ221" s="32" t="n"/>
      <c r="AR221" s="32" t="n"/>
      <c r="AS221" s="32" t="n"/>
      <c r="AT221" s="32" t="n"/>
      <c r="AU221" s="32" t="n"/>
      <c r="AV221" s="32" t="n"/>
      <c r="AW221" s="32" t="n"/>
      <c r="AX221" s="32" t="n"/>
      <c r="AY221" s="32" t="n"/>
      <c r="AZ221" s="32" t="n"/>
    </row>
    <row r="222" ht="14.25" customHeight="1">
      <c r="A222" s="32" t="n"/>
      <c r="B222" s="32" t="n"/>
      <c r="C222" s="32" t="n"/>
      <c r="D222" s="32" t="n"/>
      <c r="E222" s="32" t="n"/>
      <c r="F222" s="31" t="n"/>
      <c r="I222" s="32" t="n"/>
      <c r="J222" s="32" t="n"/>
      <c r="K222" s="32" t="n"/>
      <c r="L222" s="32" t="n"/>
      <c r="M222" s="32" t="n"/>
      <c r="O222" s="23" t="inlineStr">
        <is>
          <t>Ausbildungsverantwortlicher</t>
        </is>
      </c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AC222" s="32" t="n"/>
      <c r="AD222" s="32" t="n"/>
      <c r="AE222" s="32" t="n"/>
      <c r="AF222" s="32" t="n"/>
      <c r="AG222" s="32" t="n"/>
      <c r="AH222" s="31" t="n"/>
      <c r="AK222" s="32" t="n"/>
      <c r="AL222" s="32" t="n"/>
      <c r="AM222" s="32" t="n"/>
      <c r="AN222" s="32" t="n"/>
      <c r="AO222" s="32" t="n"/>
      <c r="AQ222" s="23" t="inlineStr">
        <is>
          <t>Ausbildungsverantwortlicher</t>
        </is>
      </c>
      <c r="AR222" s="24" t="n"/>
      <c r="AS222" s="24" t="n"/>
      <c r="AT222" s="24" t="n"/>
      <c r="AU222" s="24" t="n"/>
      <c r="AV222" s="24" t="n"/>
      <c r="AW222" s="24" t="n"/>
      <c r="AX222" s="24" t="n"/>
      <c r="AY222" s="24" t="n"/>
      <c r="AZ222" s="24" t="n"/>
    </row>
    <row r="223"/>
    <row r="224" ht="14.25" customHeight="1">
      <c r="A224" s="25" t="inlineStr">
        <is>
          <t>Name der ermächtigten Stelle:</t>
        </is>
      </c>
      <c r="K224" s="30" t="inlineStr">
        <is>
          <t>Mercedes-Benz AG, Werk Rastatt</t>
        </is>
      </c>
      <c r="AC224" s="25" t="inlineStr">
        <is>
          <t>Name der ermächtigten Stelle:</t>
        </is>
      </c>
      <c r="AM224" s="30" t="inlineStr">
        <is>
          <t>Mercedes-Benz AG, Werk Rastatt</t>
        </is>
      </c>
    </row>
    <row r="225"/>
    <row r="226" ht="14.25" customHeight="1">
      <c r="A226" s="25" t="inlineStr">
        <is>
          <t>Kennziffer der ermächtigten Stelle</t>
        </is>
      </c>
      <c r="AC226" s="25" t="inlineStr">
        <is>
          <t>Kennziffer der ermächtigten Stelle</t>
        </is>
      </c>
    </row>
    <row r="227" ht="14.25" customHeight="1">
      <c r="A227" s="25" t="inlineStr">
        <is>
          <t>gemäß § 26 DGUV Vorschri_x001F_ft:</t>
        </is>
      </c>
      <c r="K227" s="33" t="inlineStr">
        <is>
          <t>7.0103</t>
        </is>
      </c>
      <c r="AC227" s="25" t="inlineStr">
        <is>
          <t>gemäß § 26 DGUV Vorschri_x001F_ft:</t>
        </is>
      </c>
      <c r="AM227" s="33" t="inlineStr">
        <is>
          <t>7.0103</t>
        </is>
      </c>
    </row>
    <row r="228"/>
    <row r="229" ht="14.25" customHeight="1">
      <c r="A229" s="25" t="inlineStr">
        <is>
          <t>Registriernummer der Schulung:</t>
        </is>
      </c>
      <c r="K229" s="30">
        <f>Teilnehmer!C5</f>
        <v/>
      </c>
      <c r="AC229" s="25" t="inlineStr">
        <is>
          <t>Registriernummer der Schulung:</t>
        </is>
      </c>
      <c r="AM229" s="30">
        <f>Teilnehmer!C5</f>
        <v/>
      </c>
    </row>
    <row r="230"/>
    <row r="231" ht="14.25" customHeight="1">
      <c r="A231" s="34" t="inlineStr">
        <is>
          <t>* Die Teilnahme an der Ausbildung in betrieblicher Erster Hilfe gilt als Schulung in Erster Hilfe gem. § 19 Fahrerlaubnis- Verordnung</t>
        </is>
      </c>
      <c r="AC231" s="34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34" t="inlineStr">
        <is>
          <t xml:space="preserve">   (FeV).</t>
        </is>
      </c>
      <c r="AC232" s="34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18" t="n"/>
      <c r="C245" s="18" t="n"/>
      <c r="D245" s="18" t="n"/>
      <c r="E245" s="18" t="n"/>
      <c r="F245" s="18" t="n"/>
      <c r="G245" s="18" t="n"/>
      <c r="H245" s="18" t="n"/>
      <c r="I245" s="17">
        <f>Teilnehmer!C23</f>
        <v/>
      </c>
      <c r="J245" s="18" t="n"/>
      <c r="K245" s="18" t="n"/>
      <c r="L245" s="18" t="n"/>
      <c r="M245" s="18" t="n"/>
      <c r="N245" s="18" t="n"/>
      <c r="O245" s="18" t="n"/>
      <c r="P245" s="18" t="n"/>
      <c r="S245" s="19" t="inlineStr">
        <is>
          <t>geb. am:</t>
        </is>
      </c>
      <c r="T245" s="20">
        <f>Teilnehmer!D23</f>
        <v/>
      </c>
      <c r="U245" s="18" t="n"/>
      <c r="V245" s="18" t="n"/>
      <c r="W245" s="18" t="n"/>
      <c r="X245" s="18" t="n"/>
      <c r="AC245" s="17">
        <f>Teilnehmer!B24</f>
        <v/>
      </c>
      <c r="AD245" s="18" t="n"/>
      <c r="AE245" s="18" t="n"/>
      <c r="AF245" s="18" t="n"/>
      <c r="AG245" s="18" t="n"/>
      <c r="AH245" s="18" t="n"/>
      <c r="AI245" s="18" t="n"/>
      <c r="AJ245" s="18" t="n"/>
      <c r="AK245" s="17">
        <f>Teilnehmer!C24</f>
        <v/>
      </c>
      <c r="AL245" s="18" t="n"/>
      <c r="AM245" s="18" t="n"/>
      <c r="AN245" s="18" t="n"/>
      <c r="AO245" s="18" t="n"/>
      <c r="AP245" s="18" t="n"/>
      <c r="AQ245" s="18" t="n"/>
      <c r="AR245" s="18" t="n"/>
      <c r="AU245" s="19" t="inlineStr">
        <is>
          <t>geb. am:</t>
        </is>
      </c>
      <c r="AV245" s="20">
        <f>Teilnehmer!D24</f>
        <v/>
      </c>
      <c r="AW245" s="18" t="n"/>
      <c r="AX245" s="18" t="n"/>
      <c r="AY245" s="18" t="n"/>
      <c r="AZ245" s="18" t="n"/>
    </row>
    <row r="246" ht="14.25" customHeight="1">
      <c r="A246" s="22" t="n"/>
      <c r="B246" s="23" t="inlineStr">
        <is>
          <t>Name</t>
        </is>
      </c>
      <c r="C246" s="24" t="n"/>
      <c r="D246" s="24" t="n"/>
      <c r="E246" s="24" t="n"/>
      <c r="F246" s="24" t="n"/>
      <c r="G246" s="24" t="n"/>
      <c r="H246" s="22" t="n"/>
      <c r="I246" s="22" t="n"/>
      <c r="J246" s="23" t="inlineStr">
        <is>
          <t>Vorname</t>
        </is>
      </c>
      <c r="K246" s="24" t="n"/>
      <c r="L246" s="24" t="n"/>
      <c r="M246" s="24" t="n"/>
      <c r="N246" s="24" t="n"/>
      <c r="O246" s="24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AC246" s="22" t="n"/>
      <c r="AD246" s="23" t="inlineStr">
        <is>
          <t>Name</t>
        </is>
      </c>
      <c r="AE246" s="24" t="n"/>
      <c r="AF246" s="24" t="n"/>
      <c r="AG246" s="24" t="n"/>
      <c r="AH246" s="24" t="n"/>
      <c r="AI246" s="24" t="n"/>
      <c r="AJ246" s="22" t="n"/>
      <c r="AK246" s="22" t="n"/>
      <c r="AL246" s="23" t="inlineStr">
        <is>
          <t>Vorname</t>
        </is>
      </c>
      <c r="AM246" s="24" t="n"/>
      <c r="AN246" s="24" t="n"/>
      <c r="AO246" s="24" t="n"/>
      <c r="AP246" s="24" t="n"/>
      <c r="AQ246" s="24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</row>
    <row r="247"/>
    <row r="248" ht="14.25" customHeight="1">
      <c r="A248" s="25" t="inlineStr">
        <is>
          <t>hat an dem 9 Unterrichtseinheiten (Nettounterrichtszeit 9 x 45 Minuten) umfassenden Lehrgang</t>
        </is>
      </c>
      <c r="AC248" s="25" t="inlineStr">
        <is>
          <t>hat an dem 9 Unterrichtseinheiten (Nettounterrichtszeit 9 x 45 Minuten) umfassenden Lehrgang</t>
        </is>
      </c>
    </row>
    <row r="249"/>
    <row r="250" ht="14.25" customHeight="1">
      <c r="A250" s="25" t="inlineStr">
        <is>
          <t>am</t>
        </is>
      </c>
      <c r="C250" s="20">
        <f>Teilnehmer!C3</f>
        <v/>
      </c>
      <c r="D250" s="18" t="n"/>
      <c r="E250" s="18" t="n"/>
      <c r="F250" s="18" t="n"/>
      <c r="G250" s="18" t="n"/>
      <c r="H250" s="25" t="inlineStr">
        <is>
          <t>in der Zeit von</t>
        </is>
      </c>
      <c r="M250" s="26">
        <f>Teilnehmer!F3</f>
        <v/>
      </c>
      <c r="N250" s="18" t="n"/>
      <c r="O250" s="18" t="n"/>
      <c r="P250" s="25" t="inlineStr">
        <is>
          <t>Uhr bis</t>
        </is>
      </c>
      <c r="S250" s="26">
        <f>Teilnehmer!H3</f>
        <v/>
      </c>
      <c r="T250" s="18" t="n"/>
      <c r="U250" s="18" t="n"/>
      <c r="V250" s="25" t="inlineStr">
        <is>
          <t>Uhr</t>
        </is>
      </c>
      <c r="AC250" s="25" t="inlineStr">
        <is>
          <t>am</t>
        </is>
      </c>
      <c r="AE250" s="20">
        <f>Teilnehmer!C3</f>
        <v/>
      </c>
      <c r="AF250" s="18" t="n"/>
      <c r="AG250" s="18" t="n"/>
      <c r="AH250" s="18" t="n"/>
      <c r="AI250" s="18" t="n"/>
      <c r="AJ250" s="25" t="inlineStr">
        <is>
          <t>in der Zeit von</t>
        </is>
      </c>
      <c r="AO250" s="26">
        <f>Teilnehmer!F3</f>
        <v/>
      </c>
      <c r="AP250" s="18" t="n"/>
      <c r="AQ250" s="18" t="n"/>
      <c r="AR250" s="25" t="inlineStr">
        <is>
          <t>Uhr bis</t>
        </is>
      </c>
      <c r="AU250" s="26">
        <f>Teilnehmer!H3</f>
        <v/>
      </c>
      <c r="AV250" s="18" t="n"/>
      <c r="AW250" s="18" t="n"/>
      <c r="AX250" s="25" t="inlineStr">
        <is>
          <t>Uhr</t>
        </is>
      </c>
    </row>
    <row r="251"/>
    <row r="252" ht="14.25" customHeight="1">
      <c r="A252" s="25" t="inlineStr">
        <is>
          <t>unter der Leitung von</t>
        </is>
      </c>
      <c r="H252" s="17">
        <f>Teilnehmer!C4</f>
        <v/>
      </c>
      <c r="I252" s="28" t="n"/>
      <c r="J252" s="28" t="n"/>
      <c r="K252" s="28" t="n"/>
      <c r="L252" s="28" t="n"/>
      <c r="M252" s="28" t="n"/>
      <c r="N252" s="28" t="n"/>
      <c r="O252" s="28" t="n"/>
      <c r="Q252" s="25" t="inlineStr">
        <is>
          <t>erfolgreich teilgenommen.</t>
        </is>
      </c>
      <c r="AC252" s="25" t="inlineStr">
        <is>
          <t>unter der Leitung von</t>
        </is>
      </c>
      <c r="AJ252" s="17">
        <f>Teilnehmer!C4</f>
        <v/>
      </c>
      <c r="AK252" s="28" t="n"/>
      <c r="AL252" s="28" t="n"/>
      <c r="AM252" s="28" t="n"/>
      <c r="AN252" s="28" t="n"/>
      <c r="AO252" s="28" t="n"/>
      <c r="AP252" s="28" t="n"/>
      <c r="AQ252" s="28" t="n"/>
      <c r="AS252" s="25" t="inlineStr">
        <is>
          <t>erfolgreich teilgenommen.</t>
        </is>
      </c>
    </row>
    <row r="253"/>
    <row r="254" ht="14.25" customHeight="1">
      <c r="A254" s="25" t="inlineStr">
        <is>
          <t>Teilnehmerunterlagen ausgehändigt:</t>
        </is>
      </c>
      <c r="N254" s="29" t="inlineStr">
        <is>
          <t>X</t>
        </is>
      </c>
      <c r="O254" s="25" t="inlineStr">
        <is>
          <t>ja</t>
        </is>
      </c>
      <c r="R254" s="29" t="n"/>
      <c r="S254" s="25" t="inlineStr">
        <is>
          <t>nein</t>
        </is>
      </c>
      <c r="AC254" s="25" t="inlineStr">
        <is>
          <t>Teilnehmerunterlagen ausgehändigt:</t>
        </is>
      </c>
      <c r="AP254" s="29" t="inlineStr">
        <is>
          <t>X</t>
        </is>
      </c>
      <c r="AQ254" s="25" t="inlineStr">
        <is>
          <t>ja</t>
        </is>
      </c>
      <c r="AT254" s="29" t="n"/>
      <c r="AU254" s="25" t="inlineStr">
        <is>
          <t>nein</t>
        </is>
      </c>
    </row>
    <row r="255"/>
    <row r="256"/>
    <row r="257" ht="14.25" customHeight="1">
      <c r="A257" s="30" t="inlineStr">
        <is>
          <t>Rastatt</t>
        </is>
      </c>
      <c r="G257" s="25" t="inlineStr">
        <is>
          <t>,den</t>
        </is>
      </c>
      <c r="I257" s="21">
        <f>Teilnehmer!C3</f>
        <v/>
      </c>
      <c r="AC257" s="30" t="inlineStr">
        <is>
          <t>Rastatt</t>
        </is>
      </c>
      <c r="AI257" s="25" t="inlineStr">
        <is>
          <t>,den</t>
        </is>
      </c>
      <c r="AK257" s="21">
        <f>Teilnehmer!C3</f>
        <v/>
      </c>
    </row>
    <row r="258" ht="14.25" customHeight="1">
      <c r="A258" s="23" t="inlineStr">
        <is>
          <t>Ort</t>
        </is>
      </c>
      <c r="B258" s="24" t="n"/>
      <c r="C258" s="24" t="n"/>
      <c r="D258" s="24" t="n"/>
      <c r="E258" s="24" t="n"/>
      <c r="F258" s="31" t="n"/>
      <c r="I258" s="23" t="inlineStr">
        <is>
          <t>Datum</t>
        </is>
      </c>
      <c r="J258" s="24" t="n"/>
      <c r="K258" s="24" t="n"/>
      <c r="L258" s="24" t="n"/>
      <c r="M258" s="24" t="n"/>
      <c r="O258" s="23" t="inlineStr">
        <is>
          <t>Unterschrift der Lehrkraft</t>
        </is>
      </c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AC258" s="23" t="inlineStr">
        <is>
          <t>Ort</t>
        </is>
      </c>
      <c r="AD258" s="24" t="n"/>
      <c r="AE258" s="24" t="n"/>
      <c r="AF258" s="24" t="n"/>
      <c r="AG258" s="24" t="n"/>
      <c r="AH258" s="31" t="n"/>
      <c r="AK258" s="23" t="inlineStr">
        <is>
          <t>Datum</t>
        </is>
      </c>
      <c r="AL258" s="24" t="n"/>
      <c r="AM258" s="24" t="n"/>
      <c r="AN258" s="24" t="n"/>
      <c r="AO258" s="24" t="n"/>
      <c r="AQ258" s="23" t="inlineStr">
        <is>
          <t>Unterschrift der Lehrkraft</t>
        </is>
      </c>
      <c r="AR258" s="24" t="n"/>
      <c r="AS258" s="24" t="n"/>
      <c r="AT258" s="24" t="n"/>
      <c r="AU258" s="24" t="n"/>
      <c r="AV258" s="24" t="n"/>
      <c r="AW258" s="24" t="n"/>
      <c r="AX258" s="24" t="n"/>
      <c r="AY258" s="24" t="n"/>
      <c r="AZ258" s="24" t="n"/>
    </row>
    <row r="259" ht="14.25" customHeight="1">
      <c r="A259" s="32" t="n"/>
      <c r="B259" s="32" t="n"/>
      <c r="C259" s="32" t="n"/>
      <c r="D259" s="32" t="n"/>
      <c r="E259" s="32" t="n"/>
      <c r="F259" s="31" t="n"/>
      <c r="I259" s="32" t="n"/>
      <c r="J259" s="32" t="n"/>
      <c r="K259" s="32" t="n"/>
      <c r="L259" s="32" t="n"/>
      <c r="M259" s="32" t="n"/>
      <c r="O259" s="32" t="n"/>
      <c r="P259" s="32" t="n"/>
      <c r="Q259" s="32" t="n"/>
      <c r="R259" s="32" t="n"/>
      <c r="S259" s="32" t="n"/>
      <c r="T259" s="32" t="n"/>
      <c r="U259" s="32" t="n"/>
      <c r="V259" s="32" t="n"/>
      <c r="W259" s="32" t="n"/>
      <c r="X259" s="32" t="n"/>
      <c r="AC259" s="32" t="n"/>
      <c r="AD259" s="32" t="n"/>
      <c r="AE259" s="32" t="n"/>
      <c r="AF259" s="32" t="n"/>
      <c r="AG259" s="32" t="n"/>
      <c r="AH259" s="31" t="n"/>
      <c r="AK259" s="32" t="n"/>
      <c r="AL259" s="32" t="n"/>
      <c r="AM259" s="32" t="n"/>
      <c r="AN259" s="32" t="n"/>
      <c r="AO259" s="32" t="n"/>
      <c r="AQ259" s="32" t="n"/>
      <c r="AR259" s="32" t="n"/>
      <c r="AS259" s="32" t="n"/>
      <c r="AT259" s="32" t="n"/>
      <c r="AU259" s="32" t="n"/>
      <c r="AV259" s="32" t="n"/>
      <c r="AW259" s="32" t="n"/>
      <c r="AX259" s="32" t="n"/>
      <c r="AY259" s="32" t="n"/>
      <c r="AZ259" s="32" t="n"/>
    </row>
    <row r="260" ht="14.25" customHeight="1">
      <c r="A260" s="32" t="n"/>
      <c r="B260" s="32" t="n"/>
      <c r="C260" s="32" t="n"/>
      <c r="D260" s="32" t="n"/>
      <c r="E260" s="32" t="n"/>
      <c r="F260" s="31" t="n"/>
      <c r="I260" s="32" t="n"/>
      <c r="J260" s="32" t="n"/>
      <c r="K260" s="32" t="n"/>
      <c r="L260" s="32" t="n"/>
      <c r="M260" s="32" t="n"/>
      <c r="O260" s="32" t="n"/>
      <c r="P260" s="32" t="n"/>
      <c r="Q260" s="32" t="n"/>
      <c r="R260" s="32" t="n"/>
      <c r="S260" s="32" t="n"/>
      <c r="T260" s="32" t="n"/>
      <c r="U260" s="32" t="n"/>
      <c r="V260" s="32" t="n"/>
      <c r="W260" s="32" t="n"/>
      <c r="X260" s="32" t="n"/>
      <c r="AC260" s="32" t="n"/>
      <c r="AD260" s="32" t="n"/>
      <c r="AE260" s="32" t="n"/>
      <c r="AF260" s="32" t="n"/>
      <c r="AG260" s="32" t="n"/>
      <c r="AH260" s="31" t="n"/>
      <c r="AK260" s="32" t="n"/>
      <c r="AL260" s="32" t="n"/>
      <c r="AM260" s="32" t="n"/>
      <c r="AN260" s="32" t="n"/>
      <c r="AO260" s="32" t="n"/>
      <c r="AQ260" s="32" t="n"/>
      <c r="AR260" s="32" t="n"/>
      <c r="AS260" s="32" t="n"/>
      <c r="AT260" s="32" t="n"/>
      <c r="AU260" s="32" t="n"/>
      <c r="AV260" s="32" t="n"/>
      <c r="AW260" s="32" t="n"/>
      <c r="AX260" s="32" t="n"/>
      <c r="AY260" s="32" t="n"/>
      <c r="AZ260" s="32" t="n"/>
    </row>
    <row r="261" ht="14.25" customHeight="1">
      <c r="A261" s="32" t="n"/>
      <c r="B261" s="32" t="n"/>
      <c r="C261" s="32" t="n"/>
      <c r="D261" s="32" t="n"/>
      <c r="E261" s="32" t="n"/>
      <c r="F261" s="31" t="n"/>
      <c r="I261" s="32" t="n"/>
      <c r="J261" s="32" t="n"/>
      <c r="K261" s="32" t="n"/>
      <c r="L261" s="32" t="n"/>
      <c r="M261" s="32" t="n"/>
      <c r="O261" s="23" t="inlineStr">
        <is>
          <t>Ausbildungsverantwortlicher</t>
        </is>
      </c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AC261" s="32" t="n"/>
      <c r="AD261" s="32" t="n"/>
      <c r="AE261" s="32" t="n"/>
      <c r="AF261" s="32" t="n"/>
      <c r="AG261" s="32" t="n"/>
      <c r="AH261" s="31" t="n"/>
      <c r="AK261" s="32" t="n"/>
      <c r="AL261" s="32" t="n"/>
      <c r="AM261" s="32" t="n"/>
      <c r="AN261" s="32" t="n"/>
      <c r="AO261" s="32" t="n"/>
      <c r="AQ261" s="23" t="inlineStr">
        <is>
          <t>Ausbildungsverantwortlicher</t>
        </is>
      </c>
      <c r="AR261" s="24" t="n"/>
      <c r="AS261" s="24" t="n"/>
      <c r="AT261" s="24" t="n"/>
      <c r="AU261" s="24" t="n"/>
      <c r="AV261" s="24" t="n"/>
      <c r="AW261" s="24" t="n"/>
      <c r="AX261" s="24" t="n"/>
      <c r="AY261" s="24" t="n"/>
      <c r="AZ261" s="24" t="n"/>
    </row>
    <row r="262"/>
    <row r="263" ht="14.25" customHeight="1">
      <c r="A263" s="25" t="inlineStr">
        <is>
          <t>Name der ermächtigten Stelle:</t>
        </is>
      </c>
      <c r="K263" s="30" t="inlineStr">
        <is>
          <t>Mercedes-Benz AG, Werk Rastatt</t>
        </is>
      </c>
      <c r="AC263" s="25" t="inlineStr">
        <is>
          <t>Name der ermächtigten Stelle:</t>
        </is>
      </c>
      <c r="AM263" s="30" t="inlineStr">
        <is>
          <t>Mercedes-Benz AG, Werk Rastatt</t>
        </is>
      </c>
    </row>
    <row r="264"/>
    <row r="265" ht="14.25" customHeight="1">
      <c r="A265" s="25" t="inlineStr">
        <is>
          <t>Kennziffer der ermächtigten Stelle</t>
        </is>
      </c>
      <c r="AC265" s="25" t="inlineStr">
        <is>
          <t>Kennziffer der ermächtigten Stelle</t>
        </is>
      </c>
    </row>
    <row r="266" ht="14.25" customHeight="1">
      <c r="A266" s="25" t="inlineStr">
        <is>
          <t>gemäß § 26 DGUV Vorschri_x001F_ft:</t>
        </is>
      </c>
      <c r="K266" s="33" t="inlineStr">
        <is>
          <t>7.0103</t>
        </is>
      </c>
      <c r="AC266" s="25" t="inlineStr">
        <is>
          <t>gemäß § 26 DGUV Vorschri_x001F_ft:</t>
        </is>
      </c>
      <c r="AM266" s="33" t="inlineStr">
        <is>
          <t>7.0103</t>
        </is>
      </c>
    </row>
    <row r="267"/>
    <row r="268" ht="14.25" customHeight="1">
      <c r="A268" s="25" t="inlineStr">
        <is>
          <t>Registriernummer der Schulung:</t>
        </is>
      </c>
      <c r="K268" s="30">
        <f>Teilnehmer!C5</f>
        <v/>
      </c>
      <c r="AC268" s="25" t="inlineStr">
        <is>
          <t>Registriernummer der Schulung:</t>
        </is>
      </c>
      <c r="AM268" s="30">
        <f>Teilnehmer!C5</f>
        <v/>
      </c>
    </row>
    <row r="269"/>
    <row r="270" ht="14.25" customHeight="1">
      <c r="A270" s="34" t="inlineStr">
        <is>
          <t>* Die Teilnahme an der Ausbildung in betrieblicher Erster Hilfe gilt als Schulung in Erster Hilfe gem. § 19 Fahrerlaubnis- Verordnung</t>
        </is>
      </c>
      <c r="AC270" s="34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34" t="inlineStr">
        <is>
          <t xml:space="preserve">   (FeV).</t>
        </is>
      </c>
      <c r="AC271" s="34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18" t="n"/>
      <c r="C284" s="18" t="n"/>
      <c r="D284" s="18" t="n"/>
      <c r="E284" s="18" t="n"/>
      <c r="F284" s="18" t="n"/>
      <c r="G284" s="18" t="n"/>
      <c r="H284" s="18" t="n"/>
      <c r="I284" s="17">
        <f>Teilnehmer!C25</f>
        <v/>
      </c>
      <c r="J284" s="18" t="n"/>
      <c r="K284" s="18" t="n"/>
      <c r="L284" s="18" t="n"/>
      <c r="M284" s="18" t="n"/>
      <c r="N284" s="18" t="n"/>
      <c r="O284" s="18" t="n"/>
      <c r="P284" s="18" t="n"/>
      <c r="S284" s="19" t="inlineStr">
        <is>
          <t>geb. am:</t>
        </is>
      </c>
      <c r="T284" s="20">
        <f>Teilnehmer!D25</f>
        <v/>
      </c>
      <c r="U284" s="18" t="n"/>
      <c r="V284" s="18" t="n"/>
      <c r="W284" s="18" t="n"/>
      <c r="X284" s="18" t="n"/>
      <c r="AC284" s="17">
        <f>Teilnehmer!B26</f>
        <v/>
      </c>
      <c r="AD284" s="18" t="n"/>
      <c r="AE284" s="18" t="n"/>
      <c r="AF284" s="18" t="n"/>
      <c r="AG284" s="18" t="n"/>
      <c r="AH284" s="18" t="n"/>
      <c r="AI284" s="18" t="n"/>
      <c r="AJ284" s="18" t="n"/>
      <c r="AK284" s="17">
        <f>Teilnehmer!C26</f>
        <v/>
      </c>
      <c r="AL284" s="18" t="n"/>
      <c r="AM284" s="18" t="n"/>
      <c r="AN284" s="18" t="n"/>
      <c r="AO284" s="18" t="n"/>
      <c r="AP284" s="18" t="n"/>
      <c r="AQ284" s="18" t="n"/>
      <c r="AR284" s="18" t="n"/>
      <c r="AU284" s="19" t="inlineStr">
        <is>
          <t>geb. am:</t>
        </is>
      </c>
      <c r="AV284" s="20">
        <f>Teilnehmer!D26</f>
        <v/>
      </c>
      <c r="AW284" s="18" t="n"/>
      <c r="AX284" s="18" t="n"/>
      <c r="AY284" s="18" t="n"/>
      <c r="AZ284" s="18" t="n"/>
    </row>
    <row r="285" ht="14.25" customHeight="1">
      <c r="A285" s="22" t="n"/>
      <c r="B285" s="23" t="inlineStr">
        <is>
          <t>Name</t>
        </is>
      </c>
      <c r="C285" s="24" t="n"/>
      <c r="D285" s="24" t="n"/>
      <c r="E285" s="24" t="n"/>
      <c r="F285" s="24" t="n"/>
      <c r="G285" s="24" t="n"/>
      <c r="H285" s="22" t="n"/>
      <c r="I285" s="22" t="n"/>
      <c r="J285" s="23" t="inlineStr">
        <is>
          <t>Vorname</t>
        </is>
      </c>
      <c r="K285" s="24" t="n"/>
      <c r="L285" s="24" t="n"/>
      <c r="M285" s="24" t="n"/>
      <c r="N285" s="24" t="n"/>
      <c r="O285" s="24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AC285" s="22" t="n"/>
      <c r="AD285" s="23" t="inlineStr">
        <is>
          <t>Name</t>
        </is>
      </c>
      <c r="AE285" s="24" t="n"/>
      <c r="AF285" s="24" t="n"/>
      <c r="AG285" s="24" t="n"/>
      <c r="AH285" s="24" t="n"/>
      <c r="AI285" s="24" t="n"/>
      <c r="AJ285" s="22" t="n"/>
      <c r="AK285" s="22" t="n"/>
      <c r="AL285" s="23" t="inlineStr">
        <is>
          <t>Vorname</t>
        </is>
      </c>
      <c r="AM285" s="24" t="n"/>
      <c r="AN285" s="24" t="n"/>
      <c r="AO285" s="24" t="n"/>
      <c r="AP285" s="24" t="n"/>
      <c r="AQ285" s="24" t="n"/>
      <c r="AR285" s="22" t="n"/>
      <c r="AS285" s="22" t="n"/>
      <c r="AT285" s="22" t="n"/>
      <c r="AU285" s="22" t="n"/>
      <c r="AV285" s="22" t="n"/>
      <c r="AW285" s="22" t="n"/>
      <c r="AX285" s="22" t="n"/>
      <c r="AY285" s="22" t="n"/>
      <c r="AZ285" s="22" t="n"/>
    </row>
    <row r="286"/>
    <row r="287" ht="14.25" customHeight="1">
      <c r="A287" s="25" t="inlineStr">
        <is>
          <t>hat an dem 9 Unterrichtseinheiten (Nettounterrichtszeit 9 x 45 Minuten) umfassenden Lehrgang</t>
        </is>
      </c>
      <c r="AC287" s="25" t="inlineStr">
        <is>
          <t>hat an dem 9 Unterrichtseinheiten (Nettounterrichtszeit 9 x 45 Minuten) umfassenden Lehrgang</t>
        </is>
      </c>
    </row>
    <row r="288"/>
    <row r="289" ht="14.25" customHeight="1">
      <c r="A289" s="25" t="inlineStr">
        <is>
          <t>am</t>
        </is>
      </c>
      <c r="C289" s="20">
        <f>Teilnehmer!C3</f>
        <v/>
      </c>
      <c r="D289" s="18" t="n"/>
      <c r="E289" s="18" t="n"/>
      <c r="F289" s="18" t="n"/>
      <c r="G289" s="18" t="n"/>
      <c r="H289" s="25" t="inlineStr">
        <is>
          <t>in der Zeit von</t>
        </is>
      </c>
      <c r="M289" s="26">
        <f>Teilnehmer!F3</f>
        <v/>
      </c>
      <c r="N289" s="18" t="n"/>
      <c r="O289" s="18" t="n"/>
      <c r="P289" s="25" t="inlineStr">
        <is>
          <t>Uhr bis</t>
        </is>
      </c>
      <c r="S289" s="26">
        <f>Teilnehmer!H3</f>
        <v/>
      </c>
      <c r="T289" s="18" t="n"/>
      <c r="U289" s="18" t="n"/>
      <c r="V289" s="25" t="inlineStr">
        <is>
          <t>Uhr</t>
        </is>
      </c>
      <c r="AC289" s="25" t="inlineStr">
        <is>
          <t>am</t>
        </is>
      </c>
      <c r="AE289" s="20">
        <f>Teilnehmer!C3</f>
        <v/>
      </c>
      <c r="AF289" s="18" t="n"/>
      <c r="AG289" s="18" t="n"/>
      <c r="AH289" s="18" t="n"/>
      <c r="AI289" s="18" t="n"/>
      <c r="AJ289" s="25" t="inlineStr">
        <is>
          <t>in der Zeit von</t>
        </is>
      </c>
      <c r="AO289" s="26">
        <f>Teilnehmer!F3</f>
        <v/>
      </c>
      <c r="AP289" s="18" t="n"/>
      <c r="AQ289" s="18" t="n"/>
      <c r="AR289" s="25" t="inlineStr">
        <is>
          <t>Uhr bis</t>
        </is>
      </c>
      <c r="AU289" s="26">
        <f>Teilnehmer!H3</f>
        <v/>
      </c>
      <c r="AV289" s="18" t="n"/>
      <c r="AW289" s="18" t="n"/>
      <c r="AX289" s="25" t="inlineStr">
        <is>
          <t>Uhr</t>
        </is>
      </c>
    </row>
    <row r="290"/>
    <row r="291" ht="14.25" customHeight="1">
      <c r="A291" s="25" t="inlineStr">
        <is>
          <t>unter der Leitung von</t>
        </is>
      </c>
      <c r="H291" s="17">
        <f>Teilnehmer!C4</f>
        <v/>
      </c>
      <c r="I291" s="28" t="n"/>
      <c r="J291" s="28" t="n"/>
      <c r="K291" s="28" t="n"/>
      <c r="L291" s="28" t="n"/>
      <c r="M291" s="28" t="n"/>
      <c r="N291" s="28" t="n"/>
      <c r="O291" s="28" t="n"/>
      <c r="Q291" s="25" t="inlineStr">
        <is>
          <t>erfolgreich teilgenommen.</t>
        </is>
      </c>
      <c r="AC291" s="25" t="inlineStr">
        <is>
          <t>unter der Leitung von</t>
        </is>
      </c>
      <c r="AJ291" s="17">
        <f>Teilnehmer!C4</f>
        <v/>
      </c>
      <c r="AK291" s="28" t="n"/>
      <c r="AL291" s="28" t="n"/>
      <c r="AM291" s="28" t="n"/>
      <c r="AN291" s="28" t="n"/>
      <c r="AO291" s="28" t="n"/>
      <c r="AP291" s="28" t="n"/>
      <c r="AQ291" s="28" t="n"/>
      <c r="AS291" s="25" t="inlineStr">
        <is>
          <t>erfolgreich teilgenommen.</t>
        </is>
      </c>
    </row>
    <row r="292"/>
    <row r="293" ht="14.25" customHeight="1">
      <c r="A293" s="25" t="inlineStr">
        <is>
          <t>Teilnehmerunterlagen ausgehändigt:</t>
        </is>
      </c>
      <c r="N293" s="29" t="inlineStr">
        <is>
          <t>X</t>
        </is>
      </c>
      <c r="O293" s="25" t="inlineStr">
        <is>
          <t>ja</t>
        </is>
      </c>
      <c r="R293" s="29" t="n"/>
      <c r="S293" s="25" t="inlineStr">
        <is>
          <t>nein</t>
        </is>
      </c>
      <c r="AC293" s="25" t="inlineStr">
        <is>
          <t>Teilnehmerunterlagen ausgehändigt:</t>
        </is>
      </c>
      <c r="AP293" s="29" t="inlineStr">
        <is>
          <t>X</t>
        </is>
      </c>
      <c r="AQ293" s="25" t="inlineStr">
        <is>
          <t>ja</t>
        </is>
      </c>
      <c r="AT293" s="29" t="n"/>
      <c r="AU293" s="25" t="inlineStr">
        <is>
          <t>nein</t>
        </is>
      </c>
    </row>
    <row r="294"/>
    <row r="295"/>
    <row r="296" ht="14.25" customHeight="1">
      <c r="A296" s="30" t="inlineStr">
        <is>
          <t>Rastatt</t>
        </is>
      </c>
      <c r="G296" s="25" t="inlineStr">
        <is>
          <t>,den</t>
        </is>
      </c>
      <c r="I296" s="21">
        <f>Teilnehmer!C3</f>
        <v/>
      </c>
      <c r="AC296" s="30" t="inlineStr">
        <is>
          <t>Rastatt</t>
        </is>
      </c>
      <c r="AI296" s="25" t="inlineStr">
        <is>
          <t>,den</t>
        </is>
      </c>
      <c r="AK296" s="21">
        <f>Teilnehmer!C3</f>
        <v/>
      </c>
    </row>
    <row r="297" ht="14.25" customHeight="1">
      <c r="A297" s="23" t="inlineStr">
        <is>
          <t>Ort</t>
        </is>
      </c>
      <c r="B297" s="24" t="n"/>
      <c r="C297" s="24" t="n"/>
      <c r="D297" s="24" t="n"/>
      <c r="E297" s="24" t="n"/>
      <c r="F297" s="31" t="n"/>
      <c r="I297" s="23" t="inlineStr">
        <is>
          <t>Datum</t>
        </is>
      </c>
      <c r="J297" s="24" t="n"/>
      <c r="K297" s="24" t="n"/>
      <c r="L297" s="24" t="n"/>
      <c r="M297" s="24" t="n"/>
      <c r="O297" s="23" t="inlineStr">
        <is>
          <t>Unterschrift der Lehrkraft</t>
        </is>
      </c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AC297" s="23" t="inlineStr">
        <is>
          <t>Ort</t>
        </is>
      </c>
      <c r="AD297" s="24" t="n"/>
      <c r="AE297" s="24" t="n"/>
      <c r="AF297" s="24" t="n"/>
      <c r="AG297" s="24" t="n"/>
      <c r="AH297" s="31" t="n"/>
      <c r="AK297" s="23" t="inlineStr">
        <is>
          <t>Datum</t>
        </is>
      </c>
      <c r="AL297" s="24" t="n"/>
      <c r="AM297" s="24" t="n"/>
      <c r="AN297" s="24" t="n"/>
      <c r="AO297" s="24" t="n"/>
      <c r="AQ297" s="23" t="inlineStr">
        <is>
          <t>Unterschrift der Lehrkraft</t>
        </is>
      </c>
      <c r="AR297" s="24" t="n"/>
      <c r="AS297" s="24" t="n"/>
      <c r="AT297" s="24" t="n"/>
      <c r="AU297" s="24" t="n"/>
      <c r="AV297" s="24" t="n"/>
      <c r="AW297" s="24" t="n"/>
      <c r="AX297" s="24" t="n"/>
      <c r="AY297" s="24" t="n"/>
      <c r="AZ297" s="24" t="n"/>
    </row>
    <row r="298" ht="14.25" customHeight="1">
      <c r="A298" s="32" t="n"/>
      <c r="B298" s="32" t="n"/>
      <c r="C298" s="32" t="n"/>
      <c r="D298" s="32" t="n"/>
      <c r="E298" s="32" t="n"/>
      <c r="F298" s="31" t="n"/>
      <c r="I298" s="32" t="n"/>
      <c r="J298" s="32" t="n"/>
      <c r="K298" s="32" t="n"/>
      <c r="L298" s="32" t="n"/>
      <c r="M298" s="32" t="n"/>
      <c r="O298" s="32" t="n"/>
      <c r="P298" s="32" t="n"/>
      <c r="Q298" s="32" t="n"/>
      <c r="R298" s="32" t="n"/>
      <c r="S298" s="32" t="n"/>
      <c r="T298" s="32" t="n"/>
      <c r="U298" s="32" t="n"/>
      <c r="V298" s="32" t="n"/>
      <c r="W298" s="32" t="n"/>
      <c r="X298" s="32" t="n"/>
      <c r="AC298" s="32" t="n"/>
      <c r="AD298" s="32" t="n"/>
      <c r="AE298" s="32" t="n"/>
      <c r="AF298" s="32" t="n"/>
      <c r="AG298" s="32" t="n"/>
      <c r="AH298" s="31" t="n"/>
      <c r="AK298" s="32" t="n"/>
      <c r="AL298" s="32" t="n"/>
      <c r="AM298" s="32" t="n"/>
      <c r="AN298" s="32" t="n"/>
      <c r="AO298" s="32" t="n"/>
      <c r="AQ298" s="32" t="n"/>
      <c r="AR298" s="32" t="n"/>
      <c r="AS298" s="32" t="n"/>
      <c r="AT298" s="32" t="n"/>
      <c r="AU298" s="32" t="n"/>
      <c r="AV298" s="32" t="n"/>
      <c r="AW298" s="32" t="n"/>
      <c r="AX298" s="32" t="n"/>
      <c r="AY298" s="32" t="n"/>
      <c r="AZ298" s="32" t="n"/>
    </row>
    <row r="299" ht="14.25" customHeight="1">
      <c r="A299" s="32" t="n"/>
      <c r="B299" s="32" t="n"/>
      <c r="C299" s="32" t="n"/>
      <c r="D299" s="32" t="n"/>
      <c r="E299" s="32" t="n"/>
      <c r="F299" s="31" t="n"/>
      <c r="I299" s="32" t="n"/>
      <c r="J299" s="32" t="n"/>
      <c r="K299" s="32" t="n"/>
      <c r="L299" s="32" t="n"/>
      <c r="M299" s="32" t="n"/>
      <c r="O299" s="32" t="n"/>
      <c r="P299" s="32" t="n"/>
      <c r="Q299" s="32" t="n"/>
      <c r="R299" s="32" t="n"/>
      <c r="S299" s="32" t="n"/>
      <c r="T299" s="32" t="n"/>
      <c r="U299" s="32" t="n"/>
      <c r="V299" s="32" t="n"/>
      <c r="W299" s="32" t="n"/>
      <c r="X299" s="32" t="n"/>
      <c r="AC299" s="32" t="n"/>
      <c r="AD299" s="32" t="n"/>
      <c r="AE299" s="32" t="n"/>
      <c r="AF299" s="32" t="n"/>
      <c r="AG299" s="32" t="n"/>
      <c r="AH299" s="31" t="n"/>
      <c r="AK299" s="32" t="n"/>
      <c r="AL299" s="32" t="n"/>
      <c r="AM299" s="32" t="n"/>
      <c r="AN299" s="32" t="n"/>
      <c r="AO299" s="32" t="n"/>
      <c r="AQ299" s="32" t="n"/>
      <c r="AR299" s="32" t="n"/>
      <c r="AS299" s="32" t="n"/>
      <c r="AT299" s="32" t="n"/>
      <c r="AU299" s="32" t="n"/>
      <c r="AV299" s="32" t="n"/>
      <c r="AW299" s="32" t="n"/>
      <c r="AX299" s="32" t="n"/>
      <c r="AY299" s="32" t="n"/>
      <c r="AZ299" s="32" t="n"/>
    </row>
    <row r="300" ht="14.25" customHeight="1">
      <c r="A300" s="32" t="n"/>
      <c r="B300" s="32" t="n"/>
      <c r="C300" s="32" t="n"/>
      <c r="D300" s="32" t="n"/>
      <c r="E300" s="32" t="n"/>
      <c r="F300" s="31" t="n"/>
      <c r="I300" s="32" t="n"/>
      <c r="J300" s="32" t="n"/>
      <c r="K300" s="32" t="n"/>
      <c r="L300" s="32" t="n"/>
      <c r="M300" s="32" t="n"/>
      <c r="O300" s="23" t="inlineStr">
        <is>
          <t>Ausbildungsverantwortlicher</t>
        </is>
      </c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AC300" s="32" t="n"/>
      <c r="AD300" s="32" t="n"/>
      <c r="AE300" s="32" t="n"/>
      <c r="AF300" s="32" t="n"/>
      <c r="AG300" s="32" t="n"/>
      <c r="AH300" s="31" t="n"/>
      <c r="AK300" s="32" t="n"/>
      <c r="AL300" s="32" t="n"/>
      <c r="AM300" s="32" t="n"/>
      <c r="AN300" s="32" t="n"/>
      <c r="AO300" s="32" t="n"/>
      <c r="AQ300" s="23" t="inlineStr">
        <is>
          <t>Ausbildungsverantwortlicher</t>
        </is>
      </c>
      <c r="AR300" s="24" t="n"/>
      <c r="AS300" s="24" t="n"/>
      <c r="AT300" s="24" t="n"/>
      <c r="AU300" s="24" t="n"/>
      <c r="AV300" s="24" t="n"/>
      <c r="AW300" s="24" t="n"/>
      <c r="AX300" s="24" t="n"/>
      <c r="AY300" s="24" t="n"/>
      <c r="AZ300" s="24" t="n"/>
    </row>
    <row r="301"/>
    <row r="302" ht="14.25" customHeight="1">
      <c r="A302" s="25" t="inlineStr">
        <is>
          <t>Name der ermächtigten Stelle:</t>
        </is>
      </c>
      <c r="K302" s="30" t="inlineStr">
        <is>
          <t>Mercedes-Benz AG, Werk Rastatt</t>
        </is>
      </c>
      <c r="AC302" s="25" t="inlineStr">
        <is>
          <t>Name der ermächtigten Stelle:</t>
        </is>
      </c>
      <c r="AM302" s="30" t="inlineStr">
        <is>
          <t>Mercedes-Benz AG, Werk Rastatt</t>
        </is>
      </c>
    </row>
    <row r="303"/>
    <row r="304" ht="14.25" customHeight="1">
      <c r="A304" s="25" t="inlineStr">
        <is>
          <t>Kennziffer der ermächtigten Stelle</t>
        </is>
      </c>
      <c r="AC304" s="25" t="inlineStr">
        <is>
          <t>Kennziffer der ermächtigten Stelle</t>
        </is>
      </c>
    </row>
    <row r="305" ht="14.25" customHeight="1">
      <c r="A305" s="25" t="inlineStr">
        <is>
          <t>gemäß § 26 DGUV Vorschri_x001F_ft:</t>
        </is>
      </c>
      <c r="K305" s="33" t="inlineStr">
        <is>
          <t>7.0103</t>
        </is>
      </c>
      <c r="AC305" s="25" t="inlineStr">
        <is>
          <t>gemäß § 26 DGUV Vorschri_x001F_ft:</t>
        </is>
      </c>
      <c r="AM305" s="33" t="inlineStr">
        <is>
          <t>7.0103</t>
        </is>
      </c>
    </row>
    <row r="306"/>
    <row r="307" ht="14.25" customHeight="1">
      <c r="A307" s="25" t="inlineStr">
        <is>
          <t>Registriernummer der Schulung:</t>
        </is>
      </c>
      <c r="K307" s="30">
        <f>Teilnehmer!C5</f>
        <v/>
      </c>
      <c r="AC307" s="25" t="inlineStr">
        <is>
          <t>Registriernummer der Schulung:</t>
        </is>
      </c>
      <c r="AM307" s="30">
        <f>Teilnehmer!C5</f>
        <v/>
      </c>
    </row>
    <row r="308"/>
    <row r="309" ht="14.25" customHeight="1">
      <c r="A309" s="34" t="inlineStr">
        <is>
          <t>* Die Teilnahme an der Ausbildung in betrieblicher Erster Hilfe gilt als Schulung in Erster Hilfe gem. § 19 Fahrerlaubnis- Verordnung</t>
        </is>
      </c>
      <c r="AC309" s="34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34" t="inlineStr">
        <is>
          <t xml:space="preserve">   (FeV).</t>
        </is>
      </c>
      <c r="AC310" s="34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18" t="n"/>
      <c r="C323" s="18" t="n"/>
      <c r="D323" s="18" t="n"/>
      <c r="E323" s="18" t="n"/>
      <c r="F323" s="18" t="n"/>
      <c r="G323" s="18" t="n"/>
      <c r="H323" s="18" t="n"/>
      <c r="I323" s="17">
        <f>Teilnehmer!C27</f>
        <v/>
      </c>
      <c r="J323" s="18" t="n"/>
      <c r="K323" s="18" t="n"/>
      <c r="L323" s="18" t="n"/>
      <c r="M323" s="18" t="n"/>
      <c r="N323" s="18" t="n"/>
      <c r="O323" s="18" t="n"/>
      <c r="P323" s="18" t="n"/>
      <c r="S323" s="19" t="inlineStr">
        <is>
          <t>geb. am:</t>
        </is>
      </c>
      <c r="T323" s="20">
        <f>Teilnehmer!D27</f>
        <v/>
      </c>
      <c r="U323" s="18" t="n"/>
      <c r="V323" s="18" t="n"/>
      <c r="W323" s="18" t="n"/>
      <c r="X323" s="18" t="n"/>
      <c r="AC323" s="17">
        <f>Teilnehmer!B28</f>
        <v/>
      </c>
      <c r="AD323" s="18" t="n"/>
      <c r="AE323" s="18" t="n"/>
      <c r="AF323" s="18" t="n"/>
      <c r="AG323" s="18" t="n"/>
      <c r="AH323" s="18" t="n"/>
      <c r="AI323" s="18" t="n"/>
      <c r="AJ323" s="18" t="n"/>
      <c r="AK323" s="17">
        <f>Teilnehmer!C28</f>
        <v/>
      </c>
      <c r="AL323" s="18" t="n"/>
      <c r="AM323" s="18" t="n"/>
      <c r="AN323" s="18" t="n"/>
      <c r="AO323" s="18" t="n"/>
      <c r="AP323" s="18" t="n"/>
      <c r="AQ323" s="18" t="n"/>
      <c r="AR323" s="18" t="n"/>
      <c r="AU323" s="19" t="inlineStr">
        <is>
          <t>geb. am:</t>
        </is>
      </c>
      <c r="AV323" s="20">
        <f>Teilnehmer!D28</f>
        <v/>
      </c>
      <c r="AW323" s="18" t="n"/>
      <c r="AX323" s="18" t="n"/>
      <c r="AY323" s="18" t="n"/>
      <c r="AZ323" s="18" t="n"/>
    </row>
    <row r="324" ht="14.25" customHeight="1">
      <c r="A324" s="22" t="n"/>
      <c r="B324" s="23" t="inlineStr">
        <is>
          <t>Name</t>
        </is>
      </c>
      <c r="C324" s="24" t="n"/>
      <c r="D324" s="24" t="n"/>
      <c r="E324" s="24" t="n"/>
      <c r="F324" s="24" t="n"/>
      <c r="G324" s="24" t="n"/>
      <c r="H324" s="22" t="n"/>
      <c r="I324" s="22" t="n"/>
      <c r="J324" s="23" t="inlineStr">
        <is>
          <t>Vorname</t>
        </is>
      </c>
      <c r="K324" s="24" t="n"/>
      <c r="L324" s="24" t="n"/>
      <c r="M324" s="24" t="n"/>
      <c r="N324" s="24" t="n"/>
      <c r="O324" s="24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AC324" s="22" t="n"/>
      <c r="AD324" s="23" t="inlineStr">
        <is>
          <t>Name</t>
        </is>
      </c>
      <c r="AE324" s="24" t="n"/>
      <c r="AF324" s="24" t="n"/>
      <c r="AG324" s="24" t="n"/>
      <c r="AH324" s="24" t="n"/>
      <c r="AI324" s="24" t="n"/>
      <c r="AJ324" s="22" t="n"/>
      <c r="AK324" s="22" t="n"/>
      <c r="AL324" s="23" t="inlineStr">
        <is>
          <t>Vorname</t>
        </is>
      </c>
      <c r="AM324" s="24" t="n"/>
      <c r="AN324" s="24" t="n"/>
      <c r="AO324" s="24" t="n"/>
      <c r="AP324" s="24" t="n"/>
      <c r="AQ324" s="24" t="n"/>
      <c r="AR324" s="22" t="n"/>
      <c r="AS324" s="22" t="n"/>
      <c r="AT324" s="22" t="n"/>
      <c r="AU324" s="22" t="n"/>
      <c r="AV324" s="22" t="n"/>
      <c r="AW324" s="22" t="n"/>
      <c r="AX324" s="22" t="n"/>
      <c r="AY324" s="22" t="n"/>
      <c r="AZ324" s="22" t="n"/>
    </row>
    <row r="325"/>
    <row r="326" ht="14.25" customHeight="1">
      <c r="A326" s="25" t="inlineStr">
        <is>
          <t>hat an dem 9 Unterrichtseinheiten (Nettounterrichtszeit 9 x 45 Minuten) umfassenden Lehrgang</t>
        </is>
      </c>
      <c r="AC326" s="25" t="inlineStr">
        <is>
          <t>hat an dem 9 Unterrichtseinheiten (Nettounterrichtszeit 9 x 45 Minuten) umfassenden Lehrgang</t>
        </is>
      </c>
    </row>
    <row r="327"/>
    <row r="328" ht="14.25" customHeight="1">
      <c r="A328" s="25" t="inlineStr">
        <is>
          <t>am</t>
        </is>
      </c>
      <c r="C328" s="20">
        <f>Teilnehmer!C3</f>
        <v/>
      </c>
      <c r="D328" s="18" t="n"/>
      <c r="E328" s="18" t="n"/>
      <c r="F328" s="18" t="n"/>
      <c r="G328" s="18" t="n"/>
      <c r="H328" s="25" t="inlineStr">
        <is>
          <t>in der Zeit von</t>
        </is>
      </c>
      <c r="M328" s="26">
        <f>Teilnehmer!F3</f>
        <v/>
      </c>
      <c r="N328" s="18" t="n"/>
      <c r="O328" s="18" t="n"/>
      <c r="P328" s="25" t="inlineStr">
        <is>
          <t>Uhr bis</t>
        </is>
      </c>
      <c r="S328" s="26">
        <f>Teilnehmer!H3</f>
        <v/>
      </c>
      <c r="T328" s="18" t="n"/>
      <c r="U328" s="18" t="n"/>
      <c r="V328" s="25" t="inlineStr">
        <is>
          <t>Uhr</t>
        </is>
      </c>
      <c r="AC328" s="25" t="inlineStr">
        <is>
          <t>am</t>
        </is>
      </c>
      <c r="AE328" s="20">
        <f>Teilnehmer!C3</f>
        <v/>
      </c>
      <c r="AF328" s="18" t="n"/>
      <c r="AG328" s="18" t="n"/>
      <c r="AH328" s="18" t="n"/>
      <c r="AI328" s="18" t="n"/>
      <c r="AJ328" s="25" t="inlineStr">
        <is>
          <t>in der Zeit von</t>
        </is>
      </c>
      <c r="AO328" s="26">
        <f>Teilnehmer!F3</f>
        <v/>
      </c>
      <c r="AP328" s="18" t="n"/>
      <c r="AQ328" s="18" t="n"/>
      <c r="AR328" s="25" t="inlineStr">
        <is>
          <t>Uhr bis</t>
        </is>
      </c>
      <c r="AU328" s="26">
        <f>Teilnehmer!H3</f>
        <v/>
      </c>
      <c r="AV328" s="18" t="n"/>
      <c r="AW328" s="18" t="n"/>
      <c r="AX328" s="25" t="inlineStr">
        <is>
          <t>Uhr</t>
        </is>
      </c>
    </row>
    <row r="329"/>
    <row r="330" ht="14.25" customHeight="1">
      <c r="A330" s="25" t="inlineStr">
        <is>
          <t>unter der Leitung von</t>
        </is>
      </c>
      <c r="H330" s="17">
        <f>Teilnehmer!C4</f>
        <v/>
      </c>
      <c r="I330" s="28" t="n"/>
      <c r="J330" s="28" t="n"/>
      <c r="K330" s="28" t="n"/>
      <c r="L330" s="28" t="n"/>
      <c r="M330" s="28" t="n"/>
      <c r="N330" s="28" t="n"/>
      <c r="O330" s="28" t="n"/>
      <c r="Q330" s="25" t="inlineStr">
        <is>
          <t>erfolgreich teilgenommen.</t>
        </is>
      </c>
      <c r="AC330" s="25" t="inlineStr">
        <is>
          <t>unter der Leitung von</t>
        </is>
      </c>
      <c r="AJ330" s="17">
        <f>Teilnehmer!C4</f>
        <v/>
      </c>
      <c r="AK330" s="28" t="n"/>
      <c r="AL330" s="28" t="n"/>
      <c r="AM330" s="28" t="n"/>
      <c r="AN330" s="28" t="n"/>
      <c r="AO330" s="28" t="n"/>
      <c r="AP330" s="28" t="n"/>
      <c r="AQ330" s="28" t="n"/>
      <c r="AS330" s="25" t="inlineStr">
        <is>
          <t>erfolgreich teilgenommen.</t>
        </is>
      </c>
    </row>
    <row r="331"/>
    <row r="332" ht="14.25" customHeight="1">
      <c r="A332" s="25" t="inlineStr">
        <is>
          <t>Teilnehmerunterlagen ausgehändigt:</t>
        </is>
      </c>
      <c r="N332" s="29" t="inlineStr">
        <is>
          <t>X</t>
        </is>
      </c>
      <c r="O332" s="25" t="inlineStr">
        <is>
          <t>ja</t>
        </is>
      </c>
      <c r="R332" s="29" t="n"/>
      <c r="S332" s="25" t="inlineStr">
        <is>
          <t>nein</t>
        </is>
      </c>
      <c r="AC332" s="25" t="inlineStr">
        <is>
          <t>Teilnehmerunterlagen ausgehändigt:</t>
        </is>
      </c>
      <c r="AP332" s="29" t="inlineStr">
        <is>
          <t>X</t>
        </is>
      </c>
      <c r="AQ332" s="25" t="inlineStr">
        <is>
          <t>ja</t>
        </is>
      </c>
      <c r="AT332" s="29" t="n"/>
      <c r="AU332" s="25" t="inlineStr">
        <is>
          <t>nein</t>
        </is>
      </c>
    </row>
    <row r="333"/>
    <row r="334"/>
    <row r="335" ht="14.25" customHeight="1">
      <c r="A335" s="30" t="inlineStr">
        <is>
          <t>Rastatt</t>
        </is>
      </c>
      <c r="G335" s="25" t="inlineStr">
        <is>
          <t>,den</t>
        </is>
      </c>
      <c r="I335" s="21">
        <f>Teilnehmer!C3</f>
        <v/>
      </c>
      <c r="AC335" s="30" t="inlineStr">
        <is>
          <t>Rastatt</t>
        </is>
      </c>
      <c r="AI335" s="25" t="inlineStr">
        <is>
          <t>,den</t>
        </is>
      </c>
      <c r="AK335" s="21">
        <f>Teilnehmer!C3</f>
        <v/>
      </c>
    </row>
    <row r="336" ht="14.25" customHeight="1">
      <c r="A336" s="23" t="inlineStr">
        <is>
          <t>Ort</t>
        </is>
      </c>
      <c r="B336" s="24" t="n"/>
      <c r="C336" s="24" t="n"/>
      <c r="D336" s="24" t="n"/>
      <c r="E336" s="24" t="n"/>
      <c r="F336" s="31" t="n"/>
      <c r="I336" s="23" t="inlineStr">
        <is>
          <t>Datum</t>
        </is>
      </c>
      <c r="J336" s="24" t="n"/>
      <c r="K336" s="24" t="n"/>
      <c r="L336" s="24" t="n"/>
      <c r="M336" s="24" t="n"/>
      <c r="O336" s="23" t="inlineStr">
        <is>
          <t>Unterschrift der Lehrkraft</t>
        </is>
      </c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AC336" s="23" t="inlineStr">
        <is>
          <t>Ort</t>
        </is>
      </c>
      <c r="AD336" s="24" t="n"/>
      <c r="AE336" s="24" t="n"/>
      <c r="AF336" s="24" t="n"/>
      <c r="AG336" s="24" t="n"/>
      <c r="AH336" s="31" t="n"/>
      <c r="AK336" s="23" t="inlineStr">
        <is>
          <t>Datum</t>
        </is>
      </c>
      <c r="AL336" s="24" t="n"/>
      <c r="AM336" s="24" t="n"/>
      <c r="AN336" s="24" t="n"/>
      <c r="AO336" s="24" t="n"/>
      <c r="AQ336" s="23" t="inlineStr">
        <is>
          <t>Unterschrift der Lehrkraft</t>
        </is>
      </c>
      <c r="AR336" s="24" t="n"/>
      <c r="AS336" s="24" t="n"/>
      <c r="AT336" s="24" t="n"/>
      <c r="AU336" s="24" t="n"/>
      <c r="AV336" s="24" t="n"/>
      <c r="AW336" s="24" t="n"/>
      <c r="AX336" s="24" t="n"/>
      <c r="AY336" s="24" t="n"/>
      <c r="AZ336" s="24" t="n"/>
    </row>
    <row r="337" ht="14.25" customHeight="1">
      <c r="A337" s="32" t="n"/>
      <c r="B337" s="32" t="n"/>
      <c r="C337" s="32" t="n"/>
      <c r="D337" s="32" t="n"/>
      <c r="E337" s="32" t="n"/>
      <c r="F337" s="31" t="n"/>
      <c r="I337" s="32" t="n"/>
      <c r="J337" s="32" t="n"/>
      <c r="K337" s="32" t="n"/>
      <c r="L337" s="32" t="n"/>
      <c r="M337" s="32" t="n"/>
      <c r="O337" s="32" t="n"/>
      <c r="P337" s="32" t="n"/>
      <c r="Q337" s="32" t="n"/>
      <c r="R337" s="32" t="n"/>
      <c r="S337" s="32" t="n"/>
      <c r="T337" s="32" t="n"/>
      <c r="U337" s="32" t="n"/>
      <c r="V337" s="32" t="n"/>
      <c r="W337" s="32" t="n"/>
      <c r="X337" s="32" t="n"/>
      <c r="AC337" s="32" t="n"/>
      <c r="AD337" s="32" t="n"/>
      <c r="AE337" s="32" t="n"/>
      <c r="AF337" s="32" t="n"/>
      <c r="AG337" s="32" t="n"/>
      <c r="AH337" s="31" t="n"/>
      <c r="AK337" s="32" t="n"/>
      <c r="AL337" s="32" t="n"/>
      <c r="AM337" s="32" t="n"/>
      <c r="AN337" s="32" t="n"/>
      <c r="AO337" s="32" t="n"/>
      <c r="AQ337" s="32" t="n"/>
      <c r="AR337" s="32" t="n"/>
      <c r="AS337" s="32" t="n"/>
      <c r="AT337" s="32" t="n"/>
      <c r="AU337" s="32" t="n"/>
      <c r="AV337" s="32" t="n"/>
      <c r="AW337" s="32" t="n"/>
      <c r="AX337" s="32" t="n"/>
      <c r="AY337" s="32" t="n"/>
      <c r="AZ337" s="32" t="n"/>
    </row>
    <row r="338" ht="14.25" customHeight="1">
      <c r="A338" s="32" t="n"/>
      <c r="B338" s="32" t="n"/>
      <c r="C338" s="32" t="n"/>
      <c r="D338" s="32" t="n"/>
      <c r="E338" s="32" t="n"/>
      <c r="F338" s="31" t="n"/>
      <c r="I338" s="32" t="n"/>
      <c r="J338" s="32" t="n"/>
      <c r="K338" s="32" t="n"/>
      <c r="L338" s="32" t="n"/>
      <c r="M338" s="32" t="n"/>
      <c r="O338" s="32" t="n"/>
      <c r="P338" s="32" t="n"/>
      <c r="Q338" s="32" t="n"/>
      <c r="R338" s="32" t="n"/>
      <c r="S338" s="32" t="n"/>
      <c r="T338" s="32" t="n"/>
      <c r="U338" s="32" t="n"/>
      <c r="V338" s="32" t="n"/>
      <c r="W338" s="32" t="n"/>
      <c r="X338" s="32" t="n"/>
      <c r="AC338" s="32" t="n"/>
      <c r="AD338" s="32" t="n"/>
      <c r="AE338" s="32" t="n"/>
      <c r="AF338" s="32" t="n"/>
      <c r="AG338" s="32" t="n"/>
      <c r="AH338" s="31" t="n"/>
      <c r="AK338" s="32" t="n"/>
      <c r="AL338" s="32" t="n"/>
      <c r="AM338" s="32" t="n"/>
      <c r="AN338" s="32" t="n"/>
      <c r="AO338" s="32" t="n"/>
      <c r="AQ338" s="32" t="n"/>
      <c r="AR338" s="32" t="n"/>
      <c r="AS338" s="32" t="n"/>
      <c r="AT338" s="32" t="n"/>
      <c r="AU338" s="32" t="n"/>
      <c r="AV338" s="32" t="n"/>
      <c r="AW338" s="32" t="n"/>
      <c r="AX338" s="32" t="n"/>
      <c r="AY338" s="32" t="n"/>
      <c r="AZ338" s="32" t="n"/>
    </row>
    <row r="339" ht="14.25" customHeight="1">
      <c r="A339" s="32" t="n"/>
      <c r="B339" s="32" t="n"/>
      <c r="C339" s="32" t="n"/>
      <c r="D339" s="32" t="n"/>
      <c r="E339" s="32" t="n"/>
      <c r="F339" s="31" t="n"/>
      <c r="I339" s="32" t="n"/>
      <c r="J339" s="32" t="n"/>
      <c r="K339" s="32" t="n"/>
      <c r="L339" s="32" t="n"/>
      <c r="M339" s="32" t="n"/>
      <c r="O339" s="23" t="inlineStr">
        <is>
          <t>Ausbildungsverantwortlicher</t>
        </is>
      </c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AC339" s="32" t="n"/>
      <c r="AD339" s="32" t="n"/>
      <c r="AE339" s="32" t="n"/>
      <c r="AF339" s="32" t="n"/>
      <c r="AG339" s="32" t="n"/>
      <c r="AH339" s="31" t="n"/>
      <c r="AK339" s="32" t="n"/>
      <c r="AL339" s="32" t="n"/>
      <c r="AM339" s="32" t="n"/>
      <c r="AN339" s="32" t="n"/>
      <c r="AO339" s="32" t="n"/>
      <c r="AQ339" s="23" t="inlineStr">
        <is>
          <t>Ausbildungsverantwortlicher</t>
        </is>
      </c>
      <c r="AR339" s="24" t="n"/>
      <c r="AS339" s="24" t="n"/>
      <c r="AT339" s="24" t="n"/>
      <c r="AU339" s="24" t="n"/>
      <c r="AV339" s="24" t="n"/>
      <c r="AW339" s="24" t="n"/>
      <c r="AX339" s="24" t="n"/>
      <c r="AY339" s="24" t="n"/>
      <c r="AZ339" s="24" t="n"/>
    </row>
    <row r="340"/>
    <row r="341" ht="14.25" customHeight="1">
      <c r="A341" s="25" t="inlineStr">
        <is>
          <t>Name der ermächtigten Stelle:</t>
        </is>
      </c>
      <c r="K341" s="30" t="inlineStr">
        <is>
          <t>Mercedes-Benz AG, Werk Rastatt</t>
        </is>
      </c>
      <c r="AC341" s="25" t="inlineStr">
        <is>
          <t>Name der ermächtigten Stelle:</t>
        </is>
      </c>
      <c r="AM341" s="30" t="inlineStr">
        <is>
          <t>Mercedes-Benz AG, Werk Rastatt</t>
        </is>
      </c>
    </row>
    <row r="342"/>
    <row r="343" ht="14.25" customHeight="1">
      <c r="A343" s="25" t="inlineStr">
        <is>
          <t>Kennziffer der ermächtigten Stelle</t>
        </is>
      </c>
      <c r="AC343" s="25" t="inlineStr">
        <is>
          <t>Kennziffer der ermächtigten Stelle</t>
        </is>
      </c>
    </row>
    <row r="344" ht="14.25" customHeight="1">
      <c r="A344" s="25" t="inlineStr">
        <is>
          <t>gemäß § 26 DGUV Vorschri_x001F_ft:</t>
        </is>
      </c>
      <c r="K344" s="33" t="inlineStr">
        <is>
          <t>7.0103</t>
        </is>
      </c>
      <c r="AC344" s="25" t="inlineStr">
        <is>
          <t>gemäß § 26 DGUV Vorschri_x001F_ft:</t>
        </is>
      </c>
      <c r="AM344" s="33" t="inlineStr">
        <is>
          <t>7.0103</t>
        </is>
      </c>
    </row>
    <row r="345"/>
    <row r="346" ht="14.25" customHeight="1">
      <c r="A346" s="25" t="inlineStr">
        <is>
          <t>Registriernummer der Schulung:</t>
        </is>
      </c>
      <c r="K346" s="30">
        <f>Teilnehmer!C5</f>
        <v/>
      </c>
      <c r="AC346" s="25" t="inlineStr">
        <is>
          <t>Registriernummer der Schulung:</t>
        </is>
      </c>
      <c r="AM346" s="30">
        <f>Teilnehmer!C5</f>
        <v/>
      </c>
    </row>
    <row r="347"/>
    <row r="348" ht="14.25" customHeight="1">
      <c r="A348" s="34" t="inlineStr">
        <is>
          <t>* Die Teilnahme an der Ausbildung in betrieblicher Erster Hilfe gilt als Schulung in Erster Hilfe gem. § 19 Fahrerlaubnis- Verordnung</t>
        </is>
      </c>
      <c r="AC348" s="34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34" t="inlineStr">
        <is>
          <t xml:space="preserve">   (FeV).</t>
        </is>
      </c>
      <c r="AC349" s="34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18" t="n"/>
      <c r="C362" s="18" t="n"/>
      <c r="D362" s="18" t="n"/>
      <c r="E362" s="18" t="n"/>
      <c r="F362" s="18" t="n"/>
      <c r="G362" s="18" t="n"/>
      <c r="H362" s="18" t="n"/>
      <c r="I362" s="17">
        <f>Teilnehmer!C29</f>
        <v/>
      </c>
      <c r="J362" s="18" t="n"/>
      <c r="K362" s="18" t="n"/>
      <c r="L362" s="18" t="n"/>
      <c r="M362" s="18" t="n"/>
      <c r="N362" s="18" t="n"/>
      <c r="O362" s="18" t="n"/>
      <c r="P362" s="18" t="n"/>
      <c r="S362" s="19" t="inlineStr">
        <is>
          <t>geb. am:</t>
        </is>
      </c>
      <c r="T362" s="20">
        <f>Teilnehmer!D29</f>
        <v/>
      </c>
      <c r="U362" s="18" t="n"/>
      <c r="V362" s="18" t="n"/>
      <c r="W362" s="18" t="n"/>
      <c r="X362" s="18" t="n"/>
      <c r="AC362" s="17">
        <f>Teilnehmer!B30</f>
        <v/>
      </c>
      <c r="AD362" s="18" t="n"/>
      <c r="AE362" s="18" t="n"/>
      <c r="AF362" s="18" t="n"/>
      <c r="AG362" s="18" t="n"/>
      <c r="AH362" s="18" t="n"/>
      <c r="AI362" s="18" t="n"/>
      <c r="AJ362" s="18" t="n"/>
      <c r="AK362" s="17">
        <f>Teilnehmer!C30</f>
        <v/>
      </c>
      <c r="AL362" s="18" t="n"/>
      <c r="AM362" s="18" t="n"/>
      <c r="AN362" s="18" t="n"/>
      <c r="AO362" s="18" t="n"/>
      <c r="AP362" s="18" t="n"/>
      <c r="AQ362" s="18" t="n"/>
      <c r="AR362" s="18" t="n"/>
      <c r="AU362" s="19" t="inlineStr">
        <is>
          <t>geb. am:</t>
        </is>
      </c>
      <c r="AV362" s="20">
        <f>Teilnehmer!D30</f>
        <v/>
      </c>
      <c r="AW362" s="18" t="n"/>
      <c r="AX362" s="18" t="n"/>
      <c r="AY362" s="18" t="n"/>
      <c r="AZ362" s="18" t="n"/>
    </row>
    <row r="363" ht="14.25" customHeight="1">
      <c r="A363" s="22" t="n"/>
      <c r="B363" s="23" t="inlineStr">
        <is>
          <t>Name</t>
        </is>
      </c>
      <c r="C363" s="24" t="n"/>
      <c r="D363" s="24" t="n"/>
      <c r="E363" s="24" t="n"/>
      <c r="F363" s="24" t="n"/>
      <c r="G363" s="24" t="n"/>
      <c r="H363" s="22" t="n"/>
      <c r="I363" s="22" t="n"/>
      <c r="J363" s="23" t="inlineStr">
        <is>
          <t>Vorname</t>
        </is>
      </c>
      <c r="K363" s="24" t="n"/>
      <c r="L363" s="24" t="n"/>
      <c r="M363" s="24" t="n"/>
      <c r="N363" s="24" t="n"/>
      <c r="O363" s="24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AC363" s="22" t="n"/>
      <c r="AD363" s="23" t="inlineStr">
        <is>
          <t>Name</t>
        </is>
      </c>
      <c r="AE363" s="24" t="n"/>
      <c r="AF363" s="24" t="n"/>
      <c r="AG363" s="24" t="n"/>
      <c r="AH363" s="24" t="n"/>
      <c r="AI363" s="24" t="n"/>
      <c r="AJ363" s="22" t="n"/>
      <c r="AK363" s="22" t="n"/>
      <c r="AL363" s="23" t="inlineStr">
        <is>
          <t>Vorname</t>
        </is>
      </c>
      <c r="AM363" s="24" t="n"/>
      <c r="AN363" s="24" t="n"/>
      <c r="AO363" s="24" t="n"/>
      <c r="AP363" s="24" t="n"/>
      <c r="AQ363" s="24" t="n"/>
      <c r="AR363" s="22" t="n"/>
      <c r="AS363" s="22" t="n"/>
      <c r="AT363" s="22" t="n"/>
      <c r="AU363" s="22" t="n"/>
      <c r="AV363" s="22" t="n"/>
      <c r="AW363" s="22" t="n"/>
      <c r="AX363" s="22" t="n"/>
      <c r="AY363" s="22" t="n"/>
      <c r="AZ363" s="22" t="n"/>
    </row>
    <row r="364"/>
    <row r="365" ht="14.25" customHeight="1">
      <c r="A365" s="25" t="inlineStr">
        <is>
          <t>hat an dem 9 Unterrichtseinheiten (Nettounterrichtszeit 9 x 45 Minuten) umfassenden Lehrgang</t>
        </is>
      </c>
      <c r="AC365" s="25" t="inlineStr">
        <is>
          <t>hat an dem 9 Unterrichtseinheiten (Nettounterrichtszeit 9 x 45 Minuten) umfassenden Lehrgang</t>
        </is>
      </c>
    </row>
    <row r="366"/>
    <row r="367" ht="14.25" customHeight="1">
      <c r="A367" s="25" t="inlineStr">
        <is>
          <t>am</t>
        </is>
      </c>
      <c r="C367" s="20">
        <f>Teilnehmer!C3</f>
        <v/>
      </c>
      <c r="D367" s="18" t="n"/>
      <c r="E367" s="18" t="n"/>
      <c r="F367" s="18" t="n"/>
      <c r="G367" s="18" t="n"/>
      <c r="H367" s="25" t="inlineStr">
        <is>
          <t>in der Zeit von</t>
        </is>
      </c>
      <c r="M367" s="26">
        <f>Teilnehmer!F3</f>
        <v/>
      </c>
      <c r="N367" s="18" t="n"/>
      <c r="O367" s="18" t="n"/>
      <c r="P367" s="25" t="inlineStr">
        <is>
          <t>Uhr bis</t>
        </is>
      </c>
      <c r="S367" s="26">
        <f>Teilnehmer!H3</f>
        <v/>
      </c>
      <c r="T367" s="18" t="n"/>
      <c r="U367" s="18" t="n"/>
      <c r="V367" s="25" t="inlineStr">
        <is>
          <t>Uhr</t>
        </is>
      </c>
      <c r="AC367" s="25" t="inlineStr">
        <is>
          <t>am</t>
        </is>
      </c>
      <c r="AE367" s="20">
        <f>Teilnehmer!C3</f>
        <v/>
      </c>
      <c r="AF367" s="18" t="n"/>
      <c r="AG367" s="18" t="n"/>
      <c r="AH367" s="18" t="n"/>
      <c r="AI367" s="18" t="n"/>
      <c r="AJ367" s="25" t="inlineStr">
        <is>
          <t>in der Zeit von</t>
        </is>
      </c>
      <c r="AO367" s="26">
        <f>Teilnehmer!F3</f>
        <v/>
      </c>
      <c r="AP367" s="18" t="n"/>
      <c r="AQ367" s="18" t="n"/>
      <c r="AR367" s="25" t="inlineStr">
        <is>
          <t>Uhr bis</t>
        </is>
      </c>
      <c r="AU367" s="26">
        <f>Teilnehmer!H3</f>
        <v/>
      </c>
      <c r="AV367" s="18" t="n"/>
      <c r="AW367" s="18" t="n"/>
      <c r="AX367" s="25" t="inlineStr">
        <is>
          <t>Uhr</t>
        </is>
      </c>
    </row>
    <row r="368"/>
    <row r="369" ht="14.25" customHeight="1">
      <c r="A369" s="25" t="inlineStr">
        <is>
          <t>unter der Leitung von</t>
        </is>
      </c>
      <c r="H369" s="17">
        <f>Teilnehmer!C4</f>
        <v/>
      </c>
      <c r="I369" s="28" t="n"/>
      <c r="J369" s="28" t="n"/>
      <c r="K369" s="28" t="n"/>
      <c r="L369" s="28" t="n"/>
      <c r="M369" s="28" t="n"/>
      <c r="N369" s="28" t="n"/>
      <c r="O369" s="28" t="n"/>
      <c r="Q369" s="25" t="inlineStr">
        <is>
          <t>erfolgreich teilgenommen.</t>
        </is>
      </c>
      <c r="AC369" s="25" t="inlineStr">
        <is>
          <t>unter der Leitung von</t>
        </is>
      </c>
      <c r="AJ369" s="17">
        <f>Teilnehmer!C4</f>
        <v/>
      </c>
      <c r="AK369" s="28" t="n"/>
      <c r="AL369" s="28" t="n"/>
      <c r="AM369" s="28" t="n"/>
      <c r="AN369" s="28" t="n"/>
      <c r="AO369" s="28" t="n"/>
      <c r="AP369" s="28" t="n"/>
      <c r="AQ369" s="28" t="n"/>
      <c r="AS369" s="25" t="inlineStr">
        <is>
          <t>erfolgreich teilgenommen.</t>
        </is>
      </c>
    </row>
    <row r="370"/>
    <row r="371" ht="14.25" customHeight="1">
      <c r="A371" s="25" t="inlineStr">
        <is>
          <t>Teilnehmerunterlagen ausgehändigt:</t>
        </is>
      </c>
      <c r="N371" s="29" t="inlineStr">
        <is>
          <t>X</t>
        </is>
      </c>
      <c r="O371" s="25" t="inlineStr">
        <is>
          <t>ja</t>
        </is>
      </c>
      <c r="R371" s="29" t="n"/>
      <c r="S371" s="25" t="inlineStr">
        <is>
          <t>nein</t>
        </is>
      </c>
      <c r="AC371" s="25" t="inlineStr">
        <is>
          <t>Teilnehmerunterlagen ausgehändigt:</t>
        </is>
      </c>
      <c r="AP371" s="29" t="inlineStr">
        <is>
          <t>X</t>
        </is>
      </c>
      <c r="AQ371" s="25" t="inlineStr">
        <is>
          <t>ja</t>
        </is>
      </c>
      <c r="AT371" s="29" t="n"/>
      <c r="AU371" s="25" t="inlineStr">
        <is>
          <t>nein</t>
        </is>
      </c>
    </row>
    <row r="372"/>
    <row r="373"/>
    <row r="374" ht="14.25" customHeight="1">
      <c r="A374" s="30" t="inlineStr">
        <is>
          <t>Rastatt</t>
        </is>
      </c>
      <c r="G374" s="25" t="inlineStr">
        <is>
          <t>,den</t>
        </is>
      </c>
      <c r="I374" s="21">
        <f>Teilnehmer!C3</f>
        <v/>
      </c>
      <c r="AC374" s="30" t="inlineStr">
        <is>
          <t>Rastatt</t>
        </is>
      </c>
      <c r="AI374" s="25" t="inlineStr">
        <is>
          <t>,den</t>
        </is>
      </c>
      <c r="AK374" s="21">
        <f>Teilnehmer!C3</f>
        <v/>
      </c>
    </row>
    <row r="375" ht="14.25" customHeight="1">
      <c r="A375" s="23" t="inlineStr">
        <is>
          <t>Ort</t>
        </is>
      </c>
      <c r="B375" s="24" t="n"/>
      <c r="C375" s="24" t="n"/>
      <c r="D375" s="24" t="n"/>
      <c r="E375" s="24" t="n"/>
      <c r="F375" s="31" t="n"/>
      <c r="I375" s="23" t="inlineStr">
        <is>
          <t>Datum</t>
        </is>
      </c>
      <c r="J375" s="24" t="n"/>
      <c r="K375" s="24" t="n"/>
      <c r="L375" s="24" t="n"/>
      <c r="M375" s="24" t="n"/>
      <c r="O375" s="23" t="inlineStr">
        <is>
          <t>Unterschrift der Lehrkraft</t>
        </is>
      </c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AC375" s="23" t="inlineStr">
        <is>
          <t>Ort</t>
        </is>
      </c>
      <c r="AD375" s="24" t="n"/>
      <c r="AE375" s="24" t="n"/>
      <c r="AF375" s="24" t="n"/>
      <c r="AG375" s="24" t="n"/>
      <c r="AH375" s="31" t="n"/>
      <c r="AK375" s="23" t="inlineStr">
        <is>
          <t>Datum</t>
        </is>
      </c>
      <c r="AL375" s="24" t="n"/>
      <c r="AM375" s="24" t="n"/>
      <c r="AN375" s="24" t="n"/>
      <c r="AO375" s="24" t="n"/>
      <c r="AQ375" s="23" t="inlineStr">
        <is>
          <t>Unterschrift der Lehrkraft</t>
        </is>
      </c>
      <c r="AR375" s="24" t="n"/>
      <c r="AS375" s="24" t="n"/>
      <c r="AT375" s="24" t="n"/>
      <c r="AU375" s="24" t="n"/>
      <c r="AV375" s="24" t="n"/>
      <c r="AW375" s="24" t="n"/>
      <c r="AX375" s="24" t="n"/>
      <c r="AY375" s="24" t="n"/>
      <c r="AZ375" s="24" t="n"/>
    </row>
    <row r="376" ht="14.25" customHeight="1">
      <c r="A376" s="32" t="n"/>
      <c r="B376" s="32" t="n"/>
      <c r="C376" s="32" t="n"/>
      <c r="D376" s="32" t="n"/>
      <c r="E376" s="32" t="n"/>
      <c r="F376" s="31" t="n"/>
      <c r="I376" s="32" t="n"/>
      <c r="J376" s="32" t="n"/>
      <c r="K376" s="32" t="n"/>
      <c r="L376" s="32" t="n"/>
      <c r="M376" s="32" t="n"/>
      <c r="O376" s="32" t="n"/>
      <c r="P376" s="32" t="n"/>
      <c r="Q376" s="32" t="n"/>
      <c r="R376" s="32" t="n"/>
      <c r="S376" s="32" t="n"/>
      <c r="T376" s="32" t="n"/>
      <c r="U376" s="32" t="n"/>
      <c r="V376" s="32" t="n"/>
      <c r="W376" s="32" t="n"/>
      <c r="X376" s="32" t="n"/>
      <c r="AC376" s="32" t="n"/>
      <c r="AD376" s="32" t="n"/>
      <c r="AE376" s="32" t="n"/>
      <c r="AF376" s="32" t="n"/>
      <c r="AG376" s="32" t="n"/>
      <c r="AH376" s="31" t="n"/>
      <c r="AK376" s="32" t="n"/>
      <c r="AL376" s="32" t="n"/>
      <c r="AM376" s="32" t="n"/>
      <c r="AN376" s="32" t="n"/>
      <c r="AO376" s="32" t="n"/>
      <c r="AQ376" s="32" t="n"/>
      <c r="AR376" s="32" t="n"/>
      <c r="AS376" s="32" t="n"/>
      <c r="AT376" s="32" t="n"/>
      <c r="AU376" s="32" t="n"/>
      <c r="AV376" s="32" t="n"/>
      <c r="AW376" s="32" t="n"/>
      <c r="AX376" s="32" t="n"/>
      <c r="AY376" s="32" t="n"/>
      <c r="AZ376" s="32" t="n"/>
    </row>
    <row r="377" ht="14.25" customHeight="1">
      <c r="A377" s="32" t="n"/>
      <c r="B377" s="32" t="n"/>
      <c r="C377" s="32" t="n"/>
      <c r="D377" s="32" t="n"/>
      <c r="E377" s="32" t="n"/>
      <c r="F377" s="31" t="n"/>
      <c r="I377" s="32" t="n"/>
      <c r="J377" s="32" t="n"/>
      <c r="K377" s="32" t="n"/>
      <c r="L377" s="32" t="n"/>
      <c r="M377" s="32" t="n"/>
      <c r="O377" s="32" t="n"/>
      <c r="P377" s="32" t="n"/>
      <c r="Q377" s="32" t="n"/>
      <c r="R377" s="32" t="n"/>
      <c r="S377" s="32" t="n"/>
      <c r="T377" s="32" t="n"/>
      <c r="U377" s="32" t="n"/>
      <c r="V377" s="32" t="n"/>
      <c r="W377" s="32" t="n"/>
      <c r="X377" s="32" t="n"/>
      <c r="AC377" s="32" t="n"/>
      <c r="AD377" s="32" t="n"/>
      <c r="AE377" s="32" t="n"/>
      <c r="AF377" s="32" t="n"/>
      <c r="AG377" s="32" t="n"/>
      <c r="AH377" s="31" t="n"/>
      <c r="AK377" s="32" t="n"/>
      <c r="AL377" s="32" t="n"/>
      <c r="AM377" s="32" t="n"/>
      <c r="AN377" s="32" t="n"/>
      <c r="AO377" s="32" t="n"/>
      <c r="AQ377" s="32" t="n"/>
      <c r="AR377" s="32" t="n"/>
      <c r="AS377" s="32" t="n"/>
      <c r="AT377" s="32" t="n"/>
      <c r="AU377" s="32" t="n"/>
      <c r="AV377" s="32" t="n"/>
      <c r="AW377" s="32" t="n"/>
      <c r="AX377" s="32" t="n"/>
      <c r="AY377" s="32" t="n"/>
      <c r="AZ377" s="32" t="n"/>
    </row>
    <row r="378" ht="14.25" customHeight="1">
      <c r="A378" s="32" t="n"/>
      <c r="B378" s="32" t="n"/>
      <c r="C378" s="32" t="n"/>
      <c r="D378" s="32" t="n"/>
      <c r="E378" s="32" t="n"/>
      <c r="F378" s="31" t="n"/>
      <c r="I378" s="32" t="n"/>
      <c r="J378" s="32" t="n"/>
      <c r="K378" s="32" t="n"/>
      <c r="L378" s="32" t="n"/>
      <c r="M378" s="32" t="n"/>
      <c r="O378" s="23" t="inlineStr">
        <is>
          <t>Ausbildungsverantwortlicher</t>
        </is>
      </c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AC378" s="32" t="n"/>
      <c r="AD378" s="32" t="n"/>
      <c r="AE378" s="32" t="n"/>
      <c r="AF378" s="32" t="n"/>
      <c r="AG378" s="32" t="n"/>
      <c r="AH378" s="31" t="n"/>
      <c r="AK378" s="32" t="n"/>
      <c r="AL378" s="32" t="n"/>
      <c r="AM378" s="32" t="n"/>
      <c r="AN378" s="32" t="n"/>
      <c r="AO378" s="32" t="n"/>
      <c r="AQ378" s="23" t="inlineStr">
        <is>
          <t>Ausbildungsverantwortlicher</t>
        </is>
      </c>
      <c r="AR378" s="24" t="n"/>
      <c r="AS378" s="24" t="n"/>
      <c r="AT378" s="24" t="n"/>
      <c r="AU378" s="24" t="n"/>
      <c r="AV378" s="24" t="n"/>
      <c r="AW378" s="24" t="n"/>
      <c r="AX378" s="24" t="n"/>
      <c r="AY378" s="24" t="n"/>
      <c r="AZ378" s="24" t="n"/>
    </row>
    <row r="379"/>
    <row r="380" ht="14.25" customHeight="1">
      <c r="A380" s="25" t="inlineStr">
        <is>
          <t>Name der ermächtigten Stelle:</t>
        </is>
      </c>
      <c r="K380" s="30" t="inlineStr">
        <is>
          <t>Mercedes-Benz AG, Werk Rastatt</t>
        </is>
      </c>
      <c r="AC380" s="25" t="inlineStr">
        <is>
          <t>Name der ermächtigten Stelle:</t>
        </is>
      </c>
      <c r="AM380" s="30" t="inlineStr">
        <is>
          <t>Mercedes-Benz AG, Werk Rastatt</t>
        </is>
      </c>
    </row>
    <row r="381"/>
    <row r="382" ht="14.25" customHeight="1">
      <c r="A382" s="25" t="inlineStr">
        <is>
          <t>Kennziffer der ermächtigten Stelle</t>
        </is>
      </c>
      <c r="AC382" s="25" t="inlineStr">
        <is>
          <t>Kennziffer der ermächtigten Stelle</t>
        </is>
      </c>
    </row>
    <row r="383" ht="14.25" customHeight="1">
      <c r="A383" s="25" t="inlineStr">
        <is>
          <t>gemäß § 26 DGUV Vorschri_x001F_ft:</t>
        </is>
      </c>
      <c r="K383" s="33" t="inlineStr">
        <is>
          <t>7.0103</t>
        </is>
      </c>
      <c r="AC383" s="25" t="inlineStr">
        <is>
          <t>gemäß § 26 DGUV Vorschri_x001F_ft:</t>
        </is>
      </c>
      <c r="AM383" s="33" t="inlineStr">
        <is>
          <t>7.0103</t>
        </is>
      </c>
    </row>
    <row r="384"/>
    <row r="385" ht="14.25" customHeight="1">
      <c r="A385" s="25" t="inlineStr">
        <is>
          <t>Registriernummer der Schulung:</t>
        </is>
      </c>
      <c r="K385" s="30">
        <f>Teilnehmer!C5</f>
        <v/>
      </c>
      <c r="AC385" s="25" t="inlineStr">
        <is>
          <t>Registriernummer der Schulung:</t>
        </is>
      </c>
      <c r="AM385" s="30">
        <f>Teilnehmer!C5</f>
        <v/>
      </c>
    </row>
    <row r="386"/>
    <row r="387" ht="14.25" customHeight="1">
      <c r="A387" s="34" t="inlineStr">
        <is>
          <t>* Die Teilnahme an der Ausbildung in betrieblicher Erster Hilfe gilt als Schulung in Erster Hilfe gem. § 19 Fahrerlaubnis- Verordnung</t>
        </is>
      </c>
      <c r="AC387" s="34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34" t="inlineStr">
        <is>
          <t xml:space="preserve">   (FeV).</t>
        </is>
      </c>
      <c r="AC388" s="34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AE172:AI172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I50:P50"/>
    <mergeCell ref="S328:U328"/>
    <mergeCell ref="AQ102:AZ102"/>
    <mergeCell ref="AU367:AW367"/>
    <mergeCell ref="I140:M140"/>
    <mergeCell ref="AV128:AZ128"/>
  </mergeCells>
  <pageMargins left="0.3149606299212598" right="0.3149606299212598" top="0.3937007874015748" bottom="0.3937007874015748" header="0.3149606299212598" footer="0.3149606299212598"/>
  <pageSetup orientation="landscape" paperSize="8" fitToWidth="0"/>
  <rowBreaks count="8" manualBreakCount="8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5" t="n"/>
      <c r="J2">
        <f>IF(Teilnehmer!F3,Teilnehmer!F3,"")</f>
        <v/>
      </c>
    </row>
    <row r="3" ht="38.25" customHeight="1">
      <c r="D3" s="35" t="n"/>
    </row>
    <row r="4" ht="38.25" customHeight="1">
      <c r="D4" s="36" t="n"/>
    </row>
    <row r="5" ht="42" customHeight="1">
      <c r="B5" s="37" t="inlineStr">
        <is>
          <t>Mercedes Benz AG</t>
        </is>
      </c>
      <c r="D5" s="38" t="inlineStr">
        <is>
          <t>BG-Metall Nord-Süd</t>
        </is>
      </c>
    </row>
    <row r="6" ht="41.25" customHeight="1">
      <c r="B6" s="39" t="inlineStr">
        <is>
          <t>Mercedsstr. 1</t>
        </is>
      </c>
    </row>
    <row r="7" ht="32.25" customHeight="1">
      <c r="B7" s="39" t="inlineStr">
        <is>
          <t>76437 Rastatt</t>
        </is>
      </c>
      <c r="D7" s="40" t="n">
        <v>2.26255682176001e+19</v>
      </c>
    </row>
    <row r="8" ht="41.25" customHeight="1">
      <c r="D8" s="41" t="n"/>
    </row>
    <row r="9" ht="34.5" customHeight="1">
      <c r="D9" s="36" t="n"/>
    </row>
    <row r="10" ht="39.75" customHeight="1">
      <c r="A10" s="42" t="n">
        <v>1</v>
      </c>
      <c r="B10" s="43">
        <f>CONCATENATE(Teilnehmer!B11,", ",Teilnehmer!C11)</f>
        <v/>
      </c>
      <c r="C10" s="44">
        <f>IF(Teilnehmer!D11,Teilnehmer!D11,"")</f>
        <v/>
      </c>
      <c r="D10" s="45" t="n"/>
    </row>
    <row r="11" ht="39.75" customHeight="1">
      <c r="A11" s="42" t="n">
        <v>2</v>
      </c>
      <c r="B11" s="43">
        <f>CONCATENATE(Teilnehmer!B12,", ",Teilnehmer!C12)</f>
        <v/>
      </c>
      <c r="C11" s="44">
        <f>IF(Teilnehmer!D12,Teilnehmer!D12,"")</f>
        <v/>
      </c>
      <c r="D11" s="46" t="n"/>
    </row>
    <row r="12" ht="39.75" customHeight="1">
      <c r="A12" s="42" t="n">
        <v>3</v>
      </c>
      <c r="B12" s="43">
        <f>CONCATENATE(Teilnehmer!B13,", ",Teilnehmer!C13)</f>
        <v/>
      </c>
      <c r="C12" s="44">
        <f>IF(Teilnehmer!D13,Teilnehmer!D13,"")</f>
        <v/>
      </c>
      <c r="D12" s="45" t="n"/>
    </row>
    <row r="13" ht="39.75" customHeight="1">
      <c r="A13" s="42" t="n">
        <v>4</v>
      </c>
      <c r="B13" s="43">
        <f>CONCATENATE(Teilnehmer!B14,", ",Teilnehmer!C14)</f>
        <v/>
      </c>
      <c r="C13" s="44">
        <f>IF(Teilnehmer!D14,Teilnehmer!D14,"")</f>
        <v/>
      </c>
      <c r="D13" s="45" t="n"/>
    </row>
    <row r="14" ht="40.5" customHeight="1">
      <c r="A14" s="42" t="n">
        <v>5</v>
      </c>
      <c r="B14" s="43">
        <f>CONCATENATE(Teilnehmer!B15,", ",Teilnehmer!C15)</f>
        <v/>
      </c>
      <c r="C14" s="44">
        <f>IF(Teilnehmer!D15,Teilnehmer!D15,"")</f>
        <v/>
      </c>
      <c r="D14" s="45" t="n"/>
    </row>
    <row r="15" ht="39.75" customHeight="1">
      <c r="A15" s="42" t="n">
        <v>6</v>
      </c>
      <c r="B15" s="43">
        <f>CONCATENATE(Teilnehmer!B16,", ",Teilnehmer!C16)</f>
        <v/>
      </c>
      <c r="C15" s="44">
        <f>IF(Teilnehmer!D16,Teilnehmer!D16,"")</f>
        <v/>
      </c>
      <c r="D15" s="45" t="n"/>
    </row>
    <row r="16" ht="40.5" customHeight="1">
      <c r="A16" s="42" t="n">
        <v>7</v>
      </c>
      <c r="B16" s="43">
        <f>CONCATENATE(Teilnehmer!B17,", ",Teilnehmer!C17)</f>
        <v/>
      </c>
      <c r="C16" s="44">
        <f>IF(Teilnehmer!D17,Teilnehmer!D17,"")</f>
        <v/>
      </c>
      <c r="D16" s="45" t="n"/>
    </row>
    <row r="17" ht="39" customHeight="1">
      <c r="A17" s="42" t="n">
        <v>8</v>
      </c>
      <c r="B17" s="43">
        <f>CONCATENATE(Teilnehmer!B18,", ",Teilnehmer!C18)</f>
        <v/>
      </c>
      <c r="C17" s="44">
        <f>IF(Teilnehmer!D18,Teilnehmer!D18,"")</f>
        <v/>
      </c>
      <c r="D17" s="45" t="n"/>
    </row>
    <row r="18" ht="39.75" customHeight="1">
      <c r="A18" s="42" t="n">
        <v>9</v>
      </c>
      <c r="B18" s="43">
        <f>CONCATENATE(Teilnehmer!B19,", ",Teilnehmer!C19)</f>
        <v/>
      </c>
      <c r="C18" s="44">
        <f>IF(Teilnehmer!D19,Teilnehmer!D19,"")</f>
        <v/>
      </c>
      <c r="D18" s="47" t="n"/>
    </row>
    <row r="19" ht="39.75" customHeight="1">
      <c r="A19" s="42" t="n">
        <v>10</v>
      </c>
      <c r="B19" s="43">
        <f>CONCATENATE(Teilnehmer!B20,", ",Teilnehmer!C20)</f>
        <v/>
      </c>
      <c r="C19" s="44">
        <f>IF(Teilnehmer!D20,Teilnehmer!D20,"")</f>
        <v/>
      </c>
      <c r="D19" s="45" t="n"/>
    </row>
    <row r="20" ht="42" customHeight="1"/>
    <row r="21" ht="27.75" customHeight="1"/>
    <row r="22" ht="32.25" customHeight="1">
      <c r="B22" s="48" t="inlineStr">
        <is>
          <t>Dr. Schmidt, Sabine</t>
        </is>
      </c>
    </row>
    <row r="23" ht="32.25" customHeight="1">
      <c r="B23" s="48" t="inlineStr">
        <is>
          <t>07222/91-22111</t>
        </is>
      </c>
    </row>
    <row r="24" ht="32.25" customHeight="1">
      <c r="B24" s="49" t="inlineStr">
        <is>
          <t>sabine.m.schmidt@mercedes-benz.com</t>
        </is>
      </c>
      <c r="D24" s="50" t="n"/>
    </row>
    <row r="25" ht="30" customHeight="1">
      <c r="D25" s="51">
        <f>Teilnehmer!C3</f>
        <v/>
      </c>
    </row>
    <row r="26" ht="25.5" customHeight="1"/>
    <row r="27" ht="31.5" customHeight="1">
      <c r="C27" s="51" t="n"/>
    </row>
    <row r="28" ht="8.25" customHeight="1"/>
    <row r="29" ht="25.5" customHeight="1">
      <c r="C29" s="51">
        <f>Teilnehmer!C3</f>
        <v/>
      </c>
    </row>
    <row r="30" ht="16.5" customHeight="1"/>
    <row r="31" ht="25.5" customHeight="1">
      <c r="B31" s="52" t="inlineStr">
        <is>
          <t xml:space="preserve">  7.0103</t>
        </is>
      </c>
      <c r="C31" s="50">
        <f>Teilnehmer!C4</f>
        <v/>
      </c>
    </row>
    <row r="32" ht="21" customHeight="1">
      <c r="B32" s="53" t="n"/>
    </row>
    <row r="33" ht="26.25" customHeight="1">
      <c r="B33" s="54">
        <f>"  "&amp;Teilnehmer!C5</f>
        <v/>
      </c>
      <c r="C33" s="50" t="inlineStr">
        <is>
          <t>Mercedes Benz AG, PKW Werk</t>
        </is>
      </c>
    </row>
    <row r="34"/>
    <row r="35"/>
    <row r="36" ht="29.25" customHeight="1">
      <c r="C36" s="50" t="inlineStr">
        <is>
          <t>Mercedes Benz AG</t>
        </is>
      </c>
    </row>
    <row r="37" ht="29.25" customHeight="1">
      <c r="C37" s="50" t="inlineStr">
        <is>
          <t>Werksärztlicher Dienst</t>
        </is>
      </c>
    </row>
    <row r="38" ht="29.25" customHeight="1">
      <c r="C38" s="50" t="inlineStr">
        <is>
          <t>PKW-Werk Rastatt</t>
        </is>
      </c>
    </row>
    <row r="39" ht="29.25" customHeight="1">
      <c r="C39" s="50" t="inlineStr">
        <is>
          <t>Mercedesstraße 1</t>
        </is>
      </c>
    </row>
    <row r="40" ht="29.25" customHeight="1">
      <c r="B40" s="51">
        <f>Teilnehmer!C3</f>
        <v/>
      </c>
      <c r="C40" s="50" t="inlineStr">
        <is>
          <t>76437 Rastatt</t>
        </is>
      </c>
    </row>
    <row r="41" ht="21" customHeight="1"/>
    <row r="42" ht="9" customHeight="1"/>
    <row r="43" ht="9" customHeight="1"/>
  </sheetData>
  <mergeCells count="8">
    <mergeCell ref="C29:D29"/>
    <mergeCell ref="C38:D38"/>
    <mergeCell ref="C33:D33"/>
    <mergeCell ref="C37:D37"/>
    <mergeCell ref="C36:D36"/>
    <mergeCell ref="C40:D40"/>
    <mergeCell ref="C31:D31"/>
    <mergeCell ref="C39:D39"/>
  </mergeCells>
  <pageMargins left="0.1968503937007874" right="0.07874015748031496" top="0.3937007874015748" bottom="0.3937007874015748" header="0" footer="0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6F00"/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33203125" customWidth="1" min="5" max="5"/>
    <col width="4.33203125" customWidth="1" min="6" max="6"/>
  </cols>
  <sheetData>
    <row r="1" ht="42" customHeight="1"/>
    <row r="2" ht="41.25" customHeight="1">
      <c r="D2" s="35" t="n"/>
      <c r="J2">
        <f>IF(Teilnehmer!F3,Teilnehmer!F3,"")</f>
        <v/>
      </c>
    </row>
    <row r="3" ht="38.25" customHeight="1">
      <c r="D3" s="35" t="n"/>
    </row>
    <row r="4" ht="38.25" customHeight="1">
      <c r="D4" s="36" t="n"/>
    </row>
    <row r="5" ht="42" customHeight="1">
      <c r="B5" s="37" t="inlineStr">
        <is>
          <t>Mercedes Benz AG</t>
        </is>
      </c>
      <c r="D5" s="38" t="inlineStr">
        <is>
          <t>BG-Metall Nord-Süd</t>
        </is>
      </c>
    </row>
    <row r="6" ht="41.25" customHeight="1">
      <c r="B6" s="39" t="inlineStr">
        <is>
          <t>Mercedsstr. 1</t>
        </is>
      </c>
    </row>
    <row r="7" ht="32.25" customHeight="1">
      <c r="B7" s="39" t="inlineStr">
        <is>
          <t>76437 Rastatt</t>
        </is>
      </c>
      <c r="D7" s="40" t="n">
        <v>2.26255682176001e+19</v>
      </c>
    </row>
    <row r="8" ht="41.25" customHeight="1">
      <c r="D8" s="41" t="n"/>
    </row>
    <row r="9" ht="34.5" customHeight="1">
      <c r="D9" s="36" t="n"/>
    </row>
    <row r="10" ht="39.75" customHeight="1">
      <c r="A10" s="42" t="n">
        <v>1</v>
      </c>
      <c r="B10" s="43">
        <f>CONCATENATE(Teilnehmer!B21,", ",Teilnehmer!C21)</f>
        <v/>
      </c>
      <c r="C10" s="44">
        <f>IF(Teilnehmer!D21,Teilnehmer!D21,"")</f>
        <v/>
      </c>
      <c r="D10" s="45" t="n"/>
    </row>
    <row r="11" ht="39.75" customHeight="1">
      <c r="A11" s="42" t="n">
        <v>2</v>
      </c>
      <c r="B11" s="43">
        <f>CONCATENATE(Teilnehmer!B22,", ",Teilnehmer!C22)</f>
        <v/>
      </c>
      <c r="C11" s="44">
        <f>IF(Teilnehmer!D22,Teilnehmer!D22,"")</f>
        <v/>
      </c>
      <c r="D11" s="46" t="n"/>
    </row>
    <row r="12" ht="39.75" customHeight="1">
      <c r="A12" s="42" t="n">
        <v>3</v>
      </c>
      <c r="B12" s="43">
        <f>CONCATENATE(Teilnehmer!B23,", ",Teilnehmer!C23)</f>
        <v/>
      </c>
      <c r="C12" s="44">
        <f>IF(Teilnehmer!D23,Teilnehmer!D23,"")</f>
        <v/>
      </c>
      <c r="D12" s="45" t="n"/>
    </row>
    <row r="13" ht="39.75" customHeight="1">
      <c r="A13" s="42" t="n">
        <v>4</v>
      </c>
      <c r="B13" s="43">
        <f>CONCATENATE(Teilnehmer!B24,", ",Teilnehmer!C24)</f>
        <v/>
      </c>
      <c r="C13" s="44">
        <f>IF(Teilnehmer!D24,Teilnehmer!D24,"")</f>
        <v/>
      </c>
      <c r="D13" s="45" t="n"/>
    </row>
    <row r="14" ht="40.5" customHeight="1">
      <c r="A14" s="42" t="n">
        <v>5</v>
      </c>
      <c r="B14" s="43">
        <f>CONCATENATE(Teilnehmer!B25,", ",Teilnehmer!C25)</f>
        <v/>
      </c>
      <c r="C14" s="44">
        <f>IF(Teilnehmer!D25,Teilnehmer!D25,"")</f>
        <v/>
      </c>
      <c r="D14" s="45" t="n"/>
    </row>
    <row r="15" ht="39.75" customHeight="1">
      <c r="A15" s="42" t="n">
        <v>6</v>
      </c>
      <c r="B15" s="43">
        <f>CONCATENATE(Teilnehmer!B26,", ",Teilnehmer!C26)</f>
        <v/>
      </c>
      <c r="C15" s="44">
        <f>IF(Teilnehmer!D26,Teilnehmer!D26,"")</f>
        <v/>
      </c>
      <c r="D15" s="45" t="n"/>
    </row>
    <row r="16" ht="40.5" customHeight="1">
      <c r="A16" s="42" t="n">
        <v>7</v>
      </c>
      <c r="B16" s="43">
        <f>CONCATENATE(Teilnehmer!B27,", ",Teilnehmer!C27)</f>
        <v/>
      </c>
      <c r="C16" s="44">
        <f>IF(Teilnehmer!D27,Teilnehmer!D27,"")</f>
        <v/>
      </c>
      <c r="D16" s="45" t="n"/>
    </row>
    <row r="17" ht="39" customHeight="1">
      <c r="A17" s="42" t="n">
        <v>8</v>
      </c>
      <c r="B17" s="43">
        <f>CONCATENATE(Teilnehmer!B28,", ",Teilnehmer!C28)</f>
        <v/>
      </c>
      <c r="C17" s="44">
        <f>IF(Teilnehmer!D28,Teilnehmer!D28,"")</f>
        <v/>
      </c>
      <c r="D17" s="45" t="n"/>
    </row>
    <row r="18" ht="39.75" customHeight="1">
      <c r="A18" s="42" t="n">
        <v>9</v>
      </c>
      <c r="B18" s="43">
        <f>CONCATENATE(Teilnehmer!B29,", ",Teilnehmer!C29)</f>
        <v/>
      </c>
      <c r="C18" s="44">
        <f>IF(Teilnehmer!D29,Teilnehmer!D29,"")</f>
        <v/>
      </c>
      <c r="D18" s="47" t="n"/>
    </row>
    <row r="19" ht="39.75" customHeight="1">
      <c r="A19" s="42" t="n">
        <v>10</v>
      </c>
      <c r="B19" s="43">
        <f>CONCATENATE(Teilnehmer!B30,", ",Teilnehmer!C30)</f>
        <v/>
      </c>
      <c r="C19" s="44">
        <f>IF(Teilnehmer!D30,Teilnehmer!D30,"")</f>
        <v/>
      </c>
      <c r="D19" s="45" t="n"/>
    </row>
    <row r="20" ht="42" customHeight="1"/>
    <row r="21" ht="27.75" customHeight="1"/>
    <row r="22" ht="32.25" customHeight="1">
      <c r="B22" s="48" t="inlineStr">
        <is>
          <t>Dr. Schmidt, Sabine</t>
        </is>
      </c>
    </row>
    <row r="23" ht="32.25" customHeight="1">
      <c r="B23" s="48" t="inlineStr">
        <is>
          <t>07222/91-22111</t>
        </is>
      </c>
    </row>
    <row r="24" ht="32.25" customHeight="1">
      <c r="B24" s="55" t="inlineStr">
        <is>
          <t>sabine.m.schmidt@mercedes-benz.com</t>
        </is>
      </c>
      <c r="D24" s="50" t="n"/>
    </row>
    <row r="25" ht="30" customHeight="1">
      <c r="D25" s="51">
        <f>Teilnehmer!C3</f>
        <v/>
      </c>
    </row>
    <row r="26" ht="25.5" customHeight="1"/>
    <row r="27" ht="31.5" customHeight="1">
      <c r="C27" s="51" t="n"/>
    </row>
    <row r="28" ht="8.25" customHeight="1"/>
    <row r="29" ht="25.5" customHeight="1">
      <c r="C29" s="51">
        <f>Teilnehmer!C3</f>
        <v/>
      </c>
    </row>
    <row r="30" ht="16.5" customHeight="1"/>
    <row r="31" ht="25.5" customHeight="1">
      <c r="B31" s="52" t="inlineStr">
        <is>
          <t xml:space="preserve">  7.0103</t>
        </is>
      </c>
      <c r="C31" s="50">
        <f>Teilnehmer!C4</f>
        <v/>
      </c>
    </row>
    <row r="32" ht="21" customHeight="1">
      <c r="B32" s="53" t="n"/>
    </row>
    <row r="33" ht="26.25" customHeight="1">
      <c r="B33" s="54">
        <f>"  "&amp;Teilnehmer!C5</f>
        <v/>
      </c>
      <c r="C33" s="50" t="inlineStr">
        <is>
          <t>Mercedes Benz AG, PKW Werk</t>
        </is>
      </c>
    </row>
    <row r="34"/>
    <row r="35"/>
    <row r="36" ht="29.25" customHeight="1">
      <c r="C36" s="50" t="inlineStr">
        <is>
          <t>Mercedes Benz AG</t>
        </is>
      </c>
    </row>
    <row r="37" ht="29.25" customHeight="1">
      <c r="C37" s="50" t="inlineStr">
        <is>
          <t>Werksärztlicher Dienst</t>
        </is>
      </c>
    </row>
    <row r="38" ht="29.25" customHeight="1">
      <c r="C38" s="50" t="inlineStr">
        <is>
          <t>PKW-Werk Rastatt</t>
        </is>
      </c>
    </row>
    <row r="39" ht="29.25" customHeight="1">
      <c r="C39" s="50" t="inlineStr">
        <is>
          <t>Mercedesstraße 1</t>
        </is>
      </c>
    </row>
    <row r="40" ht="29.25" customHeight="1">
      <c r="B40" s="51">
        <f>Teilnehmer!C3</f>
        <v/>
      </c>
      <c r="C40" s="50" t="inlineStr">
        <is>
          <t>76437 Rastatt</t>
        </is>
      </c>
    </row>
    <row r="41" ht="21" customHeight="1"/>
    <row r="42" ht="9" customHeight="1"/>
    <row r="43" ht="9" customHeight="1"/>
  </sheetData>
  <mergeCells count="8">
    <mergeCell ref="C29:D29"/>
    <mergeCell ref="C38:D38"/>
    <mergeCell ref="C33:D33"/>
    <mergeCell ref="C37:D37"/>
    <mergeCell ref="C36:D36"/>
    <mergeCell ref="C40:D40"/>
    <mergeCell ref="C31:D31"/>
    <mergeCell ref="C39:D39"/>
  </mergeCells>
  <pageMargins left="0.1968503937007874" right="0.07874015748031496" top="0.3937007874015748" bottom="0.3937007874015748" header="0" footer="0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56" t="inlineStr">
        <is>
          <t>Lehrgangsdokumentation</t>
        </is>
      </c>
    </row>
    <row r="2" ht="18" customHeight="1">
      <c r="A2" s="57" t="inlineStr">
        <is>
          <t>gem. Abschnitt 2.4.6 DGUV Grundsatz 304-001</t>
        </is>
      </c>
    </row>
    <row r="4" ht="22" customHeight="1">
      <c r="B4" s="58" t="inlineStr">
        <is>
          <t>Angaben zur Ausbildungsstelle</t>
        </is>
      </c>
    </row>
    <row r="5" ht="14" customHeight="1">
      <c r="B5" s="59" t="inlineStr">
        <is>
          <t>Bezeichnung</t>
        </is>
      </c>
    </row>
    <row r="6" ht="20" customHeight="1">
      <c r="B6" s="60" t="inlineStr">
        <is>
          <t>Mercedes-Benz AG</t>
        </is>
      </c>
      <c r="E6" s="61" t="inlineStr">
        <is>
          <t>QSEH-Kennziffer:</t>
        </is>
      </c>
      <c r="F6" s="60">
        <f>Teilnehmer!F5</f>
        <v/>
      </c>
    </row>
    <row r="8" ht="14" customHeight="1">
      <c r="B8" s="59" t="inlineStr">
        <is>
          <t>Straße / Hausnr.</t>
        </is>
      </c>
    </row>
    <row r="9" ht="20" customHeight="1">
      <c r="B9" s="60" t="inlineStr">
        <is>
          <t>Mercedesstr. 1</t>
        </is>
      </c>
    </row>
    <row r="11" ht="14" customHeight="1">
      <c r="B11" s="59" t="inlineStr">
        <is>
          <t>PLZ / Ort</t>
        </is>
      </c>
    </row>
    <row r="12" ht="20" customHeight="1">
      <c r="B12" s="60" t="inlineStr">
        <is>
          <t>76437 Rastatt</t>
        </is>
      </c>
    </row>
    <row r="14" ht="22" customHeight="1">
      <c r="B14" s="58" t="inlineStr">
        <is>
          <t>Angaben zum Seminar</t>
        </is>
      </c>
    </row>
    <row r="15" ht="20" customHeight="1">
      <c r="B15" s="62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1" t="inlineStr">
        <is>
          <t>Registriernummer:</t>
        </is>
      </c>
      <c r="C17" s="60">
        <f>Teilnehmer!C5</f>
        <v/>
      </c>
      <c r="E17" s="61" t="inlineStr">
        <is>
          <t>Lehrgangsort:</t>
        </is>
      </c>
      <c r="F17" s="60" t="inlineStr">
        <is>
          <t>Mercedes-Benz AG, PKW-Werk Rastatt</t>
        </is>
      </c>
    </row>
    <row r="18" ht="14" customHeight="1">
      <c r="B18" s="59" t="inlineStr">
        <is>
          <t>(aus dem QSEH-Portal)</t>
        </is>
      </c>
      <c r="F18" s="59" t="inlineStr">
        <is>
          <t>Gebäude 39, Gesundheitszentrum 1.OG</t>
        </is>
      </c>
    </row>
    <row r="20" ht="20" customHeight="1">
      <c r="B20" s="61" t="inlineStr">
        <is>
          <t>Lehrgangsdatum:</t>
        </is>
      </c>
      <c r="C20" s="63">
        <f>Teilnehmer!C3</f>
        <v/>
      </c>
      <c r="E20" s="61" t="inlineStr">
        <is>
          <t>Uhrzeit:</t>
        </is>
      </c>
      <c r="F20" s="60">
        <f>"von "&amp;TEXT(Teilnehmer!F3,"HH:MM")&amp;" Uhr bis "&amp;TEXT(Teilnehmer!H3,"HH:MM")&amp;" Uhr"</f>
        <v/>
      </c>
    </row>
    <row r="22" ht="20" customHeight="1">
      <c r="B22" s="61" t="inlineStr">
        <is>
          <t>Name der Lehrkraft:</t>
        </is>
      </c>
      <c r="C22" s="60">
        <f>Teilnehmer!C4</f>
        <v/>
      </c>
    </row>
    <row r="24" ht="20" customHeight="1">
      <c r="B24" s="61" t="inlineStr">
        <is>
          <t>Verantwortlicher Arzt:</t>
        </is>
      </c>
      <c r="C24" s="60">
        <f>Teilnehmer!C7</f>
        <v/>
      </c>
    </row>
    <row r="26" ht="20" customHeight="1">
      <c r="B26" s="61" t="inlineStr">
        <is>
          <t>Masken-Charge:</t>
        </is>
      </c>
      <c r="C26" s="64">
        <f>Teilnehmer!C8</f>
        <v/>
      </c>
    </row>
    <row r="28" ht="22" customHeight="1">
      <c r="B28" s="58" t="inlineStr">
        <is>
          <t>Anzahl der Teilnehmenden</t>
        </is>
      </c>
    </row>
    <row r="30" ht="20" customHeight="1">
      <c r="B30" s="61" t="inlineStr">
        <is>
          <t>Gesamtanzahl der Teilnehmenden:</t>
        </is>
      </c>
      <c r="E30" s="65">
        <f>Teilnehmer!C32</f>
        <v/>
      </c>
    </row>
    <row r="31" ht="14" customHeight="1">
      <c r="B31" s="59" t="inlineStr">
        <is>
          <t>(entspricht der Anzahl der Teilnehmerdatenblätter)</t>
        </is>
      </c>
    </row>
    <row r="33" ht="20" customHeight="1">
      <c r="B33" s="61" t="inlineStr">
        <is>
          <t>davon betriebliche Ersthelfende:</t>
        </is>
      </c>
      <c r="E33" s="65">
        <f>Teilnehmer!E32</f>
        <v/>
      </c>
    </row>
    <row r="35" ht="22" customHeight="1">
      <c r="B35" s="58" t="inlineStr">
        <is>
          <t>Anlagen</t>
        </is>
      </c>
    </row>
    <row r="36" ht="16" customHeight="1">
      <c r="B36" s="62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2" t="inlineStr">
        <is>
          <t>Die Dokumentation ist fünf Jahre aufzubewahren und auf Anforderung dem Unfallversicherungsträger vorzulegen.</t>
        </is>
      </c>
    </row>
    <row r="42" ht="18" customHeight="1">
      <c r="B42" s="61" t="inlineStr">
        <is>
          <t>Für die Richtigkeit der Angaben:</t>
        </is>
      </c>
    </row>
    <row r="47" ht="18" customHeight="1">
      <c r="B47" s="66">
        <f>"Rastatt, "&amp;TEXT(Teilnehmer!C3,"DD.MM.YYYY")</f>
        <v/>
      </c>
      <c r="E47" s="66">
        <f>"Rastatt, "&amp;TEXT(Teilnehmer!C3,"DD.MM.YYYY")</f>
        <v/>
      </c>
    </row>
    <row r="48" ht="14" customHeight="1">
      <c r="B48" s="59" t="inlineStr">
        <is>
          <t>Ort, Datum     Unterschrift Lehrgangsleitung</t>
        </is>
      </c>
      <c r="E48" s="59" t="inlineStr">
        <is>
          <t>Ort, Datum     Unterschrift Ausbildungsstelle</t>
        </is>
      </c>
    </row>
    <row r="50" ht="14" customHeight="1">
      <c r="B50" s="67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7" t="inlineStr">
        <is>
          <t>Lehrkräfte</t>
        </is>
      </c>
    </row>
    <row r="2">
      <c r="A2" s="68" t="inlineStr">
        <is>
          <t>Putschler, Walter</t>
        </is>
      </c>
    </row>
    <row r="3">
      <c r="A3" s="68" t="inlineStr">
        <is>
          <t>Kaya, Michelle</t>
        </is>
      </c>
    </row>
    <row r="4">
      <c r="A4" s="68" t="inlineStr">
        <is>
          <t>Krempl, Elke</t>
        </is>
      </c>
    </row>
    <row r="5">
      <c r="A5" s="68" t="inlineStr">
        <is>
          <t>Breig, Bernd</t>
        </is>
      </c>
    </row>
    <row r="6">
      <c r="A6" s="68" t="inlineStr">
        <is>
          <t>Zuber, Harry</t>
        </is>
      </c>
    </row>
    <row r="7">
      <c r="A7" s="68" t="inlineStr">
        <is>
          <t>Jochim, Benjamin</t>
        </is>
      </c>
    </row>
    <row r="8">
      <c r="A8" s="68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2026-02-16T20:15:30Z</dcterms:created>
  <dcterms:modified xmlns:dcterms="http://purl.org/dc/terms/" xmlns:xsi="http://www.w3.org/2001/XMLSchema-instance" xsi:type="dcterms:W3CDTF">2026-02-16T20:15:31Z</dcterms:modified>
</cp:coreProperties>
</file>