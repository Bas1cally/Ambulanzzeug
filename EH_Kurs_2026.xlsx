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Default Extension="png" ContentType="image/png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Teilnehmer" sheetId="1" state="visible" r:id="rId1"/>
    <sheet name="Bescheinigungen" sheetId="2" state="visible" r:id="rId2"/>
    <sheet name="BG-Liste" sheetId="3" state="visible" r:id="rId3"/>
    <sheet name="Lehrgangsdoku" sheetId="4" state="visible" r:id="rId4"/>
    <sheet name="Hilfslisten" sheetId="5" state="visible" r:id="rId5"/>
  </sheets>
  <definedNames>
    <definedName name="Lehrkraefte">Hilfslisten!$A$2:$A$20</definedName>
    <definedName name="_xlnm.Print_Area" localSheetId="1">'Bescheinigungen'!$A$1:$AZ$388</definedName>
    <definedName name="_xlnm.Print_Area" localSheetId="2">'BG-Liste'!$A$1:$E$86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HH:MM"/>
    <numFmt numFmtId="166" formatCode="00000"/>
  </numFmts>
  <fonts count="2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7"/>
      <scheme val="minor"/>
    </font>
    <font>
      <name val="Calibri"/>
      <family val="2"/>
      <b val="1"/>
      <color theme="1"/>
      <sz val="12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FFFFFF"/>
      <sz val="16"/>
    </font>
    <font>
      <name val="Calibri"/>
      <b val="1"/>
      <color rgb="00333333"/>
      <sz val="10"/>
    </font>
    <font>
      <name val="Calibri"/>
      <color rgb="000F3460"/>
      <sz val="11"/>
    </font>
    <font>
      <name val="Calibri"/>
      <b val="1"/>
      <color rgb="000F3460"/>
      <sz val="14"/>
    </font>
    <font>
      <name val="Calibri"/>
      <family val="2"/>
      <color theme="1"/>
      <sz val="24"/>
      <scheme val="minor"/>
    </font>
    <font>
      <name val="Calibri"/>
      <family val="2"/>
      <color theme="1"/>
      <sz val="20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1"/>
      <sz val="14"/>
      <scheme val="minor"/>
    </font>
    <font>
      <name val="Arial"/>
      <b val="1"/>
      <color rgb="00000000"/>
      <sz val="18"/>
    </font>
    <font>
      <name val="Arial"/>
      <color rgb="00000000"/>
      <sz val="10"/>
    </font>
    <font>
      <name val="Arial"/>
      <b val="1"/>
      <color rgb="00000000"/>
      <sz val="12"/>
    </font>
    <font>
      <name val="Arial"/>
      <color rgb="00000000"/>
      <sz val="8"/>
    </font>
    <font>
      <name val="Arial"/>
      <color rgb="00000000"/>
      <sz val="12"/>
    </font>
    <font>
      <name val="Arial"/>
      <color rgb="00000000"/>
      <sz val="12"/>
      <u val="single"/>
    </font>
    <font>
      <name val="Arial"/>
      <color rgb="00666666"/>
      <sz val="8"/>
    </font>
  </fonts>
  <fills count="8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FF9C4"/>
        <bgColor rgb="00FFF9C4"/>
      </patternFill>
    </fill>
    <fill>
      <patternFill patternType="solid">
        <fgColor rgb="00E8EAF6"/>
        <bgColor rgb="00E8EAF6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theme="9" tint="0.3999450666829432"/>
      </left>
      <right/>
      <top style="thin">
        <color theme="9" tint="0.3999450666829432"/>
      </top>
      <bottom style="thin">
        <color theme="9" tint="0.3999450666829432"/>
      </bottom>
      <diagonal/>
    </border>
    <border>
      <left style="thin">
        <color theme="9" tint="0.3999450666829432"/>
      </left>
      <right/>
      <top style="thin">
        <color theme="9" tint="0.3999450666829432"/>
      </top>
      <bottom/>
      <diagonal/>
    </border>
    <border>
      <left style="thin">
        <color theme="9" tint="0.3999450666829432"/>
      </left>
      <right/>
      <top/>
      <bottom style="thin">
        <color theme="9" tint="0.3999450666829432"/>
      </bottom>
      <diagonal/>
    </border>
    <border>
      <left/>
      <right style="medium">
        <color rgb="FF70D2A6"/>
      </right>
      <top style="medium">
        <color rgb="FF70D2A6"/>
      </top>
      <bottom style="medium">
        <color rgb="FF70D2A6"/>
      </bottom>
      <diagonal/>
    </border>
    <border>
      <left style="medium">
        <color rgb="FF70D2A6"/>
      </left>
      <right/>
      <top style="medium">
        <color rgb="FF70D2A6"/>
      </top>
      <bottom style="medium">
        <color rgb="FF70D2A6"/>
      </bottom>
      <diagonal/>
    </border>
    <border>
      <left/>
      <right/>
      <top/>
      <bottom style="medium">
        <color rgb="FF70D2A6"/>
      </bottom>
      <diagonal/>
    </border>
    <border>
      <left/>
      <right/>
      <top style="medium">
        <color rgb="FF70D2A6"/>
      </top>
      <bottom style="medium">
        <color rgb="FF70D2A6"/>
      </bottom>
      <diagonal/>
    </border>
    <border>
      <bottom style="thin">
        <color rgb="00000000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14" fontId="3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4" fontId="0" fillId="0" borderId="0" applyAlignment="1" pivotButton="0" quotePrefix="0" xfId="0">
      <alignment vertical="center"/>
    </xf>
    <xf numFmtId="49" fontId="3" fillId="0" borderId="0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4" fontId="3" fillId="0" borderId="1" applyAlignment="1" pivotButton="0" quotePrefix="0" xfId="0">
      <alignment horizontal="center" vertical="center"/>
    </xf>
    <xf numFmtId="20" fontId="3" fillId="0" borderId="1" applyAlignment="1" pivotButton="0" quotePrefix="0" xfId="0">
      <alignment horizontal="center" vertical="center"/>
    </xf>
    <xf numFmtId="14" fontId="3" fillId="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right" vertical="center"/>
    </xf>
    <xf numFmtId="164" fontId="10" fillId="3" borderId="4" applyAlignment="1" pivotButton="0" quotePrefix="0" xfId="0">
      <alignment horizontal="left" vertical="center"/>
    </xf>
    <xf numFmtId="165" fontId="10" fillId="3" borderId="4" applyAlignment="1" pivotButton="0" quotePrefix="0" xfId="0">
      <alignment horizontal="left" vertical="center"/>
    </xf>
    <xf numFmtId="0" fontId="10" fillId="3" borderId="4" applyAlignment="1" pivotButton="0" quotePrefix="0" xfId="0">
      <alignment horizontal="left" vertical="center"/>
    </xf>
    <xf numFmtId="0" fontId="10" fillId="4" borderId="4" applyAlignment="1" pivotButton="0" quotePrefix="0" xfId="0">
      <alignment horizontal="left" vertical="center"/>
    </xf>
    <xf numFmtId="0" fontId="6" fillId="2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/>
    </xf>
    <xf numFmtId="0" fontId="10" fillId="5" borderId="4" applyAlignment="1" pivotButton="0" quotePrefix="0" xfId="0">
      <alignment horizontal="left" vertical="center"/>
    </xf>
    <xf numFmtId="164" fontId="10" fillId="5" borderId="4" applyAlignment="1" pivotButton="0" quotePrefix="0" xfId="0">
      <alignment horizontal="left" vertical="center"/>
    </xf>
    <xf numFmtId="0" fontId="10" fillId="5" borderId="4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10" fillId="6" borderId="4" applyAlignment="1" pivotButton="0" quotePrefix="0" xfId="0">
      <alignment horizontal="left" vertical="center"/>
    </xf>
    <xf numFmtId="164" fontId="10" fillId="6" borderId="4" applyAlignment="1" pivotButton="0" quotePrefix="0" xfId="0">
      <alignment horizontal="left" vertical="center"/>
    </xf>
    <xf numFmtId="0" fontId="10" fillId="6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12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/>
    </xf>
    <xf numFmtId="0" fontId="13" fillId="0" borderId="0" pivotButton="0" quotePrefix="0" xfId="0"/>
    <xf numFmtId="49" fontId="14" fillId="0" borderId="0" applyAlignment="1" pivotButton="0" quotePrefix="0" xfId="0">
      <alignment horizontal="left" vertical="top"/>
    </xf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13" fillId="0" borderId="8" applyAlignment="1" pivotButton="0" quotePrefix="0" xfId="0">
      <alignment vertical="center"/>
    </xf>
    <xf numFmtId="14" fontId="13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top"/>
    </xf>
    <xf numFmtId="0" fontId="14" fillId="0" borderId="0" applyAlignment="1" pivotButton="0" quotePrefix="0" xfId="0">
      <alignment horizontal="center" vertical="center"/>
    </xf>
    <xf numFmtId="14" fontId="14" fillId="0" borderId="0" applyAlignment="1" pivotButton="0" quotePrefix="0" xfId="0">
      <alignment horizontal="center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164" fontId="20" fillId="0" borderId="0" applyAlignment="1" pivotButton="0" quotePrefix="0" xfId="0">
      <alignment horizontal="left" vertical="center"/>
    </xf>
    <xf numFmtId="0" fontId="20" fillId="0" borderId="12" applyAlignment="1" pivotButton="0" quotePrefix="0" xfId="0">
      <alignment horizontal="left" vertical="center"/>
    </xf>
    <xf numFmtId="0" fontId="20" fillId="0" borderId="12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</cellXfs>
  <cellStyles count="1">
    <cellStyle name="Standard" xfId="0" builtinId="0"/>
  </cellStyles>
  <dxfs count="1">
    <dxf>
      <fill>
        <patternFill patternType="solid">
          <fgColor rgb="00FFCDD2"/>
          <bgColor rgb="00FFCDD2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8" Type="http://schemas.openxmlformats.org/officeDocument/2006/relationships/image" Target="../media/bg_image8.png"/><Relationship Id="rId13" Type="http://schemas.openxmlformats.org/officeDocument/2006/relationships/image" Target="../media/bg_image13.png"/><Relationship Id="rId18" Type="http://schemas.openxmlformats.org/officeDocument/2006/relationships/image" Target="../media/bg_image18.png"/><Relationship Id="rId26" Type="http://schemas.openxmlformats.org/officeDocument/2006/relationships/image" Target="../media/bg_image26.png"/><Relationship Id="rId3" Type="http://schemas.openxmlformats.org/officeDocument/2006/relationships/image" Target="../media/bg_image3.png"/><Relationship Id="rId21" Type="http://schemas.openxmlformats.org/officeDocument/2006/relationships/image" Target="../media/bg_image21.png"/><Relationship Id="rId7" Type="http://schemas.openxmlformats.org/officeDocument/2006/relationships/image" Target="../media/bg_image7.png"/><Relationship Id="rId12" Type="http://schemas.openxmlformats.org/officeDocument/2006/relationships/image" Target="../media/bg_image12.png"/><Relationship Id="rId17" Type="http://schemas.openxmlformats.org/officeDocument/2006/relationships/image" Target="../media/bg_image17.png"/><Relationship Id="rId25" Type="http://schemas.openxmlformats.org/officeDocument/2006/relationships/image" Target="../media/bg_image25.png"/><Relationship Id="rId2" Type="http://schemas.openxmlformats.org/officeDocument/2006/relationships/image" Target="../media/bg_image2.png"/><Relationship Id="rId16" Type="http://schemas.openxmlformats.org/officeDocument/2006/relationships/image" Target="../media/bg_image16.png"/><Relationship Id="rId20" Type="http://schemas.openxmlformats.org/officeDocument/2006/relationships/image" Target="../media/bg_image20.png"/><Relationship Id="rId1" Type="http://schemas.openxmlformats.org/officeDocument/2006/relationships/image" Target="../media/bg_image1.png"/><Relationship Id="rId6" Type="http://schemas.openxmlformats.org/officeDocument/2006/relationships/image" Target="../media/bg_image6.png"/><Relationship Id="rId11" Type="http://schemas.openxmlformats.org/officeDocument/2006/relationships/image" Target="../media/bg_image11.png"/><Relationship Id="rId24" Type="http://schemas.openxmlformats.org/officeDocument/2006/relationships/image" Target="../media/bg_image24.png"/><Relationship Id="rId5" Type="http://schemas.openxmlformats.org/officeDocument/2006/relationships/image" Target="../media/bg_image5.png"/><Relationship Id="rId15" Type="http://schemas.openxmlformats.org/officeDocument/2006/relationships/image" Target="../media/bg_image15.png"/><Relationship Id="rId23" Type="http://schemas.openxmlformats.org/officeDocument/2006/relationships/image" Target="../media/bg_image23.png"/><Relationship Id="rId10" Type="http://schemas.openxmlformats.org/officeDocument/2006/relationships/image" Target="../media/bg_image10.png"/><Relationship Id="rId19" Type="http://schemas.openxmlformats.org/officeDocument/2006/relationships/image" Target="../media/bg_image19.png"/><Relationship Id="rId4" Type="http://schemas.openxmlformats.org/officeDocument/2006/relationships/image" Target="../media/bg_image4.png"/><Relationship Id="rId9" Type="http://schemas.openxmlformats.org/officeDocument/2006/relationships/image" Target="../media/bg_image9.png"/><Relationship Id="rId14" Type="http://schemas.openxmlformats.org/officeDocument/2006/relationships/image" Target="../media/bg_image14.png"/><Relationship Id="rId22" Type="http://schemas.openxmlformats.org/officeDocument/2006/relationships/image" Target="../media/bg_image22.png"/><Relationship Id="rId27" Type="http://schemas.openxmlformats.org/officeDocument/2006/relationships/image" Target="../media/bg_image27.png"/><Relationship Id="rId100" Type="http://schemas.openxmlformats.org/officeDocument/2006/relationships/image" Target="../media/bg_image8.png"/><Relationship Id="rId101" Type="http://schemas.openxmlformats.org/officeDocument/2006/relationships/image" Target="../media/bg_image13.png"/><Relationship Id="rId102" Type="http://schemas.openxmlformats.org/officeDocument/2006/relationships/image" Target="../media/bg_image18.png"/><Relationship Id="rId103" Type="http://schemas.openxmlformats.org/officeDocument/2006/relationships/image" Target="../media/bg_image26.png"/><Relationship Id="rId104" Type="http://schemas.openxmlformats.org/officeDocument/2006/relationships/image" Target="../media/bg_image3.png"/><Relationship Id="rId105" Type="http://schemas.openxmlformats.org/officeDocument/2006/relationships/image" Target="../media/bg_image21.png"/><Relationship Id="rId106" Type="http://schemas.openxmlformats.org/officeDocument/2006/relationships/image" Target="../media/bg_image7.png"/><Relationship Id="rId107" Type="http://schemas.openxmlformats.org/officeDocument/2006/relationships/image" Target="../media/bg_image12.png"/><Relationship Id="rId108" Type="http://schemas.openxmlformats.org/officeDocument/2006/relationships/image" Target="../media/bg_image17.png"/><Relationship Id="rId109" Type="http://schemas.openxmlformats.org/officeDocument/2006/relationships/image" Target="../media/bg_image25.png"/><Relationship Id="rId110" Type="http://schemas.openxmlformats.org/officeDocument/2006/relationships/image" Target="../media/bg_image2.png"/><Relationship Id="rId111" Type="http://schemas.openxmlformats.org/officeDocument/2006/relationships/image" Target="../media/bg_image16.png"/><Relationship Id="rId112" Type="http://schemas.openxmlformats.org/officeDocument/2006/relationships/image" Target="../media/bg_image20.png"/><Relationship Id="rId113" Type="http://schemas.openxmlformats.org/officeDocument/2006/relationships/image" Target="../media/bg_image1.png"/><Relationship Id="rId114" Type="http://schemas.openxmlformats.org/officeDocument/2006/relationships/image" Target="../media/bg_image6.png"/><Relationship Id="rId115" Type="http://schemas.openxmlformats.org/officeDocument/2006/relationships/image" Target="../media/bg_image11.png"/><Relationship Id="rId116" Type="http://schemas.openxmlformats.org/officeDocument/2006/relationships/image" Target="../media/bg_image24.png"/><Relationship Id="rId117" Type="http://schemas.openxmlformats.org/officeDocument/2006/relationships/image" Target="../media/bg_image5.png"/><Relationship Id="rId118" Type="http://schemas.openxmlformats.org/officeDocument/2006/relationships/image" Target="../media/bg_image15.png"/><Relationship Id="rId119" Type="http://schemas.openxmlformats.org/officeDocument/2006/relationships/image" Target="../media/bg_image23.png"/><Relationship Id="rId120" Type="http://schemas.openxmlformats.org/officeDocument/2006/relationships/image" Target="../media/bg_image10.png"/><Relationship Id="rId121" Type="http://schemas.openxmlformats.org/officeDocument/2006/relationships/image" Target="../media/bg_image19.png"/><Relationship Id="rId122" Type="http://schemas.openxmlformats.org/officeDocument/2006/relationships/image" Target="../media/bg_image4.png"/><Relationship Id="rId123" Type="http://schemas.openxmlformats.org/officeDocument/2006/relationships/image" Target="../media/bg_image9.png"/><Relationship Id="rId124" Type="http://schemas.openxmlformats.org/officeDocument/2006/relationships/image" Target="../media/bg_image14.png"/><Relationship Id="rId125" Type="http://schemas.openxmlformats.org/officeDocument/2006/relationships/image" Target="../media/bg_image22.png"/><Relationship Id="rId126" Type="http://schemas.openxmlformats.org/officeDocument/2006/relationships/image" Target="../media/bg_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19178</xdr:colOff>
      <xdr:row>36</xdr:row>
      <xdr:rowOff>144004</xdr:rowOff>
    </xdr:from>
    <xdr:to>
      <xdr:col>23</xdr:col>
      <xdr:colOff>169404</xdr:colOff>
      <xdr:row>37</xdr:row>
      <xdr:rowOff>166670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6702830"/>
          <a:ext cx="4340587" cy="20485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24</xdr:col>
      <xdr:colOff>2753</xdr:colOff>
      <xdr:row>7</xdr:row>
      <xdr:rowOff>167142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63331" cy="14389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159372</xdr:colOff>
      <xdr:row>0</xdr:row>
      <xdr:rowOff>3197</xdr:rowOff>
    </xdr:from>
    <xdr:to>
      <xdr:col>51</xdr:col>
      <xdr:colOff>162256</xdr:colOff>
      <xdr:row>7</xdr:row>
      <xdr:rowOff>167384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40135" y="3197"/>
          <a:ext cx="4365846" cy="14395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22374</xdr:colOff>
      <xdr:row>36</xdr:row>
      <xdr:rowOff>139679</xdr:rowOff>
    </xdr:from>
    <xdr:to>
      <xdr:col>51</xdr:col>
      <xdr:colOff>158020</xdr:colOff>
      <xdr:row>37</xdr:row>
      <xdr:rowOff>160826</xdr:rowOff>
    </xdr:to>
    <xdr:pic>
      <xdr:nvPicPr>
        <xdr:cNvPr id="14" name="Grafik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75738" y="6698505"/>
          <a:ext cx="4326007" cy="20333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24</xdr:col>
      <xdr:colOff>2753</xdr:colOff>
      <xdr:row>46</xdr:row>
      <xdr:rowOff>167142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43461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19178</xdr:colOff>
      <xdr:row>75</xdr:row>
      <xdr:rowOff>144004</xdr:rowOff>
    </xdr:from>
    <xdr:ext cx="4312651" cy="203641"/>
    <xdr:pic>
      <xdr:nvPicPr>
        <xdr:cNvPr id="7" name="Grafik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665910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75</xdr:row>
      <xdr:rowOff>144004</xdr:rowOff>
    </xdr:from>
    <xdr:ext cx="4312651" cy="203641"/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114</xdr:row>
      <xdr:rowOff>144004</xdr:rowOff>
    </xdr:from>
    <xdr:ext cx="4312651" cy="203641"/>
    <xdr:pic>
      <xdr:nvPicPr>
        <xdr:cNvPr id="13" name="Grafik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114</xdr:row>
      <xdr:rowOff>144004</xdr:rowOff>
    </xdr:from>
    <xdr:ext cx="4312651" cy="203641"/>
    <xdr:pic>
      <xdr:nvPicPr>
        <xdr:cNvPr id="16" name="Grafik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153</xdr:row>
      <xdr:rowOff>144004</xdr:rowOff>
    </xdr:from>
    <xdr:ext cx="4312651" cy="203641"/>
    <xdr:pic>
      <xdr:nvPicPr>
        <xdr:cNvPr id="18" name="Grafik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153</xdr:row>
      <xdr:rowOff>144004</xdr:rowOff>
    </xdr:from>
    <xdr:ext cx="4312651" cy="203641"/>
    <xdr:pic>
      <xdr:nvPicPr>
        <xdr:cNvPr id="20" name="Grafik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192</xdr:row>
      <xdr:rowOff>144004</xdr:rowOff>
    </xdr:from>
    <xdr:ext cx="4312651" cy="203641"/>
    <xdr:pic>
      <xdr:nvPicPr>
        <xdr:cNvPr id="22" name="Grafik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192</xdr:row>
      <xdr:rowOff>144004</xdr:rowOff>
    </xdr:from>
    <xdr:ext cx="4312651" cy="203641"/>
    <xdr:pic>
      <xdr:nvPicPr>
        <xdr:cNvPr id="24" name="Grafik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231</xdr:row>
      <xdr:rowOff>144004</xdr:rowOff>
    </xdr:from>
    <xdr:ext cx="4312651" cy="203641"/>
    <xdr:pic>
      <xdr:nvPicPr>
        <xdr:cNvPr id="26" name="Grafik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231</xdr:row>
      <xdr:rowOff>144004</xdr:rowOff>
    </xdr:from>
    <xdr:ext cx="4312651" cy="203641"/>
    <xdr:pic>
      <xdr:nvPicPr>
        <xdr:cNvPr id="28" name="Grafik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270</xdr:row>
      <xdr:rowOff>144004</xdr:rowOff>
    </xdr:from>
    <xdr:ext cx="4312651" cy="203641"/>
    <xdr:pic>
      <xdr:nvPicPr>
        <xdr:cNvPr id="30" name="Grafik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270</xdr:row>
      <xdr:rowOff>144004</xdr:rowOff>
    </xdr:from>
    <xdr:ext cx="4312651" cy="203641"/>
    <xdr:pic>
      <xdr:nvPicPr>
        <xdr:cNvPr id="32" name="Grafik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309</xdr:row>
      <xdr:rowOff>144004</xdr:rowOff>
    </xdr:from>
    <xdr:ext cx="4312651" cy="203641"/>
    <xdr:pic>
      <xdr:nvPicPr>
        <xdr:cNvPr id="34" name="Grafik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309</xdr:row>
      <xdr:rowOff>144004</xdr:rowOff>
    </xdr:from>
    <xdr:ext cx="4312651" cy="203641"/>
    <xdr:pic>
      <xdr:nvPicPr>
        <xdr:cNvPr id="36" name="Grafik 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348</xdr:row>
      <xdr:rowOff>144004</xdr:rowOff>
    </xdr:from>
    <xdr:ext cx="4312651" cy="203641"/>
    <xdr:pic>
      <xdr:nvPicPr>
        <xdr:cNvPr id="38" name="Grafik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348</xdr:row>
      <xdr:rowOff>144004</xdr:rowOff>
    </xdr:from>
    <xdr:ext cx="4312651" cy="203641"/>
    <xdr:pic>
      <xdr:nvPicPr>
        <xdr:cNvPr id="40" name="Grafik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387</xdr:row>
      <xdr:rowOff>144004</xdr:rowOff>
    </xdr:from>
    <xdr:ext cx="4312651" cy="203641"/>
    <xdr:pic>
      <xdr:nvPicPr>
        <xdr:cNvPr id="42" name="Grafik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387</xdr:row>
      <xdr:rowOff>144004</xdr:rowOff>
    </xdr:from>
    <xdr:ext cx="4312651" cy="203641"/>
    <xdr:pic>
      <xdr:nvPicPr>
        <xdr:cNvPr id="44" name="Grafik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twoCellAnchor editAs="oneCell">
    <xdr:from>
      <xdr:col>28</xdr:col>
      <xdr:colOff>0</xdr:colOff>
      <xdr:row>39</xdr:row>
      <xdr:rowOff>0</xdr:rowOff>
    </xdr:from>
    <xdr:to>
      <xdr:col>52</xdr:col>
      <xdr:colOff>2753</xdr:colOff>
      <xdr:row>46</xdr:row>
      <xdr:rowOff>167142</xdr:rowOff>
    </xdr:to>
    <xdr:pic>
      <xdr:nvPicPr>
        <xdr:cNvPr id="45" name="Grafik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68770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24</xdr:col>
      <xdr:colOff>2753</xdr:colOff>
      <xdr:row>85</xdr:row>
      <xdr:rowOff>167142</xdr:rowOff>
    </xdr:to>
    <xdr:pic>
      <xdr:nvPicPr>
        <xdr:cNvPr id="46" name="Grafik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78</xdr:row>
      <xdr:rowOff>0</xdr:rowOff>
    </xdr:from>
    <xdr:to>
      <xdr:col>52</xdr:col>
      <xdr:colOff>2753</xdr:colOff>
      <xdr:row>85</xdr:row>
      <xdr:rowOff>167142</xdr:rowOff>
    </xdr:to>
    <xdr:pic>
      <xdr:nvPicPr>
        <xdr:cNvPr id="47" name="Grafik 46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137541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24</xdr:col>
      <xdr:colOff>2753</xdr:colOff>
      <xdr:row>124</xdr:row>
      <xdr:rowOff>167142</xdr:rowOff>
    </xdr:to>
    <xdr:pic>
      <xdr:nvPicPr>
        <xdr:cNvPr id="48" name="Grafik 47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6311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171450</xdr:colOff>
      <xdr:row>117</xdr:row>
      <xdr:rowOff>9525</xdr:rowOff>
    </xdr:from>
    <xdr:to>
      <xdr:col>52</xdr:col>
      <xdr:colOff>2753</xdr:colOff>
      <xdr:row>125</xdr:row>
      <xdr:rowOff>1407</xdr:rowOff>
    </xdr:to>
    <xdr:pic>
      <xdr:nvPicPr>
        <xdr:cNvPr id="49" name="Grafik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76850" y="20640675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24</xdr:col>
      <xdr:colOff>2753</xdr:colOff>
      <xdr:row>163</xdr:row>
      <xdr:rowOff>167142</xdr:rowOff>
    </xdr:to>
    <xdr:pic>
      <xdr:nvPicPr>
        <xdr:cNvPr id="51" name="Grafik 50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082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156</xdr:row>
      <xdr:rowOff>0</xdr:rowOff>
    </xdr:from>
    <xdr:to>
      <xdr:col>52</xdr:col>
      <xdr:colOff>2753</xdr:colOff>
      <xdr:row>163</xdr:row>
      <xdr:rowOff>167142</xdr:rowOff>
    </xdr:to>
    <xdr:pic>
      <xdr:nvPicPr>
        <xdr:cNvPr id="52" name="Grafik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275082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24</xdr:col>
      <xdr:colOff>2753</xdr:colOff>
      <xdr:row>202</xdr:row>
      <xdr:rowOff>167142</xdr:rowOff>
    </xdr:to>
    <xdr:pic>
      <xdr:nvPicPr>
        <xdr:cNvPr id="53" name="Grafik 52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195</xdr:row>
      <xdr:rowOff>0</xdr:rowOff>
    </xdr:from>
    <xdr:to>
      <xdr:col>52</xdr:col>
      <xdr:colOff>2753</xdr:colOff>
      <xdr:row>202</xdr:row>
      <xdr:rowOff>167142</xdr:rowOff>
    </xdr:to>
    <xdr:pic>
      <xdr:nvPicPr>
        <xdr:cNvPr id="54" name="Grafik 5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343852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24</xdr:col>
      <xdr:colOff>2753</xdr:colOff>
      <xdr:row>241</xdr:row>
      <xdr:rowOff>167142</xdr:rowOff>
    </xdr:to>
    <xdr:pic>
      <xdr:nvPicPr>
        <xdr:cNvPr id="55" name="Grafik 54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2623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234</xdr:row>
      <xdr:rowOff>0</xdr:rowOff>
    </xdr:from>
    <xdr:to>
      <xdr:col>52</xdr:col>
      <xdr:colOff>2753</xdr:colOff>
      <xdr:row>241</xdr:row>
      <xdr:rowOff>167142</xdr:rowOff>
    </xdr:to>
    <xdr:pic>
      <xdr:nvPicPr>
        <xdr:cNvPr id="56" name="Grafik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412623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24</xdr:col>
      <xdr:colOff>2753</xdr:colOff>
      <xdr:row>280</xdr:row>
      <xdr:rowOff>167142</xdr:rowOff>
    </xdr:to>
    <xdr:pic>
      <xdr:nvPicPr>
        <xdr:cNvPr id="57" name="Grafik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393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273</xdr:row>
      <xdr:rowOff>0</xdr:rowOff>
    </xdr:from>
    <xdr:to>
      <xdr:col>52</xdr:col>
      <xdr:colOff>2753</xdr:colOff>
      <xdr:row>280</xdr:row>
      <xdr:rowOff>167142</xdr:rowOff>
    </xdr:to>
    <xdr:pic>
      <xdr:nvPicPr>
        <xdr:cNvPr id="58" name="Grafik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481393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24</xdr:col>
      <xdr:colOff>2753</xdr:colOff>
      <xdr:row>319</xdr:row>
      <xdr:rowOff>167142</xdr:rowOff>
    </xdr:to>
    <xdr:pic>
      <xdr:nvPicPr>
        <xdr:cNvPr id="59" name="Grafik 58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0164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312</xdr:row>
      <xdr:rowOff>0</xdr:rowOff>
    </xdr:from>
    <xdr:to>
      <xdr:col>52</xdr:col>
      <xdr:colOff>2753</xdr:colOff>
      <xdr:row>319</xdr:row>
      <xdr:rowOff>167142</xdr:rowOff>
    </xdr:to>
    <xdr:pic>
      <xdr:nvPicPr>
        <xdr:cNvPr id="60" name="Grafik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550164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24</xdr:col>
      <xdr:colOff>2753</xdr:colOff>
      <xdr:row>358</xdr:row>
      <xdr:rowOff>167142</xdr:rowOff>
    </xdr:to>
    <xdr:pic>
      <xdr:nvPicPr>
        <xdr:cNvPr id="61" name="Grafik 60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8934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351</xdr:row>
      <xdr:rowOff>0</xdr:rowOff>
    </xdr:from>
    <xdr:to>
      <xdr:col>52</xdr:col>
      <xdr:colOff>2753</xdr:colOff>
      <xdr:row>358</xdr:row>
      <xdr:rowOff>167142</xdr:rowOff>
    </xdr:to>
    <xdr:pic>
      <xdr:nvPicPr>
        <xdr:cNvPr id="62" name="Grafik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618934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219075</xdr:colOff>
      <xdr:row>7</xdr:row>
      <xdr:rowOff>0</xdr:rowOff>
    </xdr:from>
    <xdr:to>
      <xdr:col>1</xdr:col>
      <xdr:colOff>38174</xdr:colOff>
      <xdr:row>19</xdr:row>
      <xdr:rowOff>29419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3495675"/>
          <a:ext cx="533474" cy="6049219"/>
        </a:xfrm>
        <a:prstGeom prst="rect">
          <a:avLst/>
        </a:prstGeom>
      </xdr:spPr>
    </xdr:pic>
    <xdr:clientData/>
  </xdr:twoCellAnchor>
  <xdr:twoCellAnchor editAs="oneCell">
    <xdr:from>
      <xdr:col>3</xdr:col>
      <xdr:colOff>2686050</xdr:colOff>
      <xdr:row>8</xdr:row>
      <xdr:rowOff>409575</xdr:rowOff>
    </xdr:from>
    <xdr:to>
      <xdr:col>4</xdr:col>
      <xdr:colOff>1381322</xdr:colOff>
      <xdr:row>19</xdr:row>
      <xdr:rowOff>210289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34600" y="4429125"/>
          <a:ext cx="1409897" cy="529663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0</xdr:row>
      <xdr:rowOff>0</xdr:rowOff>
    </xdr:from>
    <xdr:to>
      <xdr:col>4</xdr:col>
      <xdr:colOff>1401762</xdr:colOff>
      <xdr:row>4</xdr:row>
      <xdr:rowOff>19336</xdr:rowOff>
    </xdr:to>
    <xdr:pic>
      <xdr:nvPicPr>
        <xdr:cNvPr id="33" name="Grafik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0500" y="0"/>
          <a:ext cx="11374437" cy="2048161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0</xdr:row>
      <xdr:rowOff>19050</xdr:rowOff>
    </xdr:from>
    <xdr:to>
      <xdr:col>1</xdr:col>
      <xdr:colOff>28647</xdr:colOff>
      <xdr:row>8</xdr:row>
      <xdr:rowOff>276822</xdr:rowOff>
    </xdr:to>
    <xdr:pic>
      <xdr:nvPicPr>
        <xdr:cNvPr id="34" name="Grafik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19050"/>
          <a:ext cx="514422" cy="4277322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6</xdr:row>
      <xdr:rowOff>400050</xdr:rowOff>
    </xdr:from>
    <xdr:to>
      <xdr:col>4</xdr:col>
      <xdr:colOff>1392232</xdr:colOff>
      <xdr:row>9</xdr:row>
      <xdr:rowOff>114452</xdr:rowOff>
    </xdr:to>
    <xdr:pic>
      <xdr:nvPicPr>
        <xdr:cNvPr id="35" name="Grafik 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9075" y="3486150"/>
          <a:ext cx="11336332" cy="1086002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4</xdr:row>
      <xdr:rowOff>495300</xdr:rowOff>
    </xdr:from>
    <xdr:to>
      <xdr:col>2</xdr:col>
      <xdr:colOff>1267607</xdr:colOff>
      <xdr:row>5</xdr:row>
      <xdr:rowOff>276269</xdr:rowOff>
    </xdr:to>
    <xdr:pic>
      <xdr:nvPicPr>
        <xdr:cNvPr id="37" name="Grafik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42925" y="2524125"/>
          <a:ext cx="5601482" cy="314369"/>
        </a:xfrm>
        <a:prstGeom prst="rect">
          <a:avLst/>
        </a:prstGeom>
      </xdr:spPr>
    </xdr:pic>
    <xdr:clientData/>
  </xdr:twoCellAnchor>
  <xdr:twoCellAnchor editAs="oneCell">
    <xdr:from>
      <xdr:col>1</xdr:col>
      <xdr:colOff>3914775</xdr:colOff>
      <xdr:row>2</xdr:row>
      <xdr:rowOff>476250</xdr:rowOff>
    </xdr:from>
    <xdr:to>
      <xdr:col>2</xdr:col>
      <xdr:colOff>1562353</xdr:colOff>
      <xdr:row>7</xdr:row>
      <xdr:rowOff>219379</xdr:rowOff>
    </xdr:to>
    <xdr:pic>
      <xdr:nvPicPr>
        <xdr:cNvPr id="38" name="Grafik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629150" y="1533525"/>
          <a:ext cx="1810003" cy="2181529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5</xdr:row>
      <xdr:rowOff>466725</xdr:rowOff>
    </xdr:from>
    <xdr:to>
      <xdr:col>2</xdr:col>
      <xdr:colOff>810379</xdr:colOff>
      <xdr:row>6</xdr:row>
      <xdr:rowOff>181008</xdr:rowOff>
    </xdr:to>
    <xdr:pic>
      <xdr:nvPicPr>
        <xdr:cNvPr id="39" name="Grafik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85750" y="3028950"/>
          <a:ext cx="5401429" cy="238158"/>
        </a:xfrm>
        <a:prstGeom prst="rect">
          <a:avLst/>
        </a:prstGeom>
      </xdr:spPr>
    </xdr:pic>
    <xdr:clientData/>
  </xdr:twoCellAnchor>
  <xdr:twoCellAnchor editAs="oneCell">
    <xdr:from>
      <xdr:col>4</xdr:col>
      <xdr:colOff>942975</xdr:colOff>
      <xdr:row>2</xdr:row>
      <xdr:rowOff>161925</xdr:rowOff>
    </xdr:from>
    <xdr:to>
      <xdr:col>4</xdr:col>
      <xdr:colOff>1381186</xdr:colOff>
      <xdr:row>7</xdr:row>
      <xdr:rowOff>209897</xdr:rowOff>
    </xdr:to>
    <xdr:pic>
      <xdr:nvPicPr>
        <xdr:cNvPr id="40" name="Grafik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106150" y="1219200"/>
          <a:ext cx="438211" cy="2486372"/>
        </a:xfrm>
        <a:prstGeom prst="rect">
          <a:avLst/>
        </a:prstGeom>
      </xdr:spPr>
    </xdr:pic>
    <xdr:clientData/>
  </xdr:twoCellAnchor>
  <xdr:twoCellAnchor editAs="oneCell">
    <xdr:from>
      <xdr:col>2</xdr:col>
      <xdr:colOff>1019175</xdr:colOff>
      <xdr:row>5</xdr:row>
      <xdr:rowOff>142875</xdr:rowOff>
    </xdr:from>
    <xdr:to>
      <xdr:col>4</xdr:col>
      <xdr:colOff>1277124</xdr:colOff>
      <xdr:row>5</xdr:row>
      <xdr:rowOff>447718</xdr:rowOff>
    </xdr:to>
    <xdr:pic>
      <xdr:nvPicPr>
        <xdr:cNvPr id="41" name="Grafik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895975" y="2705100"/>
          <a:ext cx="5544324" cy="30484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1047750</xdr:colOff>
      <xdr:row>3</xdr:row>
      <xdr:rowOff>209550</xdr:rowOff>
    </xdr:from>
    <xdr:to>
      <xdr:col>4</xdr:col>
      <xdr:colOff>1172330</xdr:colOff>
      <xdr:row>4</xdr:row>
      <xdr:rowOff>200091</xdr:rowOff>
    </xdr:to>
    <xdr:pic>
      <xdr:nvPicPr>
        <xdr:cNvPr id="42" name="Grafik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924550" y="1752600"/>
          <a:ext cx="5410955" cy="476316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19</xdr:row>
      <xdr:rowOff>66675</xdr:rowOff>
    </xdr:from>
    <xdr:to>
      <xdr:col>4</xdr:col>
      <xdr:colOff>1392235</xdr:colOff>
      <xdr:row>20</xdr:row>
      <xdr:rowOff>304908</xdr:rowOff>
    </xdr:to>
    <xdr:pic>
      <xdr:nvPicPr>
        <xdr:cNvPr id="43" name="Grafik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00025" y="9572625"/>
          <a:ext cx="11355385" cy="771633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20</xdr:row>
      <xdr:rowOff>47625</xdr:rowOff>
    </xdr:from>
    <xdr:to>
      <xdr:col>1</xdr:col>
      <xdr:colOff>857443</xdr:colOff>
      <xdr:row>27</xdr:row>
      <xdr:rowOff>95632</xdr:rowOff>
    </xdr:to>
    <xdr:pic>
      <xdr:nvPicPr>
        <xdr:cNvPr id="44" name="Grafik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90500" y="10096500"/>
          <a:ext cx="1381318" cy="2734057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23</xdr:row>
      <xdr:rowOff>342900</xdr:rowOff>
    </xdr:from>
    <xdr:to>
      <xdr:col>2</xdr:col>
      <xdr:colOff>2058344</xdr:colOff>
      <xdr:row>25</xdr:row>
      <xdr:rowOff>219168</xdr:rowOff>
    </xdr:to>
    <xdr:pic>
      <xdr:nvPicPr>
        <xdr:cNvPr id="45" name="Grafik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71450" y="11563350"/>
          <a:ext cx="6763694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876300</xdr:colOff>
      <xdr:row>20</xdr:row>
      <xdr:rowOff>38100</xdr:rowOff>
    </xdr:from>
    <xdr:to>
      <xdr:col>2</xdr:col>
      <xdr:colOff>1076353</xdr:colOff>
      <xdr:row>25</xdr:row>
      <xdr:rowOff>19321</xdr:rowOff>
    </xdr:to>
    <xdr:pic>
      <xdr:nvPicPr>
        <xdr:cNvPr id="46" name="Grafik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753100" y="10086975"/>
          <a:ext cx="200053" cy="1943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2057400</xdr:colOff>
      <xdr:row>24</xdr:row>
      <xdr:rowOff>95250</xdr:rowOff>
    </xdr:from>
    <xdr:to>
      <xdr:col>3</xdr:col>
      <xdr:colOff>276335</xdr:colOff>
      <xdr:row>25</xdr:row>
      <xdr:rowOff>28619</xdr:rowOff>
    </xdr:to>
    <xdr:pic>
      <xdr:nvPicPr>
        <xdr:cNvPr id="48" name="Grafik 47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934200" y="11725275"/>
          <a:ext cx="790685" cy="314369"/>
        </a:xfrm>
        <a:prstGeom prst="rect">
          <a:avLst/>
        </a:prstGeom>
      </xdr:spPr>
    </xdr:pic>
    <xdr:clientData/>
  </xdr:twoCellAnchor>
  <xdr:twoCellAnchor editAs="oneCell">
    <xdr:from>
      <xdr:col>3</xdr:col>
      <xdr:colOff>209550</xdr:colOff>
      <xdr:row>24</xdr:row>
      <xdr:rowOff>314325</xdr:rowOff>
    </xdr:from>
    <xdr:to>
      <xdr:col>4</xdr:col>
      <xdr:colOff>1372141</xdr:colOff>
      <xdr:row>27</xdr:row>
      <xdr:rowOff>85847</xdr:rowOff>
    </xdr:to>
    <xdr:pic>
      <xdr:nvPicPr>
        <xdr:cNvPr id="49" name="Grafik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658100" y="11944350"/>
          <a:ext cx="3877216" cy="876422"/>
        </a:xfrm>
        <a:prstGeom prst="rect">
          <a:avLst/>
        </a:prstGeom>
      </xdr:spPr>
    </xdr:pic>
    <xdr:clientData/>
  </xdr:twoCellAnchor>
  <xdr:twoCellAnchor editAs="oneCell">
    <xdr:from>
      <xdr:col>4</xdr:col>
      <xdr:colOff>904875</xdr:colOff>
      <xdr:row>20</xdr:row>
      <xdr:rowOff>0</xdr:rowOff>
    </xdr:from>
    <xdr:to>
      <xdr:col>4</xdr:col>
      <xdr:colOff>1409770</xdr:colOff>
      <xdr:row>25</xdr:row>
      <xdr:rowOff>200327</xdr:rowOff>
    </xdr:to>
    <xdr:pic>
      <xdr:nvPicPr>
        <xdr:cNvPr id="50" name="Grafik 49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1068050" y="10048875"/>
          <a:ext cx="504895" cy="216247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25</xdr:row>
      <xdr:rowOff>60846</xdr:rowOff>
    </xdr:from>
    <xdr:to>
      <xdr:col>4</xdr:col>
      <xdr:colOff>1401749</xdr:colOff>
      <xdr:row>27</xdr:row>
      <xdr:rowOff>97346</xdr:rowOff>
    </xdr:to>
    <xdr:pic>
      <xdr:nvPicPr>
        <xdr:cNvPr id="52" name="Grafik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85750" y="12071871"/>
          <a:ext cx="11279174" cy="760400"/>
        </a:xfrm>
        <a:prstGeom prst="rect">
          <a:avLst/>
        </a:prstGeom>
      </xdr:spPr>
    </xdr:pic>
    <xdr:clientData/>
  </xdr:twoCellAnchor>
  <xdr:twoCellAnchor editAs="oneCell">
    <xdr:from>
      <xdr:col>3</xdr:col>
      <xdr:colOff>2679539</xdr:colOff>
      <xdr:row>25</xdr:row>
      <xdr:rowOff>265132</xdr:rowOff>
    </xdr:from>
    <xdr:to>
      <xdr:col>4</xdr:col>
      <xdr:colOff>1422442</xdr:colOff>
      <xdr:row>42</xdr:row>
      <xdr:rowOff>94584</xdr:rowOff>
    </xdr:to>
    <xdr:pic>
      <xdr:nvPicPr>
        <xdr:cNvPr id="56" name="Grafik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0127727" y="12267838"/>
          <a:ext cx="1458493" cy="4727593"/>
        </a:xfrm>
        <a:prstGeom prst="rect">
          <a:avLst/>
        </a:prstGeom>
      </xdr:spPr>
    </xdr:pic>
    <xdr:clientData/>
  </xdr:twoCellAnchor>
  <xdr:twoCellAnchor editAs="oneCell">
    <xdr:from>
      <xdr:col>0</xdr:col>
      <xdr:colOff>284664</xdr:colOff>
      <xdr:row>31</xdr:row>
      <xdr:rowOff>54852</xdr:rowOff>
    </xdr:from>
    <xdr:to>
      <xdr:col>4</xdr:col>
      <xdr:colOff>590925</xdr:colOff>
      <xdr:row>32</xdr:row>
      <xdr:rowOff>45363</xdr:rowOff>
    </xdr:to>
    <xdr:pic>
      <xdr:nvPicPr>
        <xdr:cNvPr id="57" name="Grafik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84664" y="13742518"/>
          <a:ext cx="10470280" cy="255764"/>
        </a:xfrm>
        <a:prstGeom prst="rect">
          <a:avLst/>
        </a:prstGeom>
      </xdr:spPr>
    </xdr:pic>
    <xdr:clientData/>
  </xdr:twoCellAnchor>
  <xdr:twoCellAnchor editAs="oneCell">
    <xdr:from>
      <xdr:col>2</xdr:col>
      <xdr:colOff>841214</xdr:colOff>
      <xdr:row>27</xdr:row>
      <xdr:rowOff>43899</xdr:rowOff>
    </xdr:from>
    <xdr:to>
      <xdr:col>2</xdr:col>
      <xdr:colOff>993635</xdr:colOff>
      <xdr:row>42</xdr:row>
      <xdr:rowOff>111408</xdr:rowOff>
    </xdr:to>
    <xdr:pic>
      <xdr:nvPicPr>
        <xdr:cNvPr id="58" name="Grafik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5718255" y="12770022"/>
          <a:ext cx="152421" cy="4242233"/>
        </a:xfrm>
        <a:prstGeom prst="rect">
          <a:avLst/>
        </a:prstGeom>
      </xdr:spPr>
    </xdr:pic>
    <xdr:clientData/>
  </xdr:twoCellAnchor>
  <xdr:twoCellAnchor editAs="oneCell">
    <xdr:from>
      <xdr:col>0</xdr:col>
      <xdr:colOff>192234</xdr:colOff>
      <xdr:row>29</xdr:row>
      <xdr:rowOff>7900</xdr:rowOff>
    </xdr:from>
    <xdr:to>
      <xdr:col>4</xdr:col>
      <xdr:colOff>946233</xdr:colOff>
      <xdr:row>30</xdr:row>
      <xdr:rowOff>55561</xdr:rowOff>
    </xdr:to>
    <xdr:pic>
      <xdr:nvPicPr>
        <xdr:cNvPr id="60" name="Grafik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92234" y="13162046"/>
          <a:ext cx="10918018" cy="258657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180975</xdr:colOff>
      <xdr:row>33</xdr:row>
      <xdr:rowOff>14208</xdr:rowOff>
    </xdr:from>
    <xdr:to>
      <xdr:col>4</xdr:col>
      <xdr:colOff>830184</xdr:colOff>
      <xdr:row>34</xdr:row>
      <xdr:rowOff>99972</xdr:rowOff>
    </xdr:to>
    <xdr:pic>
      <xdr:nvPicPr>
        <xdr:cNvPr id="62" name="Grafik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80975" y="14301708"/>
          <a:ext cx="10813228" cy="275661"/>
        </a:xfrm>
        <a:prstGeom prst="rect">
          <a:avLst/>
        </a:prstGeom>
      </xdr:spPr>
    </xdr:pic>
    <xdr:clientData/>
  </xdr:twoCellAnchor>
  <xdr:twoCellAnchor editAs="oneCell">
    <xdr:from>
      <xdr:col>0</xdr:col>
      <xdr:colOff>193031</xdr:colOff>
      <xdr:row>39</xdr:row>
      <xdr:rowOff>312275</xdr:rowOff>
    </xdr:from>
    <xdr:to>
      <xdr:col>4</xdr:col>
      <xdr:colOff>594555</xdr:colOff>
      <xdr:row>42</xdr:row>
      <xdr:rowOff>112568</xdr:rowOff>
    </xdr:to>
    <xdr:pic>
      <xdr:nvPicPr>
        <xdr:cNvPr id="63" name="Grafik 62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93031" y="16462576"/>
          <a:ext cx="10565543" cy="550839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26</xdr:row>
      <xdr:rowOff>197975</xdr:rowOff>
    </xdr:from>
    <xdr:to>
      <xdr:col>0</xdr:col>
      <xdr:colOff>285766</xdr:colOff>
      <xdr:row>40</xdr:row>
      <xdr:rowOff>198561</xdr:rowOff>
    </xdr:to>
    <xdr:pic>
      <xdr:nvPicPr>
        <xdr:cNvPr id="64" name="Grafik 63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71450" y="12523204"/>
          <a:ext cx="114316" cy="419640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304800</xdr:colOff>
      <xdr:row>39</xdr:row>
      <xdr:rowOff>47625</xdr:rowOff>
    </xdr:from>
    <xdr:to>
      <xdr:col>1</xdr:col>
      <xdr:colOff>1028801</xdr:colOff>
      <xdr:row>39</xdr:row>
      <xdr:rowOff>314362</xdr:rowOff>
    </xdr:to>
    <xdr:pic>
      <xdr:nvPicPr>
        <xdr:cNvPr id="65" name="Grafik 64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19175" y="16211550"/>
          <a:ext cx="724001" cy="266737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50</xdr:row>
      <xdr:rowOff>0</xdr:rowOff>
    </xdr:from>
    <xdr:to>
      <xdr:col>1</xdr:col>
      <xdr:colOff>38174</xdr:colOff>
      <xdr:row>62</xdr:row>
      <xdr:rowOff>29419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/>
        <a:stretch>
          <a:fillRect/>
        </a:stretch>
      </xdr:blipFill>
      <xdr:spPr>
        <a:xfrm>
          <a:off x="219075" y="3495675"/>
          <a:ext cx="533474" cy="6049219"/>
        </a:xfrm>
        <a:prstGeom prst="rect">
          <a:avLst/>
        </a:prstGeom>
      </xdr:spPr>
    </xdr:pic>
    <xdr:clientData/>
  </xdr:twoCellAnchor>
  <xdr:twoCellAnchor editAs="oneCell">
    <xdr:from>
      <xdr:col>3</xdr:col>
      <xdr:colOff>2686050</xdr:colOff>
      <xdr:row>51</xdr:row>
      <xdr:rowOff>409575</xdr:rowOff>
    </xdr:from>
    <xdr:to>
      <xdr:col>4</xdr:col>
      <xdr:colOff>1381322</xdr:colOff>
      <xdr:row>62</xdr:row>
      <xdr:rowOff>210289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/>
        <a:stretch>
          <a:fillRect/>
        </a:stretch>
      </xdr:blipFill>
      <xdr:spPr>
        <a:xfrm>
          <a:off x="10134600" y="4429125"/>
          <a:ext cx="1409897" cy="529663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43</xdr:row>
      <xdr:rowOff>0</xdr:rowOff>
    </xdr:from>
    <xdr:to>
      <xdr:col>4</xdr:col>
      <xdr:colOff>1401762</xdr:colOff>
      <xdr:row>47</xdr:row>
      <xdr:rowOff>19336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/>
        <a:stretch>
          <a:fillRect/>
        </a:stretch>
      </xdr:blipFill>
      <xdr:spPr>
        <a:xfrm>
          <a:off x="190500" y="0"/>
          <a:ext cx="11374437" cy="2048161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43</xdr:row>
      <xdr:rowOff>19050</xdr:rowOff>
    </xdr:from>
    <xdr:to>
      <xdr:col>1</xdr:col>
      <xdr:colOff>28647</xdr:colOff>
      <xdr:row>51</xdr:row>
      <xdr:rowOff>276822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2"/>
        <a:stretch>
          <a:fillRect/>
        </a:stretch>
      </xdr:blipFill>
      <xdr:spPr>
        <a:xfrm>
          <a:off x="228600" y="19050"/>
          <a:ext cx="514422" cy="4277322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49</xdr:row>
      <xdr:rowOff>400050</xdr:rowOff>
    </xdr:from>
    <xdr:to>
      <xdr:col>4</xdr:col>
      <xdr:colOff>1392232</xdr:colOff>
      <xdr:row>52</xdr:row>
      <xdr:rowOff>114452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/>
        <a:stretch>
          <a:fillRect/>
        </a:stretch>
      </xdr:blipFill>
      <xdr:spPr>
        <a:xfrm>
          <a:off x="219075" y="3486150"/>
          <a:ext cx="11336332" cy="1086002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47</xdr:row>
      <xdr:rowOff>495300</xdr:rowOff>
    </xdr:from>
    <xdr:to>
      <xdr:col>2</xdr:col>
      <xdr:colOff>1267607</xdr:colOff>
      <xdr:row>48</xdr:row>
      <xdr:rowOff>276269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/>
        <a:stretch>
          <a:fillRect/>
        </a:stretch>
      </xdr:blipFill>
      <xdr:spPr>
        <a:xfrm>
          <a:off x="542925" y="2524125"/>
          <a:ext cx="5601482" cy="314369"/>
        </a:xfrm>
        <a:prstGeom prst="rect">
          <a:avLst/>
        </a:prstGeom>
      </xdr:spPr>
    </xdr:pic>
    <xdr:clientData/>
  </xdr:twoCellAnchor>
  <xdr:twoCellAnchor editAs="oneCell">
    <xdr:from>
      <xdr:col>1</xdr:col>
      <xdr:colOff>3914775</xdr:colOff>
      <xdr:row>45</xdr:row>
      <xdr:rowOff>476250</xdr:rowOff>
    </xdr:from>
    <xdr:to>
      <xdr:col>2</xdr:col>
      <xdr:colOff>1562353</xdr:colOff>
      <xdr:row>50</xdr:row>
      <xdr:rowOff>219379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/>
        <a:stretch>
          <a:fillRect/>
        </a:stretch>
      </xdr:blipFill>
      <xdr:spPr>
        <a:xfrm>
          <a:off x="4629150" y="1533525"/>
          <a:ext cx="1810003" cy="2181529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48</xdr:row>
      <xdr:rowOff>466725</xdr:rowOff>
    </xdr:from>
    <xdr:to>
      <xdr:col>2</xdr:col>
      <xdr:colOff>810379</xdr:colOff>
      <xdr:row>49</xdr:row>
      <xdr:rowOff>181008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>
          <a:off x="285750" y="3028950"/>
          <a:ext cx="5401429" cy="238158"/>
        </a:xfrm>
        <a:prstGeom prst="rect">
          <a:avLst/>
        </a:prstGeom>
      </xdr:spPr>
    </xdr:pic>
    <xdr:clientData/>
  </xdr:twoCellAnchor>
  <xdr:twoCellAnchor editAs="oneCell">
    <xdr:from>
      <xdr:col>4</xdr:col>
      <xdr:colOff>942975</xdr:colOff>
      <xdr:row>45</xdr:row>
      <xdr:rowOff>161925</xdr:rowOff>
    </xdr:from>
    <xdr:to>
      <xdr:col>4</xdr:col>
      <xdr:colOff>1381186</xdr:colOff>
      <xdr:row>50</xdr:row>
      <xdr:rowOff>209897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3"/>
        <a:stretch>
          <a:fillRect/>
        </a:stretch>
      </xdr:blipFill>
      <xdr:spPr>
        <a:xfrm>
          <a:off x="11106150" y="1219200"/>
          <a:ext cx="438211" cy="2486372"/>
        </a:xfrm>
        <a:prstGeom prst="rect">
          <a:avLst/>
        </a:prstGeom>
      </xdr:spPr>
    </xdr:pic>
    <xdr:clientData/>
  </xdr:twoCellAnchor>
  <xdr:twoCellAnchor editAs="oneCell">
    <xdr:from>
      <xdr:col>2</xdr:col>
      <xdr:colOff>1019175</xdr:colOff>
      <xdr:row>48</xdr:row>
      <xdr:rowOff>142875</xdr:rowOff>
    </xdr:from>
    <xdr:to>
      <xdr:col>4</xdr:col>
      <xdr:colOff>1277124</xdr:colOff>
      <xdr:row>48</xdr:row>
      <xdr:rowOff>447718</xdr:rowOff>
    </xdr:to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/>
        <a:stretch>
          <a:fillRect/>
        </a:stretch>
      </xdr:blipFill>
      <xdr:spPr>
        <a:xfrm>
          <a:off x="5895975" y="2705100"/>
          <a:ext cx="5544324" cy="30484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1047750</xdr:colOff>
      <xdr:row>46</xdr:row>
      <xdr:rowOff>209550</xdr:rowOff>
    </xdr:from>
    <xdr:to>
      <xdr:col>4</xdr:col>
      <xdr:colOff>1172330</xdr:colOff>
      <xdr:row>47</xdr:row>
      <xdr:rowOff>200091</xdr:rowOff>
    </xdr:to>
    <xdr:pic>
      <xdr:nvPicPr>
        <xdr:cNvPr id="12" name="Grafik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/>
        <a:stretch>
          <a:fillRect/>
        </a:stretch>
      </xdr:blipFill>
      <xdr:spPr>
        <a:xfrm>
          <a:off x="5924550" y="1752600"/>
          <a:ext cx="5410955" cy="476316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62</xdr:row>
      <xdr:rowOff>66675</xdr:rowOff>
    </xdr:from>
    <xdr:to>
      <xdr:col>4</xdr:col>
      <xdr:colOff>1392235</xdr:colOff>
      <xdr:row>63</xdr:row>
      <xdr:rowOff>304908</xdr:rowOff>
    </xdr:to>
    <xdr:pic>
      <xdr:nvPicPr>
        <xdr:cNvPr id="13" name="Grafik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/>
        <a:stretch>
          <a:fillRect/>
        </a:stretch>
      </xdr:blipFill>
      <xdr:spPr>
        <a:xfrm>
          <a:off x="200025" y="9582150"/>
          <a:ext cx="11355385" cy="771633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63</xdr:row>
      <xdr:rowOff>47625</xdr:rowOff>
    </xdr:from>
    <xdr:to>
      <xdr:col>1</xdr:col>
      <xdr:colOff>857443</xdr:colOff>
      <xdr:row>70</xdr:row>
      <xdr:rowOff>95632</xdr:rowOff>
    </xdr:to>
    <xdr:pic>
      <xdr:nvPicPr>
        <xdr:cNvPr id="14" name="Grafik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/>
        <a:stretch>
          <a:fillRect/>
        </a:stretch>
      </xdr:blipFill>
      <xdr:spPr>
        <a:xfrm>
          <a:off x="190500" y="10096500"/>
          <a:ext cx="1381318" cy="2734057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66</xdr:row>
      <xdr:rowOff>342900</xdr:rowOff>
    </xdr:from>
    <xdr:to>
      <xdr:col>2</xdr:col>
      <xdr:colOff>2058344</xdr:colOff>
      <xdr:row>68</xdr:row>
      <xdr:rowOff>219168</xdr:rowOff>
    </xdr:to>
    <xdr:pic>
      <xdr:nvPicPr>
        <xdr:cNvPr id="15" name="Grafik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171450" y="11563350"/>
          <a:ext cx="6763694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876300</xdr:colOff>
      <xdr:row>63</xdr:row>
      <xdr:rowOff>38100</xdr:rowOff>
    </xdr:from>
    <xdr:to>
      <xdr:col>2</xdr:col>
      <xdr:colOff>1076353</xdr:colOff>
      <xdr:row>68</xdr:row>
      <xdr:rowOff>19321</xdr:rowOff>
    </xdr:to>
    <xdr:pic>
      <xdr:nvPicPr>
        <xdr:cNvPr id="16" name="Grafik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/>
        <a:stretch>
          <a:fillRect/>
        </a:stretch>
      </xdr:blipFill>
      <xdr:spPr>
        <a:xfrm>
          <a:off x="5753100" y="10086975"/>
          <a:ext cx="200053" cy="1943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2057400</xdr:colOff>
      <xdr:row>67</xdr:row>
      <xdr:rowOff>95250</xdr:rowOff>
    </xdr:from>
    <xdr:to>
      <xdr:col>3</xdr:col>
      <xdr:colOff>276335</xdr:colOff>
      <xdr:row>68</xdr:row>
      <xdr:rowOff>28619</xdr:rowOff>
    </xdr:to>
    <xdr:pic>
      <xdr:nvPicPr>
        <xdr:cNvPr id="17" name="Grafik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/>
        <a:stretch>
          <a:fillRect/>
        </a:stretch>
      </xdr:blipFill>
      <xdr:spPr>
        <a:xfrm>
          <a:off x="6934200" y="11725275"/>
          <a:ext cx="790685" cy="314369"/>
        </a:xfrm>
        <a:prstGeom prst="rect">
          <a:avLst/>
        </a:prstGeom>
      </xdr:spPr>
    </xdr:pic>
    <xdr:clientData/>
  </xdr:twoCellAnchor>
  <xdr:twoCellAnchor editAs="oneCell">
    <xdr:from>
      <xdr:col>3</xdr:col>
      <xdr:colOff>209550</xdr:colOff>
      <xdr:row>67</xdr:row>
      <xdr:rowOff>314325</xdr:rowOff>
    </xdr:from>
    <xdr:to>
      <xdr:col>4</xdr:col>
      <xdr:colOff>1372141</xdr:colOff>
      <xdr:row>70</xdr:row>
      <xdr:rowOff>85847</xdr:rowOff>
    </xdr:to>
    <xdr:pic>
      <xdr:nvPicPr>
        <xdr:cNvPr id="18" name="Grafik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/>
        <a:stretch>
          <a:fillRect/>
        </a:stretch>
      </xdr:blipFill>
      <xdr:spPr>
        <a:xfrm>
          <a:off x="7658100" y="11944350"/>
          <a:ext cx="3877216" cy="876422"/>
        </a:xfrm>
        <a:prstGeom prst="rect">
          <a:avLst/>
        </a:prstGeom>
      </xdr:spPr>
    </xdr:pic>
    <xdr:clientData/>
  </xdr:twoCellAnchor>
  <xdr:twoCellAnchor editAs="oneCell">
    <xdr:from>
      <xdr:col>4</xdr:col>
      <xdr:colOff>904875</xdr:colOff>
      <xdr:row>63</xdr:row>
      <xdr:rowOff>0</xdr:rowOff>
    </xdr:from>
    <xdr:to>
      <xdr:col>4</xdr:col>
      <xdr:colOff>1409770</xdr:colOff>
      <xdr:row>68</xdr:row>
      <xdr:rowOff>200327</xdr:rowOff>
    </xdr:to>
    <xdr:pic>
      <xdr:nvPicPr>
        <xdr:cNvPr id="19" name="Grafik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/>
        <a:stretch>
          <a:fillRect/>
        </a:stretch>
      </xdr:blipFill>
      <xdr:spPr>
        <a:xfrm>
          <a:off x="11068050" y="10048875"/>
          <a:ext cx="504895" cy="216247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68</xdr:row>
      <xdr:rowOff>60846</xdr:rowOff>
    </xdr:from>
    <xdr:to>
      <xdr:col>4</xdr:col>
      <xdr:colOff>1401749</xdr:colOff>
      <xdr:row>70</xdr:row>
      <xdr:rowOff>97346</xdr:rowOff>
    </xdr:to>
    <xdr:pic>
      <xdr:nvPicPr>
        <xdr:cNvPr id="20" name="Grafik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/>
        <a:stretch>
          <a:fillRect/>
        </a:stretch>
      </xdr:blipFill>
      <xdr:spPr>
        <a:xfrm>
          <a:off x="285750" y="12071871"/>
          <a:ext cx="11279174" cy="760400"/>
        </a:xfrm>
        <a:prstGeom prst="rect">
          <a:avLst/>
        </a:prstGeom>
      </xdr:spPr>
    </xdr:pic>
    <xdr:clientData/>
  </xdr:twoCellAnchor>
  <xdr:twoCellAnchor editAs="oneCell">
    <xdr:from>
      <xdr:col>3</xdr:col>
      <xdr:colOff>2679539</xdr:colOff>
      <xdr:row>68</xdr:row>
      <xdr:rowOff>265132</xdr:rowOff>
    </xdr:from>
    <xdr:to>
      <xdr:col>5</xdr:col>
      <xdr:colOff>3217</xdr:colOff>
      <xdr:row>85</xdr:row>
      <xdr:rowOff>94584</xdr:rowOff>
    </xdr:to>
    <xdr:pic>
      <xdr:nvPicPr>
        <xdr:cNvPr id="21" name="Grafik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/>
        <a:stretch>
          <a:fillRect/>
        </a:stretch>
      </xdr:blipFill>
      <xdr:spPr>
        <a:xfrm>
          <a:off x="10128089" y="12276157"/>
          <a:ext cx="1457528" cy="4734827"/>
        </a:xfrm>
        <a:prstGeom prst="rect">
          <a:avLst/>
        </a:prstGeom>
      </xdr:spPr>
    </xdr:pic>
    <xdr:clientData/>
  </xdr:twoCellAnchor>
  <xdr:twoCellAnchor editAs="oneCell">
    <xdr:from>
      <xdr:col>0</xdr:col>
      <xdr:colOff>284664</xdr:colOff>
      <xdr:row>74</xdr:row>
      <xdr:rowOff>54852</xdr:rowOff>
    </xdr:from>
    <xdr:to>
      <xdr:col>4</xdr:col>
      <xdr:colOff>590925</xdr:colOff>
      <xdr:row>75</xdr:row>
      <xdr:rowOff>45363</xdr:rowOff>
    </xdr:to>
    <xdr:pic>
      <xdr:nvPicPr>
        <xdr:cNvPr id="22" name="Grafik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/>
        <a:stretch>
          <a:fillRect/>
        </a:stretch>
      </xdr:blipFill>
      <xdr:spPr>
        <a:xfrm>
          <a:off x="284664" y="13751802"/>
          <a:ext cx="10469436" cy="257211"/>
        </a:xfrm>
        <a:prstGeom prst="rect">
          <a:avLst/>
        </a:prstGeom>
      </xdr:spPr>
    </xdr:pic>
    <xdr:clientData/>
  </xdr:twoCellAnchor>
  <xdr:twoCellAnchor editAs="oneCell">
    <xdr:from>
      <xdr:col>2</xdr:col>
      <xdr:colOff>841214</xdr:colOff>
      <xdr:row>70</xdr:row>
      <xdr:rowOff>43899</xdr:rowOff>
    </xdr:from>
    <xdr:to>
      <xdr:col>2</xdr:col>
      <xdr:colOff>993635</xdr:colOff>
      <xdr:row>85</xdr:row>
      <xdr:rowOff>111408</xdr:rowOff>
    </xdr:to>
    <xdr:pic>
      <xdr:nvPicPr>
        <xdr:cNvPr id="23" name="Grafik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5718014" y="12778824"/>
          <a:ext cx="152421" cy="4248984"/>
        </a:xfrm>
        <a:prstGeom prst="rect">
          <a:avLst/>
        </a:prstGeom>
      </xdr:spPr>
    </xdr:pic>
    <xdr:clientData/>
  </xdr:twoCellAnchor>
  <xdr:twoCellAnchor editAs="oneCell">
    <xdr:from>
      <xdr:col>0</xdr:col>
      <xdr:colOff>192234</xdr:colOff>
      <xdr:row>72</xdr:row>
      <xdr:rowOff>7900</xdr:rowOff>
    </xdr:from>
    <xdr:to>
      <xdr:col>4</xdr:col>
      <xdr:colOff>946233</xdr:colOff>
      <xdr:row>73</xdr:row>
      <xdr:rowOff>55561</xdr:rowOff>
    </xdr:to>
    <xdr:pic>
      <xdr:nvPicPr>
        <xdr:cNvPr id="24" name="Grafik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/>
        <a:stretch>
          <a:fillRect/>
        </a:stretch>
      </xdr:blipFill>
      <xdr:spPr>
        <a:xfrm>
          <a:off x="192234" y="13171450"/>
          <a:ext cx="10917174" cy="257211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180975</xdr:colOff>
      <xdr:row>76</xdr:row>
      <xdr:rowOff>14208</xdr:rowOff>
    </xdr:from>
    <xdr:to>
      <xdr:col>4</xdr:col>
      <xdr:colOff>830184</xdr:colOff>
      <xdr:row>77</xdr:row>
      <xdr:rowOff>99972</xdr:rowOff>
    </xdr:to>
    <xdr:pic>
      <xdr:nvPicPr>
        <xdr:cNvPr id="25" name="Grafik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>
          <a:off x="180975" y="14311233"/>
          <a:ext cx="10812384" cy="276264"/>
        </a:xfrm>
        <a:prstGeom prst="rect">
          <a:avLst/>
        </a:prstGeom>
      </xdr:spPr>
    </xdr:pic>
    <xdr:clientData/>
  </xdr:twoCellAnchor>
  <xdr:twoCellAnchor editAs="oneCell">
    <xdr:from>
      <xdr:col>0</xdr:col>
      <xdr:colOff>193031</xdr:colOff>
      <xdr:row>82</xdr:row>
      <xdr:rowOff>312275</xdr:rowOff>
    </xdr:from>
    <xdr:to>
      <xdr:col>4</xdr:col>
      <xdr:colOff>594555</xdr:colOff>
      <xdr:row>85</xdr:row>
      <xdr:rowOff>112568</xdr:rowOff>
    </xdr:to>
    <xdr:pic>
      <xdr:nvPicPr>
        <xdr:cNvPr id="26" name="Grafik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/>
        <a:stretch>
          <a:fillRect/>
        </a:stretch>
      </xdr:blipFill>
      <xdr:spPr>
        <a:xfrm>
          <a:off x="193031" y="16476200"/>
          <a:ext cx="10564699" cy="552768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69</xdr:row>
      <xdr:rowOff>197975</xdr:rowOff>
    </xdr:from>
    <xdr:to>
      <xdr:col>0</xdr:col>
      <xdr:colOff>285766</xdr:colOff>
      <xdr:row>83</xdr:row>
      <xdr:rowOff>198561</xdr:rowOff>
    </xdr:to>
    <xdr:pic>
      <xdr:nvPicPr>
        <xdr:cNvPr id="27" name="Grafik 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/>
        <a:stretch>
          <a:fillRect/>
        </a:stretch>
      </xdr:blipFill>
      <xdr:spPr>
        <a:xfrm>
          <a:off x="171450" y="12532850"/>
          <a:ext cx="114316" cy="4201111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304800</xdr:colOff>
      <xdr:row>82</xdr:row>
      <xdr:rowOff>47625</xdr:rowOff>
    </xdr:from>
    <xdr:to>
      <xdr:col>1</xdr:col>
      <xdr:colOff>1028801</xdr:colOff>
      <xdr:row>82</xdr:row>
      <xdr:rowOff>314362</xdr:rowOff>
    </xdr:to>
    <xdr:pic>
      <xdr:nvPicPr>
        <xdr:cNvPr id="28" name="Grafik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1019175" y="16211550"/>
          <a:ext cx="724001" cy="2667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H3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2" customWidth="1" min="3" max="3"/>
    <col width="16" customWidth="1" min="4" max="4"/>
    <col width="18" customWidth="1" min="5" max="5"/>
    <col width="22" customWidth="1" min="6" max="6"/>
    <col width="8" customWidth="1" min="7" max="7"/>
    <col width="12" customWidth="1" min="8" max="8"/>
  </cols>
  <sheetData>
    <row r="1" ht="38" customHeight="1">
      <c r="A1" s="21" t="inlineStr">
        <is>
          <t>EH-Kurs – Teilnehmerliste 2026</t>
        </is>
      </c>
    </row>
    <row r="3" ht="22" customHeight="1">
      <c r="B3" s="22" t="inlineStr">
        <is>
          <t>Datum:</t>
        </is>
      </c>
      <c r="C3" s="23" t="n"/>
      <c r="E3" s="22" t="inlineStr">
        <is>
          <t>Beginn:</t>
        </is>
      </c>
      <c r="F3" s="24" t="n"/>
      <c r="G3" s="22" t="inlineStr">
        <is>
          <t>Ende:</t>
        </is>
      </c>
      <c r="H3" s="24" t="n"/>
    </row>
    <row r="4" ht="22" customHeight="1">
      <c r="B4" s="22" t="inlineStr">
        <is>
          <t>Lehrkraft:</t>
        </is>
      </c>
      <c r="C4" s="25" t="n"/>
      <c r="E4" s="22" t="inlineStr">
        <is>
          <t>Kursart:</t>
        </is>
      </c>
      <c r="F4" s="25" t="n"/>
    </row>
    <row r="5" ht="22" customHeight="1">
      <c r="B5" s="22" t="inlineStr">
        <is>
          <t>Registriernr.:</t>
        </is>
      </c>
      <c r="C5" s="25" t="n"/>
      <c r="E5" s="22" t="inlineStr">
        <is>
          <t>QSEH-Kennziffer:</t>
        </is>
      </c>
      <c r="F5" s="26" t="inlineStr">
        <is>
          <t>7.0103</t>
        </is>
      </c>
    </row>
    <row r="6" ht="22" customHeight="1">
      <c r="B6" s="22" t="inlineStr">
        <is>
          <t>Lehrgangsort:</t>
        </is>
      </c>
      <c r="C6" s="25" t="inlineStr">
        <is>
          <t>Mercedes-Benz AG, PKW-Werk Rastatt</t>
        </is>
      </c>
    </row>
    <row r="7" ht="22" customHeight="1">
      <c r="B7" s="22" t="inlineStr">
        <is>
          <t>Verantw. Arzt:</t>
        </is>
      </c>
      <c r="C7" s="26" t="inlineStr">
        <is>
          <t>Dr. Schmidt, Sabine</t>
        </is>
      </c>
      <c r="E7" s="22" t="inlineStr">
        <is>
          <t>Tel.:</t>
        </is>
      </c>
      <c r="F7" s="26" t="inlineStr">
        <is>
          <t>07222/91-22111</t>
        </is>
      </c>
    </row>
    <row r="8" ht="22" customHeight="1">
      <c r="B8" s="22" t="inlineStr">
        <is>
          <t>Masken-Charge:</t>
        </is>
      </c>
      <c r="C8" s="25" t="n"/>
    </row>
    <row r="10" ht="25" customHeight="1">
      <c r="A10" s="27" t="inlineStr">
        <is>
          <t>Nr</t>
        </is>
      </c>
      <c r="B10" s="27" t="inlineStr">
        <is>
          <t>Nachname</t>
        </is>
      </c>
      <c r="C10" s="27" t="inlineStr">
        <is>
          <t>Vorname</t>
        </is>
      </c>
      <c r="D10" s="27" t="inlineStr">
        <is>
          <t>Geburtsdatum</t>
        </is>
      </c>
      <c r="E10" s="27" t="inlineStr">
        <is>
          <t>Ersthelfer (x)</t>
        </is>
      </c>
    </row>
    <row r="11" ht="22" customHeight="1">
      <c r="A11" s="28" t="n">
        <v>1</v>
      </c>
      <c r="B11" s="29" t="n"/>
      <c r="C11" s="29" t="n"/>
      <c r="D11" s="30" t="n"/>
      <c r="E11" s="31" t="n"/>
    </row>
    <row r="12" ht="22" customHeight="1">
      <c r="A12" s="32" t="n">
        <v>2</v>
      </c>
      <c r="B12" s="33" t="n"/>
      <c r="C12" s="33" t="n"/>
      <c r="D12" s="34" t="n"/>
      <c r="E12" s="35" t="n"/>
    </row>
    <row r="13" ht="22" customHeight="1">
      <c r="A13" s="28" t="n">
        <v>3</v>
      </c>
      <c r="B13" s="29" t="n"/>
      <c r="C13" s="29" t="n"/>
      <c r="D13" s="30" t="n"/>
      <c r="E13" s="31" t="n"/>
    </row>
    <row r="14" ht="22" customHeight="1">
      <c r="A14" s="32" t="n">
        <v>4</v>
      </c>
      <c r="B14" s="33" t="n"/>
      <c r="C14" s="33" t="n"/>
      <c r="D14" s="34" t="n"/>
      <c r="E14" s="35" t="n"/>
    </row>
    <row r="15" ht="22" customHeight="1">
      <c r="A15" s="28" t="n">
        <v>5</v>
      </c>
      <c r="B15" s="29" t="n"/>
      <c r="C15" s="29" t="n"/>
      <c r="D15" s="30" t="n"/>
      <c r="E15" s="31" t="n"/>
    </row>
    <row r="16" ht="22" customHeight="1">
      <c r="A16" s="32" t="n">
        <v>6</v>
      </c>
      <c r="B16" s="33" t="n"/>
      <c r="C16" s="33" t="n"/>
      <c r="D16" s="34" t="n"/>
      <c r="E16" s="35" t="n"/>
    </row>
    <row r="17" ht="22" customHeight="1">
      <c r="A17" s="28" t="n">
        <v>7</v>
      </c>
      <c r="B17" s="29" t="n"/>
      <c r="C17" s="29" t="n"/>
      <c r="D17" s="30" t="n"/>
      <c r="E17" s="31" t="n"/>
    </row>
    <row r="18" ht="22" customHeight="1">
      <c r="A18" s="32" t="n">
        <v>8</v>
      </c>
      <c r="B18" s="33" t="n"/>
      <c r="C18" s="33" t="n"/>
      <c r="D18" s="34" t="n"/>
      <c r="E18" s="35" t="n"/>
    </row>
    <row r="19" ht="22" customHeight="1">
      <c r="A19" s="28" t="n">
        <v>9</v>
      </c>
      <c r="B19" s="29" t="n"/>
      <c r="C19" s="29" t="n"/>
      <c r="D19" s="30" t="n"/>
      <c r="E19" s="31" t="n"/>
    </row>
    <row r="20" ht="22" customHeight="1">
      <c r="A20" s="32" t="n">
        <v>10</v>
      </c>
      <c r="B20" s="33" t="n"/>
      <c r="C20" s="33" t="n"/>
      <c r="D20" s="34" t="n"/>
      <c r="E20" s="35" t="n"/>
    </row>
    <row r="21" ht="22" customHeight="1">
      <c r="A21" s="28" t="n">
        <v>11</v>
      </c>
      <c r="B21" s="29" t="n"/>
      <c r="C21" s="29" t="n"/>
      <c r="D21" s="30" t="n"/>
      <c r="E21" s="31" t="n"/>
    </row>
    <row r="22" ht="22" customHeight="1">
      <c r="A22" s="32" t="n">
        <v>12</v>
      </c>
      <c r="B22" s="33" t="n"/>
      <c r="C22" s="33" t="n"/>
      <c r="D22" s="34" t="n"/>
      <c r="E22" s="35" t="n"/>
    </row>
    <row r="23" ht="22" customHeight="1">
      <c r="A23" s="28" t="n">
        <v>13</v>
      </c>
      <c r="B23" s="29" t="n"/>
      <c r="C23" s="29" t="n"/>
      <c r="D23" s="30" t="n"/>
      <c r="E23" s="31" t="n"/>
    </row>
    <row r="24" ht="22" customHeight="1">
      <c r="A24" s="32" t="n">
        <v>14</v>
      </c>
      <c r="B24" s="33" t="n"/>
      <c r="C24" s="33" t="n"/>
      <c r="D24" s="34" t="n"/>
      <c r="E24" s="35" t="n"/>
    </row>
    <row r="25" ht="22" customHeight="1">
      <c r="A25" s="28" t="n">
        <v>15</v>
      </c>
      <c r="B25" s="29" t="n"/>
      <c r="C25" s="29" t="n"/>
      <c r="D25" s="30" t="n"/>
      <c r="E25" s="31" t="n"/>
    </row>
    <row r="26" ht="22" customHeight="1">
      <c r="A26" s="32" t="n">
        <v>16</v>
      </c>
      <c r="B26" s="33" t="n"/>
      <c r="C26" s="33" t="n"/>
      <c r="D26" s="34" t="n"/>
      <c r="E26" s="35" t="n"/>
    </row>
    <row r="27" ht="22" customHeight="1">
      <c r="A27" s="28" t="n">
        <v>17</v>
      </c>
      <c r="B27" s="29" t="n"/>
      <c r="C27" s="29" t="n"/>
      <c r="D27" s="30" t="n"/>
      <c r="E27" s="31" t="n"/>
    </row>
    <row r="28" ht="22" customHeight="1">
      <c r="A28" s="32" t="n">
        <v>18</v>
      </c>
      <c r="B28" s="33" t="n"/>
      <c r="C28" s="33" t="n"/>
      <c r="D28" s="34" t="n"/>
      <c r="E28" s="35" t="n"/>
    </row>
    <row r="29" ht="22" customHeight="1">
      <c r="A29" s="28" t="n">
        <v>19</v>
      </c>
      <c r="B29" s="29" t="n"/>
      <c r="C29" s="29" t="n"/>
      <c r="D29" s="30" t="n"/>
      <c r="E29" s="31" t="n"/>
    </row>
    <row r="30" ht="22" customHeight="1">
      <c r="A30" s="32" t="n">
        <v>20</v>
      </c>
      <c r="B30" s="33" t="n"/>
      <c r="C30" s="33" t="n"/>
      <c r="D30" s="34" t="n"/>
      <c r="E30" s="35" t="n"/>
    </row>
    <row r="32" ht="25" customHeight="1">
      <c r="B32" s="22" t="inlineStr">
        <is>
          <t>Gesamtanzahl:</t>
        </is>
      </c>
      <c r="C32" s="36">
        <f>COUNTA(B11:B30)</f>
        <v/>
      </c>
      <c r="D32" s="22" t="inlineStr">
        <is>
          <t>davon Ersthelfer:</t>
        </is>
      </c>
      <c r="E32" s="36">
        <f>COUNTIF(E11:E30,"x")</f>
        <v/>
      </c>
    </row>
  </sheetData>
  <mergeCells count="2">
    <mergeCell ref="C6:E6"/>
    <mergeCell ref="A1:H1"/>
  </mergeCells>
  <conditionalFormatting sqref="B11:B30">
    <cfRule type="expression" priority="1" dxfId="0">
      <formula>AND($B11="",$C11&lt;&gt;"")</formula>
    </cfRule>
  </conditionalFormatting>
  <conditionalFormatting sqref="C11:C30">
    <cfRule type="expression" priority="2" dxfId="0">
      <formula>AND($C11="",$B11&lt;&gt;"")</formula>
    </cfRule>
  </conditionalFormatting>
  <dataValidations count="3">
    <dataValidation sqref="C4" showDropDown="0" showInputMessage="0" showErrorMessage="0" allowBlank="1" type="list">
      <formula1>=Lehrkraefte</formula1>
    </dataValidation>
    <dataValidation sqref="F4" showDropDown="0" showInputMessage="0" showErrorMessage="0" allowBlank="1" type="list">
      <formula1>"EH-Ausbildung,EH-Fortbildung,EH-Schulung"</formula1>
    </dataValidation>
    <dataValidation sqref="E11:E30" showDropDown="0" showInputMessage="0" showErrorMessage="0" allowBlank="1" type="list">
      <formula1>"x"</formula1>
    </dataValidation>
  </dataValidations>
  <pageMargins left="0.5" right="0.5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001B5E20"/>
    <outlinePr summaryBelow="1" summaryRight="1"/>
    <pageSetUpPr fitToPage="1"/>
  </sheetPr>
  <dimension ref="A1:BE388"/>
  <sheetViews>
    <sheetView tabSelected="1" zoomScaleNormal="100" workbookViewId="0">
      <selection activeCell="BE299" sqref="BE299"/>
    </sheetView>
  </sheetViews>
  <sheetFormatPr baseColWidth="10" defaultColWidth="9.140625" defaultRowHeight="14.25" customHeight="1"/>
  <cols>
    <col min="1" max="25" width="2.7109375" style="5" customWidth="1"/>
    <col min="26" max="27" width="2.42578125" style="5" customWidth="1"/>
    <col min="28" max="28" width="2.5703125" style="5" customWidth="1"/>
    <col min="29" max="52" width="2.7109375" style="5" customWidth="1"/>
    <col min="53" max="56" width="9.140625" style="1"/>
    <col min="57" max="57" width="10.140625" style="1" bestFit="1" customWidth="1"/>
    <col min="58" max="16384" width="9.140625" style="1"/>
  </cols>
  <sheetData>
    <row r="1"/>
    <row r="2"/>
    <row r="3"/>
    <row r="4"/>
    <row r="5"/>
    <row r="6"/>
    <row r="7"/>
    <row r="8"/>
    <row r="9"/>
    <row r="10"/>
    <row r="11" ht="14.25" customHeight="1">
      <c r="A11" s="17">
        <f>Teilnehmer!B11</f>
        <v/>
      </c>
      <c r="B11" s="37" t="n"/>
      <c r="C11" s="37" t="n"/>
      <c r="D11" s="37" t="n"/>
      <c r="E11" s="37" t="n"/>
      <c r="F11" s="37" t="n"/>
      <c r="G11" s="37" t="n"/>
      <c r="H11" s="37" t="n"/>
      <c r="I11" s="17">
        <f>Teilnehmer!C11</f>
        <v/>
      </c>
      <c r="J11" s="37" t="n"/>
      <c r="K11" s="37" t="n"/>
      <c r="L11" s="37" t="n"/>
      <c r="M11" s="37" t="n"/>
      <c r="N11" s="37" t="n"/>
      <c r="O11" s="37" t="n"/>
      <c r="P11" s="37" t="n"/>
      <c r="S11" s="2" t="inlineStr">
        <is>
          <t>geb. am:</t>
        </is>
      </c>
      <c r="T11" s="18">
        <f>Teilnehmer!D11</f>
        <v/>
      </c>
      <c r="U11" s="37" t="n"/>
      <c r="V11" s="37" t="n"/>
      <c r="W11" s="37" t="n"/>
      <c r="X11" s="37" t="n"/>
      <c r="Y11" s="20" t="n"/>
      <c r="AC11" s="17">
        <f>Teilnehmer!B12</f>
        <v/>
      </c>
      <c r="AD11" s="37" t="n"/>
      <c r="AE11" s="37" t="n"/>
      <c r="AF11" s="37" t="n"/>
      <c r="AG11" s="37" t="n"/>
      <c r="AH11" s="37" t="n"/>
      <c r="AI11" s="37" t="n"/>
      <c r="AJ11" s="37" t="n"/>
      <c r="AK11" s="17">
        <f>Teilnehmer!C12</f>
        <v/>
      </c>
      <c r="AL11" s="37" t="n"/>
      <c r="AM11" s="37" t="n"/>
      <c r="AN11" s="37" t="n"/>
      <c r="AO11" s="37" t="n"/>
      <c r="AP11" s="37" t="n"/>
      <c r="AQ11" s="37" t="n"/>
      <c r="AR11" s="37" t="n"/>
      <c r="AU11" s="2" t="inlineStr">
        <is>
          <t>geb. am:</t>
        </is>
      </c>
      <c r="AV11" s="18">
        <f>Teilnehmer!D12</f>
        <v/>
      </c>
      <c r="AW11" s="37" t="n"/>
      <c r="AX11" s="37" t="n"/>
      <c r="AY11" s="37" t="n"/>
      <c r="AZ11" s="37" t="n"/>
    </row>
    <row r="12" ht="14.25" customHeight="1">
      <c r="A12" s="6" t="n"/>
      <c r="B12" s="16" t="inlineStr">
        <is>
          <t>Name</t>
        </is>
      </c>
      <c r="C12" s="38" t="n"/>
      <c r="D12" s="38" t="n"/>
      <c r="E12" s="38" t="n"/>
      <c r="F12" s="38" t="n"/>
      <c r="G12" s="38" t="n"/>
      <c r="H12" s="6" t="n"/>
      <c r="I12" s="6" t="n"/>
      <c r="J12" s="16" t="inlineStr">
        <is>
          <t>Vorname</t>
        </is>
      </c>
      <c r="K12" s="38" t="n"/>
      <c r="L12" s="38" t="n"/>
      <c r="M12" s="38" t="n"/>
      <c r="N12" s="38" t="n"/>
      <c r="O12" s="38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AC12" s="6" t="n"/>
      <c r="AD12" s="16" t="inlineStr">
        <is>
          <t>Name</t>
        </is>
      </c>
      <c r="AE12" s="38" t="n"/>
      <c r="AF12" s="38" t="n"/>
      <c r="AG12" s="38" t="n"/>
      <c r="AH12" s="38" t="n"/>
      <c r="AI12" s="38" t="n"/>
      <c r="AJ12" s="6" t="n"/>
      <c r="AK12" s="6" t="n"/>
      <c r="AL12" s="16" t="inlineStr">
        <is>
          <t>Vorname</t>
        </is>
      </c>
      <c r="AM12" s="38" t="n"/>
      <c r="AN12" s="38" t="n"/>
      <c r="AO12" s="38" t="n"/>
      <c r="AP12" s="38" t="n"/>
      <c r="AQ12" s="38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</row>
    <row r="13"/>
    <row r="14" ht="14.25" customHeight="1">
      <c r="A14" s="3" t="inlineStr">
        <is>
          <t>hat an dem 9 Unterrichtseinheiten (Nettounterrichtszeit 9 x 45 Minuten) umfassenden Lehrgang</t>
        </is>
      </c>
      <c r="AC14" s="3" t="inlineStr">
        <is>
          <t>hat an dem 9 Unterrichtseinheiten (Nettounterrichtszeit 9 x 45 Minuten) umfassenden Lehrgang</t>
        </is>
      </c>
    </row>
    <row r="15"/>
    <row r="16" ht="14.25" customHeight="1">
      <c r="A16" s="3" t="inlineStr">
        <is>
          <t>am</t>
        </is>
      </c>
      <c r="C16" s="18">
        <f>Teilnehmer!C3</f>
        <v/>
      </c>
      <c r="D16" s="37" t="n"/>
      <c r="E16" s="37" t="n"/>
      <c r="F16" s="37" t="n"/>
      <c r="G16" s="37" t="n"/>
      <c r="H16" s="3" t="inlineStr">
        <is>
          <t>in der Zeit von</t>
        </is>
      </c>
      <c r="M16" s="19">
        <f>Teilnehmer!F3</f>
        <v/>
      </c>
      <c r="N16" s="37" t="n"/>
      <c r="O16" s="37" t="n"/>
      <c r="P16" s="3" t="inlineStr">
        <is>
          <t>Uhr bis</t>
        </is>
      </c>
      <c r="S16" s="19">
        <f>Teilnehmer!H3</f>
        <v/>
      </c>
      <c r="T16" s="37" t="n"/>
      <c r="U16" s="37" t="n"/>
      <c r="V16" s="3" t="inlineStr">
        <is>
          <t>Uhr</t>
        </is>
      </c>
      <c r="AC16" s="3" t="inlineStr">
        <is>
          <t>am</t>
        </is>
      </c>
      <c r="AE16" s="18">
        <f>Teilnehmer!C3</f>
        <v/>
      </c>
      <c r="AF16" s="37" t="n"/>
      <c r="AG16" s="37" t="n"/>
      <c r="AH16" s="37" t="n"/>
      <c r="AI16" s="37" t="n"/>
      <c r="AJ16" s="3" t="inlineStr">
        <is>
          <t>in der Zeit von</t>
        </is>
      </c>
      <c r="AO16" s="19">
        <f>Teilnehmer!F3</f>
        <v/>
      </c>
      <c r="AP16" s="37" t="n"/>
      <c r="AQ16" s="37" t="n"/>
      <c r="AR16" s="3" t="inlineStr">
        <is>
          <t>Uhr bis</t>
        </is>
      </c>
      <c r="AU16" s="19">
        <f>Teilnehmer!H3</f>
        <v/>
      </c>
      <c r="AV16" s="37" t="n"/>
      <c r="AW16" s="37" t="n"/>
      <c r="AX16" s="3" t="inlineStr">
        <is>
          <t>Uhr</t>
        </is>
      </c>
    </row>
    <row r="17" ht="14.25" customHeight="1">
      <c r="BE17" s="14" t="n"/>
    </row>
    <row r="18" ht="14.25" customHeight="1">
      <c r="A18" s="3" t="inlineStr">
        <is>
          <t>unter der Leitung von</t>
        </is>
      </c>
      <c r="H18" s="17">
        <f>Teilnehmer!C4</f>
        <v/>
      </c>
      <c r="I18" s="8" t="n"/>
      <c r="J18" s="8" t="n"/>
      <c r="K18" s="8" t="n"/>
      <c r="L18" s="8" t="n"/>
      <c r="M18" s="8" t="n"/>
      <c r="N18" s="8" t="n"/>
      <c r="O18" s="8" t="n"/>
      <c r="Q18" s="3" t="inlineStr">
        <is>
          <t>erfolgreich teilgenommen.</t>
        </is>
      </c>
      <c r="AC18" s="3" t="inlineStr">
        <is>
          <t>unter der Leitung von</t>
        </is>
      </c>
      <c r="AJ18" s="17">
        <f>Teilnehmer!C4</f>
        <v/>
      </c>
      <c r="AK18" s="8" t="n"/>
      <c r="AL18" s="8" t="n"/>
      <c r="AM18" s="8" t="n"/>
      <c r="AN18" s="8" t="n"/>
      <c r="AO18" s="8" t="n"/>
      <c r="AP18" s="8" t="n"/>
      <c r="AQ18" s="8" t="n"/>
      <c r="AS18" s="3" t="inlineStr">
        <is>
          <t>erfolgreich teilgenommen.</t>
        </is>
      </c>
    </row>
    <row r="19"/>
    <row r="20" ht="14.25" customHeight="1">
      <c r="A20" s="3" t="inlineStr">
        <is>
          <t>Teilnehmerunterlagen ausgehändigt:</t>
        </is>
      </c>
      <c r="N20" s="12" t="inlineStr">
        <is>
          <t>X</t>
        </is>
      </c>
      <c r="O20" s="3" t="inlineStr">
        <is>
          <t>ja</t>
        </is>
      </c>
      <c r="R20" s="12" t="n"/>
      <c r="S20" s="3" t="inlineStr">
        <is>
          <t>nein</t>
        </is>
      </c>
      <c r="AC20" s="3" t="inlineStr">
        <is>
          <t>Teilnehmerunterlagen ausgehändigt:</t>
        </is>
      </c>
      <c r="AP20" s="12" t="inlineStr">
        <is>
          <t>X</t>
        </is>
      </c>
      <c r="AQ20" s="3" t="inlineStr">
        <is>
          <t>ja</t>
        </is>
      </c>
      <c r="AT20" s="12" t="n"/>
      <c r="AU20" s="3" t="inlineStr">
        <is>
          <t>nein</t>
        </is>
      </c>
    </row>
    <row r="21"/>
    <row r="22"/>
    <row r="23" ht="14.25" customHeight="1">
      <c r="A23" s="4" t="inlineStr">
        <is>
          <t>Rastatt</t>
        </is>
      </c>
      <c r="G23" s="3" t="inlineStr">
        <is>
          <t>,den</t>
        </is>
      </c>
      <c r="I23" s="20">
        <f>Teilnehmer!C3</f>
        <v/>
      </c>
      <c r="AC23" s="4" t="inlineStr">
        <is>
          <t>Rastatt</t>
        </is>
      </c>
      <c r="AI23" s="3" t="inlineStr">
        <is>
          <t>,den</t>
        </is>
      </c>
      <c r="AK23" s="20">
        <f>Teilnehmer!C3</f>
        <v/>
      </c>
    </row>
    <row r="24" ht="14.25" customHeight="1">
      <c r="A24" s="16" t="inlineStr">
        <is>
          <t>Ort</t>
        </is>
      </c>
      <c r="B24" s="38" t="n"/>
      <c r="C24" s="38" t="n"/>
      <c r="D24" s="38" t="n"/>
      <c r="E24" s="38" t="n"/>
      <c r="F24" s="10" t="n"/>
      <c r="I24" s="16" t="inlineStr">
        <is>
          <t>Datum</t>
        </is>
      </c>
      <c r="J24" s="38" t="n"/>
      <c r="K24" s="38" t="n"/>
      <c r="L24" s="38" t="n"/>
      <c r="M24" s="38" t="n"/>
      <c r="O24" s="16" t="inlineStr">
        <is>
          <t>Unterschrift der Lehrkraft</t>
        </is>
      </c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11" t="n"/>
      <c r="AC24" s="16" t="inlineStr">
        <is>
          <t>Ort</t>
        </is>
      </c>
      <c r="AD24" s="38" t="n"/>
      <c r="AE24" s="38" t="n"/>
      <c r="AF24" s="38" t="n"/>
      <c r="AG24" s="38" t="n"/>
      <c r="AH24" s="10" t="n"/>
      <c r="AK24" s="16" t="inlineStr">
        <is>
          <t>Datum</t>
        </is>
      </c>
      <c r="AL24" s="38" t="n"/>
      <c r="AM24" s="38" t="n"/>
      <c r="AN24" s="38" t="n"/>
      <c r="AO24" s="38" t="n"/>
      <c r="AQ24" s="16" t="inlineStr">
        <is>
          <t>Unterschrift der Lehrkraft</t>
        </is>
      </c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</row>
    <row r="25" ht="14.25" customHeight="1">
      <c r="A25" s="11" t="n"/>
      <c r="B25" s="11" t="n"/>
      <c r="C25" s="11" t="n"/>
      <c r="D25" s="11" t="n"/>
      <c r="E25" s="11" t="n"/>
      <c r="F25" s="10" t="n"/>
      <c r="I25" s="11" t="n"/>
      <c r="J25" s="11" t="n"/>
      <c r="K25" s="11" t="n"/>
      <c r="L25" s="11" t="n"/>
      <c r="M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AC25" s="11" t="n"/>
      <c r="AD25" s="11" t="n"/>
      <c r="AE25" s="11" t="n"/>
      <c r="AF25" s="11" t="n"/>
      <c r="AG25" s="11" t="n"/>
      <c r="AH25" s="10" t="n"/>
      <c r="AK25" s="11" t="n"/>
      <c r="AL25" s="11" t="n"/>
      <c r="AM25" s="11" t="n"/>
      <c r="AN25" s="11" t="n"/>
      <c r="AO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</row>
    <row r="26" ht="14.25" customHeight="1">
      <c r="A26" s="11" t="n"/>
      <c r="B26" s="11" t="n"/>
      <c r="C26" s="11" t="n"/>
      <c r="D26" s="11" t="n"/>
      <c r="E26" s="11" t="n"/>
      <c r="F26" s="10" t="n"/>
      <c r="I26" s="11" t="n"/>
      <c r="J26" s="11" t="n"/>
      <c r="K26" s="11" t="n"/>
      <c r="L26" s="11" t="n"/>
      <c r="M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AC26" s="11" t="n"/>
      <c r="AD26" s="11" t="n"/>
      <c r="AE26" s="11" t="n"/>
      <c r="AF26" s="11" t="n"/>
      <c r="AG26" s="11" t="n"/>
      <c r="AH26" s="10" t="n"/>
      <c r="AK26" s="11" t="n"/>
      <c r="AL26" s="11" t="n"/>
      <c r="AM26" s="11" t="n"/>
      <c r="AN26" s="11" t="n"/>
      <c r="AO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</row>
    <row r="27" ht="14.25" customHeight="1">
      <c r="A27" s="11" t="n"/>
      <c r="B27" s="11" t="n"/>
      <c r="C27" s="11" t="n"/>
      <c r="D27" s="11" t="n"/>
      <c r="E27" s="11" t="n"/>
      <c r="F27" s="10" t="n"/>
      <c r="I27" s="11" t="n"/>
      <c r="J27" s="11" t="n"/>
      <c r="K27" s="11" t="n"/>
      <c r="L27" s="11" t="n"/>
      <c r="M27" s="11" t="n"/>
      <c r="O27" s="16" t="inlineStr">
        <is>
          <t>Ausbildungsverantwortlicher</t>
        </is>
      </c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11" t="n"/>
      <c r="AC27" s="11" t="n"/>
      <c r="AD27" s="11" t="n"/>
      <c r="AE27" s="11" t="n"/>
      <c r="AF27" s="11" t="n"/>
      <c r="AG27" s="11" t="n"/>
      <c r="AH27" s="10" t="n"/>
      <c r="AK27" s="11" t="n"/>
      <c r="AL27" s="11" t="n"/>
      <c r="AM27" s="11" t="n"/>
      <c r="AN27" s="11" t="n"/>
      <c r="AO27" s="11" t="n"/>
      <c r="AQ27" s="16" t="inlineStr">
        <is>
          <t>Ausbildungsverantwortlicher</t>
        </is>
      </c>
      <c r="AR27" s="38" t="n"/>
      <c r="AS27" s="38" t="n"/>
      <c r="AT27" s="38" t="n"/>
      <c r="AU27" s="38" t="n"/>
      <c r="AV27" s="38" t="n"/>
      <c r="AW27" s="38" t="n"/>
      <c r="AX27" s="38" t="n"/>
      <c r="AY27" s="38" t="n"/>
      <c r="AZ27" s="38" t="n"/>
    </row>
    <row r="28"/>
    <row r="29" ht="14.25" customHeight="1">
      <c r="A29" s="3" t="inlineStr">
        <is>
          <t>Name der ermächtigten Stelle:</t>
        </is>
      </c>
      <c r="K29" s="4" t="inlineStr">
        <is>
          <t>Mercedes-Benz AG, Werk Rastatt</t>
        </is>
      </c>
      <c r="AC29" s="3" t="inlineStr">
        <is>
          <t>Name der ermächtigten Stelle:</t>
        </is>
      </c>
      <c r="AM29" s="4" t="inlineStr">
        <is>
          <t>Mercedes-Benz AG, Werk Rastatt</t>
        </is>
      </c>
    </row>
    <row r="30"/>
    <row r="31" ht="14.25" customHeight="1">
      <c r="A31" s="3" t="inlineStr">
        <is>
          <t>Kennziffer der ermächtigten Stelle</t>
        </is>
      </c>
      <c r="AC31" s="3" t="inlineStr">
        <is>
          <t>Kennziffer der ermächtigten Stelle</t>
        </is>
      </c>
    </row>
    <row r="32" ht="14.25" customHeight="1">
      <c r="A32" s="3" t="inlineStr">
        <is>
          <t>gemäß § 26 DGUV Vorschri_x001F_ft:</t>
        </is>
      </c>
      <c r="K32" s="15" t="inlineStr">
        <is>
          <t>7.0103</t>
        </is>
      </c>
      <c r="AC32" s="3" t="inlineStr">
        <is>
          <t>gemäß § 26 DGUV Vorschri_x001F_ft:</t>
        </is>
      </c>
      <c r="AM32" s="15" t="inlineStr">
        <is>
          <t>7.0103</t>
        </is>
      </c>
    </row>
    <row r="33"/>
    <row r="34" ht="14.25" customHeight="1">
      <c r="A34" s="3" t="inlineStr">
        <is>
          <t>Registriernummer der Schulung:</t>
        </is>
      </c>
      <c r="K34" s="4">
        <f>Teilnehmer!C5</f>
        <v/>
      </c>
      <c r="AC34" s="3" t="inlineStr">
        <is>
          <t>Registriernummer der Schulung:</t>
        </is>
      </c>
      <c r="AM34" s="4">
        <f>Teilnehmer!C5</f>
        <v/>
      </c>
    </row>
    <row r="35"/>
    <row r="36" ht="14.25" customHeight="1">
      <c r="A36" s="9" t="inlineStr">
        <is>
          <t>* Die Teilnahme an der Ausbildung in betrieblicher Erster Hilfe gilt als Schulung in Erster Hilfe gem. § 19 Fahrerlaubnis- Verordnung</t>
        </is>
      </c>
      <c r="AC36" s="9" t="inlineStr">
        <is>
          <t>* Die Teilnahme an der Ausbildung in betrieblicher Erster Hilfe gilt als Schulung in Erster Hilfe gem. § 19 Fahrerlaubnis- Verordnung</t>
        </is>
      </c>
    </row>
    <row r="37" ht="14.25" customHeight="1">
      <c r="A37" s="9" t="inlineStr">
        <is>
          <t xml:space="preserve">   (FeV).</t>
        </is>
      </c>
      <c r="AC37" s="9" t="inlineStr">
        <is>
          <t xml:space="preserve">   (FeV).</t>
        </is>
      </c>
    </row>
    <row r="38"/>
    <row r="39"/>
    <row r="40"/>
    <row r="41"/>
    <row r="42"/>
    <row r="43"/>
    <row r="44"/>
    <row r="45"/>
    <row r="46"/>
    <row r="47"/>
    <row r="48"/>
    <row r="49"/>
    <row r="50" ht="14.25" customHeight="1">
      <c r="A50" s="17">
        <f>Teilnehmer!B13</f>
        <v/>
      </c>
      <c r="B50" s="37" t="n"/>
      <c r="C50" s="37" t="n"/>
      <c r="D50" s="37" t="n"/>
      <c r="E50" s="37" t="n"/>
      <c r="F50" s="37" t="n"/>
      <c r="G50" s="37" t="n"/>
      <c r="H50" s="37" t="n"/>
      <c r="I50" s="17">
        <f>Teilnehmer!C13</f>
        <v/>
      </c>
      <c r="J50" s="37" t="n"/>
      <c r="K50" s="37" t="n"/>
      <c r="L50" s="37" t="n"/>
      <c r="M50" s="37" t="n"/>
      <c r="N50" s="37" t="n"/>
      <c r="O50" s="37" t="n"/>
      <c r="P50" s="37" t="n"/>
      <c r="S50" s="2" t="inlineStr">
        <is>
          <t>geb. am:</t>
        </is>
      </c>
      <c r="T50" s="18">
        <f>Teilnehmer!D13</f>
        <v/>
      </c>
      <c r="U50" s="37" t="n"/>
      <c r="V50" s="37" t="n"/>
      <c r="W50" s="37" t="n"/>
      <c r="X50" s="37" t="n"/>
      <c r="AC50" s="17">
        <f>Teilnehmer!B14</f>
        <v/>
      </c>
      <c r="AD50" s="37" t="n"/>
      <c r="AE50" s="37" t="n"/>
      <c r="AF50" s="37" t="n"/>
      <c r="AG50" s="37" t="n"/>
      <c r="AH50" s="37" t="n"/>
      <c r="AI50" s="37" t="n"/>
      <c r="AJ50" s="37" t="n"/>
      <c r="AK50" s="17">
        <f>Teilnehmer!C14</f>
        <v/>
      </c>
      <c r="AL50" s="37" t="n"/>
      <c r="AM50" s="37" t="n"/>
      <c r="AN50" s="37" t="n"/>
      <c r="AO50" s="37" t="n"/>
      <c r="AP50" s="37" t="n"/>
      <c r="AQ50" s="37" t="n"/>
      <c r="AR50" s="37" t="n"/>
      <c r="AU50" s="2" t="inlineStr">
        <is>
          <t>geb. am:</t>
        </is>
      </c>
      <c r="AV50" s="18">
        <f>Teilnehmer!D14</f>
        <v/>
      </c>
      <c r="AW50" s="37" t="n"/>
      <c r="AX50" s="37" t="n"/>
      <c r="AY50" s="37" t="n"/>
      <c r="AZ50" s="37" t="n"/>
    </row>
    <row r="51" ht="14.25" customHeight="1">
      <c r="A51" s="6" t="n"/>
      <c r="B51" s="16" t="inlineStr">
        <is>
          <t>Name</t>
        </is>
      </c>
      <c r="C51" s="38" t="n"/>
      <c r="D51" s="38" t="n"/>
      <c r="E51" s="38" t="n"/>
      <c r="F51" s="38" t="n"/>
      <c r="G51" s="38" t="n"/>
      <c r="H51" s="6" t="n"/>
      <c r="I51" s="6" t="n"/>
      <c r="J51" s="16" t="inlineStr">
        <is>
          <t>Vorname</t>
        </is>
      </c>
      <c r="K51" s="38" t="n"/>
      <c r="L51" s="38" t="n"/>
      <c r="M51" s="38" t="n"/>
      <c r="N51" s="38" t="n"/>
      <c r="O51" s="38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AC51" s="6" t="n"/>
      <c r="AD51" s="16" t="inlineStr">
        <is>
          <t>Name</t>
        </is>
      </c>
      <c r="AE51" s="38" t="n"/>
      <c r="AF51" s="38" t="n"/>
      <c r="AG51" s="38" t="n"/>
      <c r="AH51" s="38" t="n"/>
      <c r="AI51" s="38" t="n"/>
      <c r="AJ51" s="6" t="n"/>
      <c r="AK51" s="6" t="n"/>
      <c r="AL51" s="16" t="inlineStr">
        <is>
          <t>Vorname</t>
        </is>
      </c>
      <c r="AM51" s="38" t="n"/>
      <c r="AN51" s="38" t="n"/>
      <c r="AO51" s="38" t="n"/>
      <c r="AP51" s="38" t="n"/>
      <c r="AQ51" s="38" t="n"/>
      <c r="AR51" s="6" t="n"/>
      <c r="AS51" s="6" t="n"/>
      <c r="AT51" s="6" t="n"/>
      <c r="AU51" s="6" t="n"/>
      <c r="AV51" s="6" t="n"/>
      <c r="AW51" s="6" t="n"/>
      <c r="AX51" s="6" t="n"/>
      <c r="AY51" s="6" t="n"/>
      <c r="AZ51" s="6" t="n"/>
    </row>
    <row r="52"/>
    <row r="53" ht="14.25" customHeight="1">
      <c r="A53" s="3" t="inlineStr">
        <is>
          <t>hat an dem 9 Unterrichtseinheiten (Nettounterrichtszeit 9 x 45 Minuten) umfassenden Lehrgang</t>
        </is>
      </c>
      <c r="AC53" s="3" t="inlineStr">
        <is>
          <t>hat an dem 9 Unterrichtseinheiten (Nettounterrichtszeit 9 x 45 Minuten) umfassenden Lehrgang</t>
        </is>
      </c>
    </row>
    <row r="54"/>
    <row r="55" ht="14.25" customHeight="1">
      <c r="A55" s="3" t="inlineStr">
        <is>
          <t>am</t>
        </is>
      </c>
      <c r="C55" s="18">
        <f>Teilnehmer!C3</f>
        <v/>
      </c>
      <c r="D55" s="37" t="n"/>
      <c r="E55" s="37" t="n"/>
      <c r="F55" s="37" t="n"/>
      <c r="G55" s="37" t="n"/>
      <c r="H55" s="3" t="inlineStr">
        <is>
          <t>in der Zeit von</t>
        </is>
      </c>
      <c r="M55" s="19">
        <f>Teilnehmer!F3</f>
        <v/>
      </c>
      <c r="N55" s="37" t="n"/>
      <c r="O55" s="37" t="n"/>
      <c r="P55" s="3" t="inlineStr">
        <is>
          <t>Uhr bis</t>
        </is>
      </c>
      <c r="S55" s="19">
        <f>Teilnehmer!H3</f>
        <v/>
      </c>
      <c r="T55" s="37" t="n"/>
      <c r="U55" s="37" t="n"/>
      <c r="V55" s="3" t="inlineStr">
        <is>
          <t>Uhr</t>
        </is>
      </c>
      <c r="AC55" s="3" t="inlineStr">
        <is>
          <t>am</t>
        </is>
      </c>
      <c r="AE55" s="18">
        <f>Teilnehmer!C3</f>
        <v/>
      </c>
      <c r="AF55" s="37" t="n"/>
      <c r="AG55" s="37" t="n"/>
      <c r="AH55" s="37" t="n"/>
      <c r="AI55" s="37" t="n"/>
      <c r="AJ55" s="3" t="inlineStr">
        <is>
          <t>in der Zeit von</t>
        </is>
      </c>
      <c r="AO55" s="19">
        <f>Teilnehmer!F3</f>
        <v/>
      </c>
      <c r="AP55" s="37" t="n"/>
      <c r="AQ55" s="37" t="n"/>
      <c r="AR55" s="3" t="inlineStr">
        <is>
          <t>Uhr bis</t>
        </is>
      </c>
      <c r="AU55" s="19">
        <f>Teilnehmer!H3</f>
        <v/>
      </c>
      <c r="AV55" s="37" t="n"/>
      <c r="AW55" s="37" t="n"/>
      <c r="AX55" s="3" t="inlineStr">
        <is>
          <t>Uhr</t>
        </is>
      </c>
    </row>
    <row r="56"/>
    <row r="57" ht="14.25" customHeight="1">
      <c r="A57" s="3" t="inlineStr">
        <is>
          <t>unter der Leitung von</t>
        </is>
      </c>
      <c r="H57" s="17">
        <f>Teilnehmer!C4</f>
        <v/>
      </c>
      <c r="I57" s="8" t="n"/>
      <c r="J57" s="8" t="n"/>
      <c r="K57" s="8" t="n"/>
      <c r="L57" s="8" t="n"/>
      <c r="M57" s="8" t="n"/>
      <c r="N57" s="8" t="n"/>
      <c r="O57" s="8" t="n"/>
      <c r="Q57" s="3" t="inlineStr">
        <is>
          <t>erfolgreich teilgenommen.</t>
        </is>
      </c>
      <c r="AC57" s="3" t="inlineStr">
        <is>
          <t>unter der Leitung von</t>
        </is>
      </c>
      <c r="AJ57" s="17">
        <f>Teilnehmer!C4</f>
        <v/>
      </c>
      <c r="AK57" s="8" t="n"/>
      <c r="AL57" s="8" t="n"/>
      <c r="AM57" s="8" t="n"/>
      <c r="AN57" s="8" t="n"/>
      <c r="AO57" s="8" t="n"/>
      <c r="AP57" s="8" t="n"/>
      <c r="AQ57" s="8" t="n"/>
      <c r="AS57" s="3" t="inlineStr">
        <is>
          <t>erfolgreich teilgenommen.</t>
        </is>
      </c>
    </row>
    <row r="58"/>
    <row r="59" ht="14.25" customHeight="1">
      <c r="A59" s="3" t="inlineStr">
        <is>
          <t>Teilnehmerunterlagen ausgehändigt:</t>
        </is>
      </c>
      <c r="N59" s="12" t="inlineStr">
        <is>
          <t>X</t>
        </is>
      </c>
      <c r="O59" s="3" t="inlineStr">
        <is>
          <t>ja</t>
        </is>
      </c>
      <c r="R59" s="12" t="n"/>
      <c r="S59" s="3" t="inlineStr">
        <is>
          <t>nein</t>
        </is>
      </c>
      <c r="AC59" s="3" t="inlineStr">
        <is>
          <t>Teilnehmerunterlagen ausgehändigt:</t>
        </is>
      </c>
      <c r="AP59" s="12" t="inlineStr">
        <is>
          <t>X</t>
        </is>
      </c>
      <c r="AQ59" s="3" t="inlineStr">
        <is>
          <t>ja</t>
        </is>
      </c>
      <c r="AT59" s="12" t="n"/>
      <c r="AU59" s="3" t="inlineStr">
        <is>
          <t>nein</t>
        </is>
      </c>
    </row>
    <row r="60"/>
    <row r="61"/>
    <row r="62" ht="14.25" customHeight="1">
      <c r="A62" s="4" t="inlineStr">
        <is>
          <t>Rastatt</t>
        </is>
      </c>
      <c r="G62" s="3" t="inlineStr">
        <is>
          <t>,den</t>
        </is>
      </c>
      <c r="I62" s="20">
        <f>Teilnehmer!C3</f>
        <v/>
      </c>
      <c r="AC62" s="4" t="inlineStr">
        <is>
          <t>Rastatt</t>
        </is>
      </c>
      <c r="AI62" s="3" t="inlineStr">
        <is>
          <t>,den</t>
        </is>
      </c>
      <c r="AK62" s="20">
        <f>Teilnehmer!C3</f>
        <v/>
      </c>
    </row>
    <row r="63" ht="14.25" customHeight="1">
      <c r="A63" s="16" t="inlineStr">
        <is>
          <t>Ort</t>
        </is>
      </c>
      <c r="B63" s="38" t="n"/>
      <c r="C63" s="38" t="n"/>
      <c r="D63" s="38" t="n"/>
      <c r="E63" s="38" t="n"/>
      <c r="F63" s="10" t="n"/>
      <c r="I63" s="16" t="inlineStr">
        <is>
          <t>Datum</t>
        </is>
      </c>
      <c r="J63" s="38" t="n"/>
      <c r="K63" s="38" t="n"/>
      <c r="L63" s="38" t="n"/>
      <c r="M63" s="38" t="n"/>
      <c r="O63" s="16" t="inlineStr">
        <is>
          <t>Unterschrift der Lehrkraft</t>
        </is>
      </c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AC63" s="16" t="inlineStr">
        <is>
          <t>Ort</t>
        </is>
      </c>
      <c r="AD63" s="38" t="n"/>
      <c r="AE63" s="38" t="n"/>
      <c r="AF63" s="38" t="n"/>
      <c r="AG63" s="38" t="n"/>
      <c r="AH63" s="10" t="n"/>
      <c r="AK63" s="16" t="inlineStr">
        <is>
          <t>Datum</t>
        </is>
      </c>
      <c r="AL63" s="38" t="n"/>
      <c r="AM63" s="38" t="n"/>
      <c r="AN63" s="38" t="n"/>
      <c r="AO63" s="38" t="n"/>
      <c r="AQ63" s="16" t="inlineStr">
        <is>
          <t>Unterschrift der Lehrkraft</t>
        </is>
      </c>
      <c r="AR63" s="38" t="n"/>
      <c r="AS63" s="38" t="n"/>
      <c r="AT63" s="38" t="n"/>
      <c r="AU63" s="38" t="n"/>
      <c r="AV63" s="38" t="n"/>
      <c r="AW63" s="38" t="n"/>
      <c r="AX63" s="38" t="n"/>
      <c r="AY63" s="38" t="n"/>
      <c r="AZ63" s="38" t="n"/>
    </row>
    <row r="64" ht="14.25" customHeight="1">
      <c r="A64" s="11" t="n"/>
      <c r="B64" s="11" t="n"/>
      <c r="C64" s="11" t="n"/>
      <c r="D64" s="11" t="n"/>
      <c r="E64" s="11" t="n"/>
      <c r="F64" s="10" t="n"/>
      <c r="I64" s="11" t="n"/>
      <c r="J64" s="11" t="n"/>
      <c r="K64" s="11" t="n"/>
      <c r="L64" s="11" t="n"/>
      <c r="M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AC64" s="11" t="n"/>
      <c r="AD64" s="11" t="n"/>
      <c r="AE64" s="11" t="n"/>
      <c r="AF64" s="11" t="n"/>
      <c r="AG64" s="11" t="n"/>
      <c r="AH64" s="10" t="n"/>
      <c r="AK64" s="11" t="n"/>
      <c r="AL64" s="11" t="n"/>
      <c r="AM64" s="11" t="n"/>
      <c r="AN64" s="11" t="n"/>
      <c r="AO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  <c r="AZ64" s="11" t="n"/>
    </row>
    <row r="65" ht="14.25" customHeight="1">
      <c r="A65" s="11" t="n"/>
      <c r="B65" s="11" t="n"/>
      <c r="C65" s="11" t="n"/>
      <c r="D65" s="11" t="n"/>
      <c r="E65" s="11" t="n"/>
      <c r="F65" s="10" t="n"/>
      <c r="I65" s="11" t="n"/>
      <c r="J65" s="11" t="n"/>
      <c r="K65" s="11" t="n"/>
      <c r="L65" s="11" t="n"/>
      <c r="M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AC65" s="11" t="n"/>
      <c r="AD65" s="11" t="n"/>
      <c r="AE65" s="11" t="n"/>
      <c r="AF65" s="11" t="n"/>
      <c r="AG65" s="11" t="n"/>
      <c r="AH65" s="10" t="n"/>
      <c r="AK65" s="11" t="n"/>
      <c r="AL65" s="11" t="n"/>
      <c r="AM65" s="11" t="n"/>
      <c r="AN65" s="11" t="n"/>
      <c r="AO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  <c r="AZ65" s="11" t="n"/>
    </row>
    <row r="66" ht="14.25" customHeight="1">
      <c r="A66" s="11" t="n"/>
      <c r="B66" s="11" t="n"/>
      <c r="C66" s="11" t="n"/>
      <c r="D66" s="11" t="n"/>
      <c r="E66" s="11" t="n"/>
      <c r="F66" s="10" t="n"/>
      <c r="I66" s="11" t="n"/>
      <c r="J66" s="11" t="n"/>
      <c r="K66" s="11" t="n"/>
      <c r="L66" s="11" t="n"/>
      <c r="M66" s="11" t="n"/>
      <c r="O66" s="16" t="inlineStr">
        <is>
          <t>Ausbildungsverantwortlicher</t>
        </is>
      </c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AC66" s="11" t="n"/>
      <c r="AD66" s="11" t="n"/>
      <c r="AE66" s="11" t="n"/>
      <c r="AF66" s="11" t="n"/>
      <c r="AG66" s="11" t="n"/>
      <c r="AH66" s="10" t="n"/>
      <c r="AK66" s="11" t="n"/>
      <c r="AL66" s="11" t="n"/>
      <c r="AM66" s="11" t="n"/>
      <c r="AN66" s="11" t="n"/>
      <c r="AO66" s="11" t="n"/>
      <c r="AQ66" s="16" t="inlineStr">
        <is>
          <t>Ausbildungsverantwortlicher</t>
        </is>
      </c>
      <c r="AR66" s="38" t="n"/>
      <c r="AS66" s="38" t="n"/>
      <c r="AT66" s="38" t="n"/>
      <c r="AU66" s="38" t="n"/>
      <c r="AV66" s="38" t="n"/>
      <c r="AW66" s="38" t="n"/>
      <c r="AX66" s="38" t="n"/>
      <c r="AY66" s="38" t="n"/>
      <c r="AZ66" s="38" t="n"/>
    </row>
    <row r="67"/>
    <row r="68" ht="14.25" customHeight="1">
      <c r="A68" s="3" t="inlineStr">
        <is>
          <t>Name der ermächtigten Stelle:</t>
        </is>
      </c>
      <c r="K68" s="4" t="inlineStr">
        <is>
          <t>Mercedes-Benz AG, Werk Rastatt</t>
        </is>
      </c>
      <c r="AC68" s="3" t="inlineStr">
        <is>
          <t>Name der ermächtigten Stelle:</t>
        </is>
      </c>
      <c r="AM68" s="4" t="inlineStr">
        <is>
          <t>Mercedes-Benz AG, Werk Rastatt</t>
        </is>
      </c>
    </row>
    <row r="69"/>
    <row r="70" ht="14.25" customHeight="1">
      <c r="A70" s="3" t="inlineStr">
        <is>
          <t>Kennziffer der ermächtigten Stelle</t>
        </is>
      </c>
      <c r="AC70" s="3" t="inlineStr">
        <is>
          <t>Kennziffer der ermächtigten Stelle</t>
        </is>
      </c>
    </row>
    <row r="71" ht="14.25" customHeight="1">
      <c r="A71" s="3" t="inlineStr">
        <is>
          <t>gemäß § 26 DGUV Vorschri_x001F_ft:</t>
        </is>
      </c>
      <c r="K71" s="15" t="inlineStr">
        <is>
          <t>7.0103</t>
        </is>
      </c>
      <c r="AC71" s="3" t="inlineStr">
        <is>
          <t>gemäß § 26 DGUV Vorschri_x001F_ft:</t>
        </is>
      </c>
      <c r="AM71" s="15" t="inlineStr">
        <is>
          <t>7.0103</t>
        </is>
      </c>
    </row>
    <row r="72"/>
    <row r="73" ht="14.25" customHeight="1">
      <c r="A73" s="3" t="inlineStr">
        <is>
          <t>Registriernummer der Schulung:</t>
        </is>
      </c>
      <c r="K73" s="4">
        <f>Teilnehmer!C5</f>
        <v/>
      </c>
      <c r="AC73" s="3" t="inlineStr">
        <is>
          <t>Registriernummer der Schulung:</t>
        </is>
      </c>
      <c r="AM73" s="4">
        <f>Teilnehmer!C5</f>
        <v/>
      </c>
    </row>
    <row r="74"/>
    <row r="75" ht="14.25" customHeight="1">
      <c r="A75" s="9" t="inlineStr">
        <is>
          <t>* Die Teilnahme an der Ausbildung in betrieblicher Erster Hilfe gilt als Schulung in Erster Hilfe gem. § 19 Fahrerlaubnis- Verordnung</t>
        </is>
      </c>
      <c r="AC75" s="9" t="inlineStr">
        <is>
          <t>* Die Teilnahme an der Ausbildung in betrieblicher Erster Hilfe gilt als Schulung in Erster Hilfe gem. § 19 Fahrerlaubnis- Verordnung</t>
        </is>
      </c>
    </row>
    <row r="76" ht="14.25" customHeight="1">
      <c r="A76" s="9" t="inlineStr">
        <is>
          <t xml:space="preserve">   (FeV).</t>
        </is>
      </c>
      <c r="AC76" s="9" t="inlineStr">
        <is>
          <t xml:space="preserve">   (FeV).</t>
        </is>
      </c>
    </row>
    <row r="77"/>
    <row r="78"/>
    <row r="79"/>
    <row r="80"/>
    <row r="81"/>
    <row r="82"/>
    <row r="83"/>
    <row r="84"/>
    <row r="85"/>
    <row r="86"/>
    <row r="87"/>
    <row r="88"/>
    <row r="89" ht="14.25" customHeight="1">
      <c r="A89" s="17">
        <f>Teilnehmer!B15</f>
        <v/>
      </c>
      <c r="B89" s="37" t="n"/>
      <c r="C89" s="37" t="n"/>
      <c r="D89" s="37" t="n"/>
      <c r="E89" s="37" t="n"/>
      <c r="F89" s="37" t="n"/>
      <c r="G89" s="37" t="n"/>
      <c r="H89" s="37" t="n"/>
      <c r="I89" s="17">
        <f>Teilnehmer!C15</f>
        <v/>
      </c>
      <c r="J89" s="37" t="n"/>
      <c r="K89" s="37" t="n"/>
      <c r="L89" s="37" t="n"/>
      <c r="M89" s="37" t="n"/>
      <c r="N89" s="37" t="n"/>
      <c r="O89" s="37" t="n"/>
      <c r="P89" s="37" t="n"/>
      <c r="S89" s="2" t="inlineStr">
        <is>
          <t>geb. am:</t>
        </is>
      </c>
      <c r="T89" s="18">
        <f>Teilnehmer!D15</f>
        <v/>
      </c>
      <c r="U89" s="37" t="n"/>
      <c r="V89" s="37" t="n"/>
      <c r="W89" s="37" t="n"/>
      <c r="X89" s="37" t="n"/>
      <c r="AC89" s="17">
        <f>Teilnehmer!B16</f>
        <v/>
      </c>
      <c r="AD89" s="37" t="n"/>
      <c r="AE89" s="37" t="n"/>
      <c r="AF89" s="37" t="n"/>
      <c r="AG89" s="37" t="n"/>
      <c r="AH89" s="37" t="n"/>
      <c r="AI89" s="37" t="n"/>
      <c r="AJ89" s="37" t="n"/>
      <c r="AK89" s="17">
        <f>Teilnehmer!C16</f>
        <v/>
      </c>
      <c r="AL89" s="37" t="n"/>
      <c r="AM89" s="37" t="n"/>
      <c r="AN89" s="37" t="n"/>
      <c r="AO89" s="37" t="n"/>
      <c r="AP89" s="37" t="n"/>
      <c r="AQ89" s="37" t="n"/>
      <c r="AR89" s="37" t="n"/>
      <c r="AU89" s="2" t="inlineStr">
        <is>
          <t>geb. am:</t>
        </is>
      </c>
      <c r="AV89" s="18">
        <f>Teilnehmer!D16</f>
        <v/>
      </c>
      <c r="AW89" s="37" t="n"/>
      <c r="AX89" s="37" t="n"/>
      <c r="AY89" s="37" t="n"/>
      <c r="AZ89" s="37" t="n"/>
    </row>
    <row r="90" ht="14.25" customHeight="1">
      <c r="A90" s="6" t="n"/>
      <c r="B90" s="16" t="inlineStr">
        <is>
          <t>Name</t>
        </is>
      </c>
      <c r="C90" s="38" t="n"/>
      <c r="D90" s="38" t="n"/>
      <c r="E90" s="38" t="n"/>
      <c r="F90" s="38" t="n"/>
      <c r="G90" s="38" t="n"/>
      <c r="H90" s="6" t="n"/>
      <c r="I90" s="6" t="n"/>
      <c r="J90" s="16" t="inlineStr">
        <is>
          <t>Vorname</t>
        </is>
      </c>
      <c r="K90" s="38" t="n"/>
      <c r="L90" s="38" t="n"/>
      <c r="M90" s="38" t="n"/>
      <c r="N90" s="38" t="n"/>
      <c r="O90" s="38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AC90" s="6" t="n"/>
      <c r="AD90" s="16" t="inlineStr">
        <is>
          <t>Name</t>
        </is>
      </c>
      <c r="AE90" s="38" t="n"/>
      <c r="AF90" s="38" t="n"/>
      <c r="AG90" s="38" t="n"/>
      <c r="AH90" s="38" t="n"/>
      <c r="AI90" s="38" t="n"/>
      <c r="AJ90" s="6" t="n"/>
      <c r="AK90" s="6" t="n"/>
      <c r="AL90" s="16" t="inlineStr">
        <is>
          <t>Vorname</t>
        </is>
      </c>
      <c r="AM90" s="38" t="n"/>
      <c r="AN90" s="38" t="n"/>
      <c r="AO90" s="38" t="n"/>
      <c r="AP90" s="38" t="n"/>
      <c r="AQ90" s="38" t="n"/>
      <c r="AR90" s="6" t="n"/>
      <c r="AS90" s="6" t="n"/>
      <c r="AT90" s="6" t="n"/>
      <c r="AU90" s="6" t="n"/>
      <c r="AV90" s="6" t="n"/>
      <c r="AW90" s="6" t="n"/>
      <c r="AX90" s="6" t="n"/>
      <c r="AY90" s="6" t="n"/>
      <c r="AZ90" s="6" t="n"/>
    </row>
    <row r="91"/>
    <row r="92" ht="14.25" customHeight="1">
      <c r="A92" s="3" t="inlineStr">
        <is>
          <t>hat an dem 9 Unterrichtseinheiten (Nettounterrichtszeit 9 x 45 Minuten) umfassenden Lehrgang</t>
        </is>
      </c>
      <c r="AC92" s="3" t="inlineStr">
        <is>
          <t>hat an dem 9 Unterrichtseinheiten (Nettounterrichtszeit 9 x 45 Minuten) umfassenden Lehrgang</t>
        </is>
      </c>
    </row>
    <row r="93"/>
    <row r="94" ht="14.25" customHeight="1">
      <c r="A94" s="3" t="inlineStr">
        <is>
          <t>am</t>
        </is>
      </c>
      <c r="C94" s="18">
        <f>Teilnehmer!C3</f>
        <v/>
      </c>
      <c r="D94" s="37" t="n"/>
      <c r="E94" s="37" t="n"/>
      <c r="F94" s="37" t="n"/>
      <c r="G94" s="37" t="n"/>
      <c r="H94" s="3" t="inlineStr">
        <is>
          <t>in der Zeit von</t>
        </is>
      </c>
      <c r="M94" s="19">
        <f>Teilnehmer!F3</f>
        <v/>
      </c>
      <c r="N94" s="37" t="n"/>
      <c r="O94" s="37" t="n"/>
      <c r="P94" s="3" t="inlineStr">
        <is>
          <t>Uhr bis</t>
        </is>
      </c>
      <c r="S94" s="19">
        <f>Teilnehmer!H3</f>
        <v/>
      </c>
      <c r="T94" s="37" t="n"/>
      <c r="U94" s="37" t="n"/>
      <c r="V94" s="3" t="inlineStr">
        <is>
          <t>Uhr</t>
        </is>
      </c>
      <c r="AC94" s="3" t="inlineStr">
        <is>
          <t>am</t>
        </is>
      </c>
      <c r="AE94" s="18">
        <f>Teilnehmer!C3</f>
        <v/>
      </c>
      <c r="AF94" s="37" t="n"/>
      <c r="AG94" s="37" t="n"/>
      <c r="AH94" s="37" t="n"/>
      <c r="AI94" s="37" t="n"/>
      <c r="AJ94" s="3" t="inlineStr">
        <is>
          <t>in der Zeit von</t>
        </is>
      </c>
      <c r="AO94" s="19">
        <f>Teilnehmer!F3</f>
        <v/>
      </c>
      <c r="AP94" s="37" t="n"/>
      <c r="AQ94" s="37" t="n"/>
      <c r="AR94" s="3" t="inlineStr">
        <is>
          <t>Uhr bis</t>
        </is>
      </c>
      <c r="AU94" s="19">
        <f>Teilnehmer!H3</f>
        <v/>
      </c>
      <c r="AV94" s="37" t="n"/>
      <c r="AW94" s="37" t="n"/>
      <c r="AX94" s="3" t="inlineStr">
        <is>
          <t>Uhr</t>
        </is>
      </c>
    </row>
    <row r="95"/>
    <row r="96" ht="14.25" customHeight="1">
      <c r="A96" s="3" t="inlineStr">
        <is>
          <t>unter der Leitung von</t>
        </is>
      </c>
      <c r="H96" s="17">
        <f>Teilnehmer!C4</f>
        <v/>
      </c>
      <c r="I96" s="8" t="n"/>
      <c r="J96" s="8" t="n"/>
      <c r="K96" s="8" t="n"/>
      <c r="L96" s="8" t="n"/>
      <c r="M96" s="8" t="n"/>
      <c r="N96" s="8" t="n"/>
      <c r="O96" s="8" t="n"/>
      <c r="Q96" s="3" t="inlineStr">
        <is>
          <t>erfolgreich teilgenommen.</t>
        </is>
      </c>
      <c r="AC96" s="3" t="inlineStr">
        <is>
          <t>unter der Leitung von</t>
        </is>
      </c>
      <c r="AJ96" s="17">
        <f>Teilnehmer!C4</f>
        <v/>
      </c>
      <c r="AK96" s="8" t="n"/>
      <c r="AL96" s="8" t="n"/>
      <c r="AM96" s="8" t="n"/>
      <c r="AN96" s="8" t="n"/>
      <c r="AO96" s="8" t="n"/>
      <c r="AP96" s="8" t="n"/>
      <c r="AQ96" s="8" t="n"/>
      <c r="AS96" s="3" t="inlineStr">
        <is>
          <t>erfolgreich teilgenommen.</t>
        </is>
      </c>
    </row>
    <row r="97"/>
    <row r="98" ht="14.25" customHeight="1">
      <c r="A98" s="3" t="inlineStr">
        <is>
          <t>Teilnehmerunterlagen ausgehändigt:</t>
        </is>
      </c>
      <c r="N98" s="12" t="inlineStr">
        <is>
          <t>X</t>
        </is>
      </c>
      <c r="O98" s="3" t="inlineStr">
        <is>
          <t>ja</t>
        </is>
      </c>
      <c r="R98" s="12" t="n"/>
      <c r="S98" s="3" t="inlineStr">
        <is>
          <t>nein</t>
        </is>
      </c>
      <c r="AC98" s="3" t="inlineStr">
        <is>
          <t>Teilnehmerunterlagen ausgehändigt:</t>
        </is>
      </c>
      <c r="AP98" s="12" t="inlineStr">
        <is>
          <t>X</t>
        </is>
      </c>
      <c r="AQ98" s="3" t="inlineStr">
        <is>
          <t>ja</t>
        </is>
      </c>
      <c r="AT98" s="12" t="n"/>
      <c r="AU98" s="3" t="inlineStr">
        <is>
          <t>nein</t>
        </is>
      </c>
    </row>
    <row r="99"/>
    <row r="100"/>
    <row r="101" ht="14.25" customHeight="1">
      <c r="A101" s="4" t="inlineStr">
        <is>
          <t>Rastatt</t>
        </is>
      </c>
      <c r="G101" s="3" t="inlineStr">
        <is>
          <t>,den</t>
        </is>
      </c>
      <c r="I101" s="20">
        <f>Teilnehmer!C3</f>
        <v/>
      </c>
      <c r="AC101" s="4" t="inlineStr">
        <is>
          <t>Rastatt</t>
        </is>
      </c>
      <c r="AI101" s="3" t="inlineStr">
        <is>
          <t>,den</t>
        </is>
      </c>
      <c r="AK101" s="20">
        <f>Teilnehmer!C3</f>
        <v/>
      </c>
    </row>
    <row r="102" ht="14.25" customHeight="1">
      <c r="A102" s="16" t="inlineStr">
        <is>
          <t>Ort</t>
        </is>
      </c>
      <c r="B102" s="38" t="n"/>
      <c r="C102" s="38" t="n"/>
      <c r="D102" s="38" t="n"/>
      <c r="E102" s="38" t="n"/>
      <c r="F102" s="10" t="n"/>
      <c r="I102" s="16" t="inlineStr">
        <is>
          <t>Datum</t>
        </is>
      </c>
      <c r="J102" s="38" t="n"/>
      <c r="K102" s="38" t="n"/>
      <c r="L102" s="38" t="n"/>
      <c r="M102" s="38" t="n"/>
      <c r="O102" s="16" t="inlineStr">
        <is>
          <t>Unterschrift der Lehrkraft</t>
        </is>
      </c>
      <c r="P102" s="38" t="n"/>
      <c r="Q102" s="38" t="n"/>
      <c r="R102" s="38" t="n"/>
      <c r="S102" s="38" t="n"/>
      <c r="T102" s="38" t="n"/>
      <c r="U102" s="38" t="n"/>
      <c r="V102" s="38" t="n"/>
      <c r="W102" s="38" t="n"/>
      <c r="X102" s="38" t="n"/>
      <c r="AC102" s="16" t="inlineStr">
        <is>
          <t>Ort</t>
        </is>
      </c>
      <c r="AD102" s="38" t="n"/>
      <c r="AE102" s="38" t="n"/>
      <c r="AF102" s="38" t="n"/>
      <c r="AG102" s="38" t="n"/>
      <c r="AH102" s="10" t="n"/>
      <c r="AK102" s="16" t="inlineStr">
        <is>
          <t>Datum</t>
        </is>
      </c>
      <c r="AL102" s="38" t="n"/>
      <c r="AM102" s="38" t="n"/>
      <c r="AN102" s="38" t="n"/>
      <c r="AO102" s="38" t="n"/>
      <c r="AQ102" s="16" t="inlineStr">
        <is>
          <t>Unterschrift der Lehrkraft</t>
        </is>
      </c>
      <c r="AR102" s="38" t="n"/>
      <c r="AS102" s="38" t="n"/>
      <c r="AT102" s="38" t="n"/>
      <c r="AU102" s="38" t="n"/>
      <c r="AV102" s="38" t="n"/>
      <c r="AW102" s="38" t="n"/>
      <c r="AX102" s="38" t="n"/>
      <c r="AY102" s="38" t="n"/>
      <c r="AZ102" s="38" t="n"/>
    </row>
    <row r="103" ht="14.25" customHeight="1">
      <c r="A103" s="11" t="n"/>
      <c r="B103" s="11" t="n"/>
      <c r="C103" s="11" t="n"/>
      <c r="D103" s="11" t="n"/>
      <c r="E103" s="11" t="n"/>
      <c r="F103" s="10" t="n"/>
      <c r="I103" s="11" t="n"/>
      <c r="J103" s="11" t="n"/>
      <c r="K103" s="11" t="n"/>
      <c r="L103" s="11" t="n"/>
      <c r="M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AC103" s="11" t="n"/>
      <c r="AD103" s="11" t="n"/>
      <c r="AE103" s="11" t="n"/>
      <c r="AF103" s="11" t="n"/>
      <c r="AG103" s="11" t="n"/>
      <c r="AH103" s="10" t="n"/>
      <c r="AK103" s="11" t="n"/>
      <c r="AL103" s="11" t="n"/>
      <c r="AM103" s="11" t="n"/>
      <c r="AN103" s="11" t="n"/>
      <c r="AO103" s="11" t="n"/>
      <c r="AQ103" s="11" t="n"/>
      <c r="AR103" s="11" t="n"/>
      <c r="AS103" s="11" t="n"/>
      <c r="AT103" s="11" t="n"/>
      <c r="AU103" s="11" t="n"/>
      <c r="AV103" s="11" t="n"/>
      <c r="AW103" s="11" t="n"/>
      <c r="AX103" s="11" t="n"/>
      <c r="AY103" s="11" t="n"/>
      <c r="AZ103" s="11" t="n"/>
    </row>
    <row r="104" ht="14.25" customHeight="1">
      <c r="A104" s="11" t="n"/>
      <c r="B104" s="11" t="n"/>
      <c r="C104" s="11" t="n"/>
      <c r="D104" s="11" t="n"/>
      <c r="E104" s="11" t="n"/>
      <c r="F104" s="10" t="n"/>
      <c r="I104" s="11" t="n"/>
      <c r="J104" s="11" t="n"/>
      <c r="K104" s="11" t="n"/>
      <c r="L104" s="11" t="n"/>
      <c r="M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AC104" s="11" t="n"/>
      <c r="AD104" s="11" t="n"/>
      <c r="AE104" s="11" t="n"/>
      <c r="AF104" s="11" t="n"/>
      <c r="AG104" s="11" t="n"/>
      <c r="AH104" s="10" t="n"/>
      <c r="AK104" s="11" t="n"/>
      <c r="AL104" s="11" t="n"/>
      <c r="AM104" s="11" t="n"/>
      <c r="AN104" s="11" t="n"/>
      <c r="AO104" s="11" t="n"/>
      <c r="AQ104" s="11" t="n"/>
      <c r="AR104" s="11" t="n"/>
      <c r="AS104" s="11" t="n"/>
      <c r="AT104" s="11" t="n"/>
      <c r="AU104" s="11" t="n"/>
      <c r="AV104" s="11" t="n"/>
      <c r="AW104" s="11" t="n"/>
      <c r="AX104" s="11" t="n"/>
      <c r="AY104" s="11" t="n"/>
      <c r="AZ104" s="11" t="n"/>
    </row>
    <row r="105" ht="14.25" customHeight="1">
      <c r="A105" s="11" t="n"/>
      <c r="B105" s="11" t="n"/>
      <c r="C105" s="11" t="n"/>
      <c r="D105" s="11" t="n"/>
      <c r="E105" s="11" t="n"/>
      <c r="F105" s="10" t="n"/>
      <c r="I105" s="11" t="n"/>
      <c r="J105" s="11" t="n"/>
      <c r="K105" s="11" t="n"/>
      <c r="L105" s="11" t="n"/>
      <c r="M105" s="11" t="n"/>
      <c r="O105" s="16" t="inlineStr">
        <is>
          <t>Ausbildungsverantwortlicher</t>
        </is>
      </c>
      <c r="P105" s="38" t="n"/>
      <c r="Q105" s="38" t="n"/>
      <c r="R105" s="38" t="n"/>
      <c r="S105" s="38" t="n"/>
      <c r="T105" s="38" t="n"/>
      <c r="U105" s="38" t="n"/>
      <c r="V105" s="38" t="n"/>
      <c r="W105" s="38" t="n"/>
      <c r="X105" s="38" t="n"/>
      <c r="AC105" s="11" t="n"/>
      <c r="AD105" s="11" t="n"/>
      <c r="AE105" s="11" t="n"/>
      <c r="AF105" s="11" t="n"/>
      <c r="AG105" s="11" t="n"/>
      <c r="AH105" s="10" t="n"/>
      <c r="AK105" s="11" t="n"/>
      <c r="AL105" s="11" t="n"/>
      <c r="AM105" s="11" t="n"/>
      <c r="AN105" s="11" t="n"/>
      <c r="AO105" s="11" t="n"/>
      <c r="AQ105" s="16" t="inlineStr">
        <is>
          <t>Ausbildungsverantwortlicher</t>
        </is>
      </c>
      <c r="AR105" s="38" t="n"/>
      <c r="AS105" s="38" t="n"/>
      <c r="AT105" s="38" t="n"/>
      <c r="AU105" s="38" t="n"/>
      <c r="AV105" s="38" t="n"/>
      <c r="AW105" s="38" t="n"/>
      <c r="AX105" s="38" t="n"/>
      <c r="AY105" s="38" t="n"/>
      <c r="AZ105" s="38" t="n"/>
    </row>
    <row r="106"/>
    <row r="107" ht="14.25" customHeight="1">
      <c r="A107" s="3" t="inlineStr">
        <is>
          <t>Name der ermächtigten Stelle:</t>
        </is>
      </c>
      <c r="K107" s="4" t="inlineStr">
        <is>
          <t>Mercedes-Benz AG, Werk Rastatt</t>
        </is>
      </c>
      <c r="AC107" s="3" t="inlineStr">
        <is>
          <t>Name der ermächtigten Stelle:</t>
        </is>
      </c>
      <c r="AM107" s="4" t="inlineStr">
        <is>
          <t>Mercedes-Benz AG, Werk Rastatt</t>
        </is>
      </c>
    </row>
    <row r="108"/>
    <row r="109" ht="14.25" customHeight="1">
      <c r="A109" s="3" t="inlineStr">
        <is>
          <t>Kennziffer der ermächtigten Stelle</t>
        </is>
      </c>
      <c r="AC109" s="3" t="inlineStr">
        <is>
          <t>Kennziffer der ermächtigten Stelle</t>
        </is>
      </c>
    </row>
    <row r="110" ht="14.25" customHeight="1">
      <c r="A110" s="3" t="inlineStr">
        <is>
          <t>gemäß § 26 DGUV Vorschri_x001F_ft:</t>
        </is>
      </c>
      <c r="K110" s="15" t="inlineStr">
        <is>
          <t>7.0103</t>
        </is>
      </c>
      <c r="AC110" s="3" t="inlineStr">
        <is>
          <t>gemäß § 26 DGUV Vorschri_x001F_ft:</t>
        </is>
      </c>
      <c r="AM110" s="15" t="inlineStr">
        <is>
          <t>7.0103</t>
        </is>
      </c>
    </row>
    <row r="111"/>
    <row r="112" ht="14.25" customHeight="1">
      <c r="A112" s="3" t="inlineStr">
        <is>
          <t>Registriernummer der Schulung:</t>
        </is>
      </c>
      <c r="K112" s="4">
        <f>Teilnehmer!C5</f>
        <v/>
      </c>
      <c r="AC112" s="3" t="inlineStr">
        <is>
          <t>Registriernummer der Schulung:</t>
        </is>
      </c>
      <c r="AM112" s="4">
        <f>Teilnehmer!C5</f>
        <v/>
      </c>
    </row>
    <row r="113"/>
    <row r="114" ht="14.25" customHeight="1">
      <c r="A114" s="9" t="inlineStr">
        <is>
          <t>* Die Teilnahme an der Ausbildung in betrieblicher Erster Hilfe gilt als Schulung in Erster Hilfe gem. § 19 Fahrerlaubnis- Verordnung</t>
        </is>
      </c>
      <c r="AC114" s="9" t="inlineStr">
        <is>
          <t>* Die Teilnahme an der Ausbildung in betrieblicher Erster Hilfe gilt als Schulung in Erster Hilfe gem. § 19 Fahrerlaubnis- Verordnung</t>
        </is>
      </c>
    </row>
    <row r="115" ht="14.25" customHeight="1">
      <c r="A115" s="9" t="inlineStr">
        <is>
          <t xml:space="preserve">   (FeV).</t>
        </is>
      </c>
      <c r="AC115" s="9" t="inlineStr">
        <is>
          <t xml:space="preserve">   (FeV).</t>
        </is>
      </c>
    </row>
    <row r="116"/>
    <row r="117"/>
    <row r="118"/>
    <row r="119"/>
    <row r="120"/>
    <row r="121"/>
    <row r="122"/>
    <row r="123"/>
    <row r="124"/>
    <row r="125"/>
    <row r="126"/>
    <row r="127"/>
    <row r="128" ht="14.25" customHeight="1">
      <c r="A128" s="17">
        <f>Teilnehmer!B17</f>
        <v/>
      </c>
      <c r="B128" s="37" t="n"/>
      <c r="C128" s="37" t="n"/>
      <c r="D128" s="37" t="n"/>
      <c r="E128" s="37" t="n"/>
      <c r="F128" s="37" t="n"/>
      <c r="G128" s="37" t="n"/>
      <c r="H128" s="37" t="n"/>
      <c r="I128" s="17">
        <f>Teilnehmer!C17</f>
        <v/>
      </c>
      <c r="J128" s="37" t="n"/>
      <c r="K128" s="37" t="n"/>
      <c r="L128" s="37" t="n"/>
      <c r="M128" s="37" t="n"/>
      <c r="N128" s="37" t="n"/>
      <c r="O128" s="37" t="n"/>
      <c r="P128" s="37" t="n"/>
      <c r="S128" s="2" t="inlineStr">
        <is>
          <t>geb. am:</t>
        </is>
      </c>
      <c r="T128" s="18">
        <f>Teilnehmer!D17</f>
        <v/>
      </c>
      <c r="U128" s="37" t="n"/>
      <c r="V128" s="37" t="n"/>
      <c r="W128" s="37" t="n"/>
      <c r="X128" s="37" t="n"/>
      <c r="AC128" s="17">
        <f>Teilnehmer!B18</f>
        <v/>
      </c>
      <c r="AD128" s="37" t="n"/>
      <c r="AE128" s="37" t="n"/>
      <c r="AF128" s="37" t="n"/>
      <c r="AG128" s="37" t="n"/>
      <c r="AH128" s="37" t="n"/>
      <c r="AI128" s="37" t="n"/>
      <c r="AJ128" s="37" t="n"/>
      <c r="AK128" s="17">
        <f>Teilnehmer!C18</f>
        <v/>
      </c>
      <c r="AL128" s="37" t="n"/>
      <c r="AM128" s="37" t="n"/>
      <c r="AN128" s="37" t="n"/>
      <c r="AO128" s="37" t="n"/>
      <c r="AP128" s="37" t="n"/>
      <c r="AQ128" s="37" t="n"/>
      <c r="AR128" s="37" t="n"/>
      <c r="AU128" s="2" t="inlineStr">
        <is>
          <t>geb. am:</t>
        </is>
      </c>
      <c r="AV128" s="18">
        <f>Teilnehmer!D18</f>
        <v/>
      </c>
      <c r="AW128" s="37" t="n"/>
      <c r="AX128" s="37" t="n"/>
      <c r="AY128" s="37" t="n"/>
      <c r="AZ128" s="37" t="n"/>
    </row>
    <row r="129" ht="14.25" customHeight="1">
      <c r="A129" s="6" t="n"/>
      <c r="B129" s="16" t="inlineStr">
        <is>
          <t>Name</t>
        </is>
      </c>
      <c r="C129" s="38" t="n"/>
      <c r="D129" s="38" t="n"/>
      <c r="E129" s="38" t="n"/>
      <c r="F129" s="38" t="n"/>
      <c r="G129" s="38" t="n"/>
      <c r="H129" s="6" t="n"/>
      <c r="I129" s="6" t="n"/>
      <c r="J129" s="16" t="inlineStr">
        <is>
          <t>Vorname</t>
        </is>
      </c>
      <c r="K129" s="38" t="n"/>
      <c r="L129" s="38" t="n"/>
      <c r="M129" s="38" t="n"/>
      <c r="N129" s="38" t="n"/>
      <c r="O129" s="38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AC129" s="6" t="n"/>
      <c r="AD129" s="16" t="inlineStr">
        <is>
          <t>Name</t>
        </is>
      </c>
      <c r="AE129" s="38" t="n"/>
      <c r="AF129" s="38" t="n"/>
      <c r="AG129" s="38" t="n"/>
      <c r="AH129" s="38" t="n"/>
      <c r="AI129" s="38" t="n"/>
      <c r="AJ129" s="6" t="n"/>
      <c r="AK129" s="6" t="n"/>
      <c r="AL129" s="16" t="inlineStr">
        <is>
          <t>Vorname</t>
        </is>
      </c>
      <c r="AM129" s="38" t="n"/>
      <c r="AN129" s="38" t="n"/>
      <c r="AO129" s="38" t="n"/>
      <c r="AP129" s="38" t="n"/>
      <c r="AQ129" s="38" t="n"/>
      <c r="AR129" s="6" t="n"/>
      <c r="AS129" s="6" t="n"/>
      <c r="AT129" s="6" t="n"/>
      <c r="AU129" s="6" t="n"/>
      <c r="AV129" s="6" t="n"/>
      <c r="AW129" s="6" t="n"/>
      <c r="AX129" s="6" t="n"/>
      <c r="AY129" s="6" t="n"/>
      <c r="AZ129" s="6" t="n"/>
    </row>
    <row r="130"/>
    <row r="131" ht="14.25" customHeight="1">
      <c r="A131" s="3" t="inlineStr">
        <is>
          <t>hat an dem 9 Unterrichtseinheiten (Nettounterrichtszeit 9 x 45 Minuten) umfassenden Lehrgang</t>
        </is>
      </c>
      <c r="AC131" s="3" t="inlineStr">
        <is>
          <t>hat an dem 9 Unterrichtseinheiten (Nettounterrichtszeit 9 x 45 Minuten) umfassenden Lehrgang</t>
        </is>
      </c>
    </row>
    <row r="132"/>
    <row r="133" ht="14.25" customHeight="1">
      <c r="A133" s="3" t="inlineStr">
        <is>
          <t>am</t>
        </is>
      </c>
      <c r="C133" s="18">
        <f>Teilnehmer!C3</f>
        <v/>
      </c>
      <c r="D133" s="37" t="n"/>
      <c r="E133" s="37" t="n"/>
      <c r="F133" s="37" t="n"/>
      <c r="G133" s="37" t="n"/>
      <c r="H133" s="3" t="inlineStr">
        <is>
          <t>in der Zeit von</t>
        </is>
      </c>
      <c r="M133" s="19">
        <f>Teilnehmer!F3</f>
        <v/>
      </c>
      <c r="N133" s="37" t="n"/>
      <c r="O133" s="37" t="n"/>
      <c r="P133" s="3" t="inlineStr">
        <is>
          <t>Uhr bis</t>
        </is>
      </c>
      <c r="S133" s="19">
        <f>Teilnehmer!H3</f>
        <v/>
      </c>
      <c r="T133" s="37" t="n"/>
      <c r="U133" s="37" t="n"/>
      <c r="V133" s="3" t="inlineStr">
        <is>
          <t>Uhr</t>
        </is>
      </c>
      <c r="AC133" s="3" t="inlineStr">
        <is>
          <t>am</t>
        </is>
      </c>
      <c r="AE133" s="18">
        <f>Teilnehmer!C3</f>
        <v/>
      </c>
      <c r="AF133" s="37" t="n"/>
      <c r="AG133" s="37" t="n"/>
      <c r="AH133" s="37" t="n"/>
      <c r="AI133" s="37" t="n"/>
      <c r="AJ133" s="3" t="inlineStr">
        <is>
          <t>in der Zeit von</t>
        </is>
      </c>
      <c r="AO133" s="19">
        <f>Teilnehmer!F3</f>
        <v/>
      </c>
      <c r="AP133" s="37" t="n"/>
      <c r="AQ133" s="37" t="n"/>
      <c r="AR133" s="3" t="inlineStr">
        <is>
          <t>Uhr bis</t>
        </is>
      </c>
      <c r="AU133" s="19">
        <f>Teilnehmer!H3</f>
        <v/>
      </c>
      <c r="AV133" s="37" t="n"/>
      <c r="AW133" s="37" t="n"/>
      <c r="AX133" s="3" t="inlineStr">
        <is>
          <t>Uhr</t>
        </is>
      </c>
    </row>
    <row r="134"/>
    <row r="135" ht="14.25" customHeight="1">
      <c r="A135" s="3" t="inlineStr">
        <is>
          <t>unter der Leitung von</t>
        </is>
      </c>
      <c r="H135" s="17">
        <f>Teilnehmer!C4</f>
        <v/>
      </c>
      <c r="I135" s="8" t="n"/>
      <c r="J135" s="8" t="n"/>
      <c r="K135" s="8" t="n"/>
      <c r="L135" s="8" t="n"/>
      <c r="M135" s="8" t="n"/>
      <c r="N135" s="8" t="n"/>
      <c r="O135" s="8" t="n"/>
      <c r="Q135" s="3" t="inlineStr">
        <is>
          <t>erfolgreich teilgenommen.</t>
        </is>
      </c>
      <c r="AC135" s="3" t="inlineStr">
        <is>
          <t>unter der Leitung von</t>
        </is>
      </c>
      <c r="AJ135" s="17">
        <f>Teilnehmer!C4</f>
        <v/>
      </c>
      <c r="AK135" s="8" t="n"/>
      <c r="AL135" s="8" t="n"/>
      <c r="AM135" s="8" t="n"/>
      <c r="AN135" s="8" t="n"/>
      <c r="AO135" s="8" t="n"/>
      <c r="AP135" s="8" t="n"/>
      <c r="AQ135" s="8" t="n"/>
      <c r="AS135" s="3" t="inlineStr">
        <is>
          <t>erfolgreich teilgenommen.</t>
        </is>
      </c>
    </row>
    <row r="136"/>
    <row r="137" ht="14.25" customHeight="1">
      <c r="A137" s="3" t="inlineStr">
        <is>
          <t>Teilnehmerunterlagen ausgehändigt:</t>
        </is>
      </c>
      <c r="N137" s="12" t="inlineStr">
        <is>
          <t>X</t>
        </is>
      </c>
      <c r="O137" s="3" t="inlineStr">
        <is>
          <t>ja</t>
        </is>
      </c>
      <c r="R137" s="12" t="n"/>
      <c r="S137" s="3" t="inlineStr">
        <is>
          <t>nein</t>
        </is>
      </c>
      <c r="AC137" s="3" t="inlineStr">
        <is>
          <t>Teilnehmerunterlagen ausgehändigt:</t>
        </is>
      </c>
      <c r="AP137" s="12" t="inlineStr">
        <is>
          <t>X</t>
        </is>
      </c>
      <c r="AQ137" s="3" t="inlineStr">
        <is>
          <t>ja</t>
        </is>
      </c>
      <c r="AT137" s="12" t="n"/>
      <c r="AU137" s="3" t="inlineStr">
        <is>
          <t>nein</t>
        </is>
      </c>
    </row>
    <row r="138"/>
    <row r="139"/>
    <row r="140" ht="14.25" customHeight="1">
      <c r="A140" s="4" t="inlineStr">
        <is>
          <t>Rastatt</t>
        </is>
      </c>
      <c r="G140" s="3" t="inlineStr">
        <is>
          <t>,den</t>
        </is>
      </c>
      <c r="I140" s="20">
        <f>Teilnehmer!C3</f>
        <v/>
      </c>
      <c r="AC140" s="4" t="inlineStr">
        <is>
          <t>Rastatt</t>
        </is>
      </c>
      <c r="AI140" s="3" t="inlineStr">
        <is>
          <t>,den</t>
        </is>
      </c>
      <c r="AK140" s="20">
        <f>Teilnehmer!C3</f>
        <v/>
      </c>
    </row>
    <row r="141" ht="14.25" customHeight="1">
      <c r="A141" s="16" t="inlineStr">
        <is>
          <t>Ort</t>
        </is>
      </c>
      <c r="B141" s="38" t="n"/>
      <c r="C141" s="38" t="n"/>
      <c r="D141" s="38" t="n"/>
      <c r="E141" s="38" t="n"/>
      <c r="F141" s="10" t="n"/>
      <c r="I141" s="16" t="inlineStr">
        <is>
          <t>Datum</t>
        </is>
      </c>
      <c r="J141" s="38" t="n"/>
      <c r="K141" s="38" t="n"/>
      <c r="L141" s="38" t="n"/>
      <c r="M141" s="38" t="n"/>
      <c r="O141" s="16" t="inlineStr">
        <is>
          <t>Unterschrift der Lehrkraft</t>
        </is>
      </c>
      <c r="P141" s="38" t="n"/>
      <c r="Q141" s="38" t="n"/>
      <c r="R141" s="38" t="n"/>
      <c r="S141" s="38" t="n"/>
      <c r="T141" s="38" t="n"/>
      <c r="U141" s="38" t="n"/>
      <c r="V141" s="38" t="n"/>
      <c r="W141" s="38" t="n"/>
      <c r="X141" s="38" t="n"/>
      <c r="AC141" s="16" t="inlineStr">
        <is>
          <t>Ort</t>
        </is>
      </c>
      <c r="AD141" s="38" t="n"/>
      <c r="AE141" s="38" t="n"/>
      <c r="AF141" s="38" t="n"/>
      <c r="AG141" s="38" t="n"/>
      <c r="AH141" s="10" t="n"/>
      <c r="AK141" s="16" t="inlineStr">
        <is>
          <t>Datum</t>
        </is>
      </c>
      <c r="AL141" s="38" t="n"/>
      <c r="AM141" s="38" t="n"/>
      <c r="AN141" s="38" t="n"/>
      <c r="AO141" s="38" t="n"/>
      <c r="AQ141" s="16" t="inlineStr">
        <is>
          <t>Unterschrift der Lehrkraft</t>
        </is>
      </c>
      <c r="AR141" s="38" t="n"/>
      <c r="AS141" s="38" t="n"/>
      <c r="AT141" s="38" t="n"/>
      <c r="AU141" s="38" t="n"/>
      <c r="AV141" s="38" t="n"/>
      <c r="AW141" s="38" t="n"/>
      <c r="AX141" s="38" t="n"/>
      <c r="AY141" s="38" t="n"/>
      <c r="AZ141" s="38" t="n"/>
    </row>
    <row r="142" ht="14.25" customHeight="1">
      <c r="A142" s="11" t="n"/>
      <c r="B142" s="11" t="n"/>
      <c r="C142" s="11" t="n"/>
      <c r="D142" s="11" t="n"/>
      <c r="E142" s="11" t="n"/>
      <c r="F142" s="10" t="n"/>
      <c r="I142" s="11" t="n"/>
      <c r="J142" s="11" t="n"/>
      <c r="K142" s="11" t="n"/>
      <c r="L142" s="11" t="n"/>
      <c r="M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AC142" s="11" t="n"/>
      <c r="AD142" s="11" t="n"/>
      <c r="AE142" s="11" t="n"/>
      <c r="AF142" s="11" t="n"/>
      <c r="AG142" s="11" t="n"/>
      <c r="AH142" s="10" t="n"/>
      <c r="AK142" s="11" t="n"/>
      <c r="AL142" s="11" t="n"/>
      <c r="AM142" s="11" t="n"/>
      <c r="AN142" s="11" t="n"/>
      <c r="AO142" s="11" t="n"/>
      <c r="AQ142" s="11" t="n"/>
      <c r="AR142" s="11" t="n"/>
      <c r="AS142" s="11" t="n"/>
      <c r="AT142" s="11" t="n"/>
      <c r="AU142" s="11" t="n"/>
      <c r="AV142" s="11" t="n"/>
      <c r="AW142" s="11" t="n"/>
      <c r="AX142" s="11" t="n"/>
      <c r="AY142" s="11" t="n"/>
      <c r="AZ142" s="11" t="n"/>
    </row>
    <row r="143" ht="14.25" customHeight="1">
      <c r="A143" s="11" t="n"/>
      <c r="B143" s="11" t="n"/>
      <c r="C143" s="11" t="n"/>
      <c r="D143" s="11" t="n"/>
      <c r="E143" s="11" t="n"/>
      <c r="F143" s="10" t="n"/>
      <c r="I143" s="11" t="n"/>
      <c r="J143" s="11" t="n"/>
      <c r="K143" s="11" t="n"/>
      <c r="L143" s="11" t="n"/>
      <c r="M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AC143" s="11" t="n"/>
      <c r="AD143" s="11" t="n"/>
      <c r="AE143" s="11" t="n"/>
      <c r="AF143" s="11" t="n"/>
      <c r="AG143" s="11" t="n"/>
      <c r="AH143" s="10" t="n"/>
      <c r="AK143" s="11" t="n"/>
      <c r="AL143" s="11" t="n"/>
      <c r="AM143" s="11" t="n"/>
      <c r="AN143" s="11" t="n"/>
      <c r="AO143" s="11" t="n"/>
      <c r="AQ143" s="11" t="n"/>
      <c r="AR143" s="11" t="n"/>
      <c r="AS143" s="11" t="n"/>
      <c r="AT143" s="11" t="n"/>
      <c r="AU143" s="11" t="n"/>
      <c r="AV143" s="11" t="n"/>
      <c r="AW143" s="11" t="n"/>
      <c r="AX143" s="11" t="n"/>
      <c r="AY143" s="11" t="n"/>
      <c r="AZ143" s="11" t="n"/>
    </row>
    <row r="144" ht="14.25" customHeight="1">
      <c r="A144" s="11" t="n"/>
      <c r="B144" s="11" t="n"/>
      <c r="C144" s="11" t="n"/>
      <c r="D144" s="11" t="n"/>
      <c r="E144" s="11" t="n"/>
      <c r="F144" s="10" t="n"/>
      <c r="I144" s="11" t="n"/>
      <c r="J144" s="11" t="n"/>
      <c r="K144" s="11" t="n"/>
      <c r="L144" s="11" t="n"/>
      <c r="M144" s="11" t="n"/>
      <c r="O144" s="16" t="inlineStr">
        <is>
          <t>Ausbildungsverantwortlicher</t>
        </is>
      </c>
      <c r="P144" s="38" t="n"/>
      <c r="Q144" s="38" t="n"/>
      <c r="R144" s="38" t="n"/>
      <c r="S144" s="38" t="n"/>
      <c r="T144" s="38" t="n"/>
      <c r="U144" s="38" t="n"/>
      <c r="V144" s="38" t="n"/>
      <c r="W144" s="38" t="n"/>
      <c r="X144" s="38" t="n"/>
      <c r="AC144" s="11" t="n"/>
      <c r="AD144" s="11" t="n"/>
      <c r="AE144" s="11" t="n"/>
      <c r="AF144" s="11" t="n"/>
      <c r="AG144" s="11" t="n"/>
      <c r="AH144" s="10" t="n"/>
      <c r="AK144" s="11" t="n"/>
      <c r="AL144" s="11" t="n"/>
      <c r="AM144" s="11" t="n"/>
      <c r="AN144" s="11" t="n"/>
      <c r="AO144" s="11" t="n"/>
      <c r="AQ144" s="16" t="inlineStr">
        <is>
          <t>Ausbildungsverantwortlicher</t>
        </is>
      </c>
      <c r="AR144" s="38" t="n"/>
      <c r="AS144" s="38" t="n"/>
      <c r="AT144" s="38" t="n"/>
      <c r="AU144" s="38" t="n"/>
      <c r="AV144" s="38" t="n"/>
      <c r="AW144" s="38" t="n"/>
      <c r="AX144" s="38" t="n"/>
      <c r="AY144" s="38" t="n"/>
      <c r="AZ144" s="38" t="n"/>
    </row>
    <row r="145"/>
    <row r="146" ht="14.25" customHeight="1">
      <c r="A146" s="3" t="inlineStr">
        <is>
          <t>Name der ermächtigten Stelle:</t>
        </is>
      </c>
      <c r="K146" s="4" t="inlineStr">
        <is>
          <t>Mercedes-Benz AG, Werk Rastatt</t>
        </is>
      </c>
      <c r="AC146" s="3" t="inlineStr">
        <is>
          <t>Name der ermächtigten Stelle:</t>
        </is>
      </c>
      <c r="AM146" s="4" t="inlineStr">
        <is>
          <t>Mercedes-Benz AG, Werk Rastatt</t>
        </is>
      </c>
    </row>
    <row r="147"/>
    <row r="148" ht="14.25" customHeight="1">
      <c r="A148" s="3" t="inlineStr">
        <is>
          <t>Kennziffer der ermächtigten Stelle</t>
        </is>
      </c>
      <c r="AC148" s="3" t="inlineStr">
        <is>
          <t>Kennziffer der ermächtigten Stelle</t>
        </is>
      </c>
    </row>
    <row r="149" ht="14.25" customHeight="1">
      <c r="A149" s="3" t="inlineStr">
        <is>
          <t>gemäß § 26 DGUV Vorschri_x001F_ft:</t>
        </is>
      </c>
      <c r="K149" s="15" t="inlineStr">
        <is>
          <t>7.0103</t>
        </is>
      </c>
      <c r="AC149" s="3" t="inlineStr">
        <is>
          <t>gemäß § 26 DGUV Vorschri_x001F_ft:</t>
        </is>
      </c>
      <c r="AM149" s="15" t="inlineStr">
        <is>
          <t>7.0103</t>
        </is>
      </c>
    </row>
    <row r="150"/>
    <row r="151" ht="14.25" customHeight="1">
      <c r="A151" s="3" t="inlineStr">
        <is>
          <t>Registriernummer der Schulung:</t>
        </is>
      </c>
      <c r="K151" s="4">
        <f>Teilnehmer!C5</f>
        <v/>
      </c>
      <c r="AC151" s="3" t="inlineStr">
        <is>
          <t>Registriernummer der Schulung:</t>
        </is>
      </c>
      <c r="AM151" s="4">
        <f>Teilnehmer!C5</f>
        <v/>
      </c>
    </row>
    <row r="152"/>
    <row r="153" ht="14.25" customHeight="1">
      <c r="A153" s="9" t="inlineStr">
        <is>
          <t>* Die Teilnahme an der Ausbildung in betrieblicher Erster Hilfe gilt als Schulung in Erster Hilfe gem. § 19 Fahrerlaubnis- Verordnung</t>
        </is>
      </c>
      <c r="AC153" s="9" t="inlineStr">
        <is>
          <t>* Die Teilnahme an der Ausbildung in betrieblicher Erster Hilfe gilt als Schulung in Erster Hilfe gem. § 19 Fahrerlaubnis- Verordnung</t>
        </is>
      </c>
    </row>
    <row r="154" ht="14.25" customHeight="1">
      <c r="A154" s="9" t="inlineStr">
        <is>
          <t xml:space="preserve">   (FeV).</t>
        </is>
      </c>
      <c r="AC154" s="9" t="inlineStr">
        <is>
          <t xml:space="preserve">   (FeV).</t>
        </is>
      </c>
    </row>
    <row r="155"/>
    <row r="156"/>
    <row r="157"/>
    <row r="158"/>
    <row r="159"/>
    <row r="160"/>
    <row r="161"/>
    <row r="162"/>
    <row r="163"/>
    <row r="164"/>
    <row r="165"/>
    <row r="166"/>
    <row r="167" ht="14.25" customHeight="1">
      <c r="A167" s="17">
        <f>Teilnehmer!B19</f>
        <v/>
      </c>
      <c r="B167" s="37" t="n"/>
      <c r="C167" s="37" t="n"/>
      <c r="D167" s="37" t="n"/>
      <c r="E167" s="37" t="n"/>
      <c r="F167" s="37" t="n"/>
      <c r="G167" s="37" t="n"/>
      <c r="H167" s="37" t="n"/>
      <c r="I167" s="17">
        <f>Teilnehmer!C19</f>
        <v/>
      </c>
      <c r="J167" s="37" t="n"/>
      <c r="K167" s="37" t="n"/>
      <c r="L167" s="37" t="n"/>
      <c r="M167" s="37" t="n"/>
      <c r="N167" s="37" t="n"/>
      <c r="O167" s="37" t="n"/>
      <c r="P167" s="37" t="n"/>
      <c r="S167" s="2" t="inlineStr">
        <is>
          <t>geb. am:</t>
        </is>
      </c>
      <c r="T167" s="18">
        <f>Teilnehmer!D19</f>
        <v/>
      </c>
      <c r="U167" s="37" t="n"/>
      <c r="V167" s="37" t="n"/>
      <c r="W167" s="37" t="n"/>
      <c r="X167" s="37" t="n"/>
      <c r="AC167" s="17">
        <f>Teilnehmer!B20</f>
        <v/>
      </c>
      <c r="AD167" s="37" t="n"/>
      <c r="AE167" s="37" t="n"/>
      <c r="AF167" s="37" t="n"/>
      <c r="AG167" s="37" t="n"/>
      <c r="AH167" s="37" t="n"/>
      <c r="AI167" s="37" t="n"/>
      <c r="AJ167" s="37" t="n"/>
      <c r="AK167" s="17">
        <f>Teilnehmer!C20</f>
        <v/>
      </c>
      <c r="AL167" s="37" t="n"/>
      <c r="AM167" s="37" t="n"/>
      <c r="AN167" s="37" t="n"/>
      <c r="AO167" s="37" t="n"/>
      <c r="AP167" s="37" t="n"/>
      <c r="AQ167" s="37" t="n"/>
      <c r="AR167" s="37" t="n"/>
      <c r="AU167" s="2" t="inlineStr">
        <is>
          <t>geb. am:</t>
        </is>
      </c>
      <c r="AV167" s="18">
        <f>Teilnehmer!D20</f>
        <v/>
      </c>
      <c r="AW167" s="37" t="n"/>
      <c r="AX167" s="37" t="n"/>
      <c r="AY167" s="37" t="n"/>
      <c r="AZ167" s="37" t="n"/>
    </row>
    <row r="168" ht="14.25" customHeight="1">
      <c r="A168" s="6" t="n"/>
      <c r="B168" s="16" t="inlineStr">
        <is>
          <t>Name</t>
        </is>
      </c>
      <c r="C168" s="38" t="n"/>
      <c r="D168" s="38" t="n"/>
      <c r="E168" s="38" t="n"/>
      <c r="F168" s="38" t="n"/>
      <c r="G168" s="38" t="n"/>
      <c r="H168" s="6" t="n"/>
      <c r="I168" s="6" t="n"/>
      <c r="J168" s="16" t="inlineStr">
        <is>
          <t>Vorname</t>
        </is>
      </c>
      <c r="K168" s="38" t="n"/>
      <c r="L168" s="38" t="n"/>
      <c r="M168" s="38" t="n"/>
      <c r="N168" s="38" t="n"/>
      <c r="O168" s="38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AC168" s="6" t="n"/>
      <c r="AD168" s="16" t="inlineStr">
        <is>
          <t>Name</t>
        </is>
      </c>
      <c r="AE168" s="38" t="n"/>
      <c r="AF168" s="38" t="n"/>
      <c r="AG168" s="38" t="n"/>
      <c r="AH168" s="38" t="n"/>
      <c r="AI168" s="38" t="n"/>
      <c r="AJ168" s="6" t="n"/>
      <c r="AK168" s="6" t="n"/>
      <c r="AL168" s="16" t="inlineStr">
        <is>
          <t>Vorname</t>
        </is>
      </c>
      <c r="AM168" s="38" t="n"/>
      <c r="AN168" s="38" t="n"/>
      <c r="AO168" s="38" t="n"/>
      <c r="AP168" s="38" t="n"/>
      <c r="AQ168" s="38" t="n"/>
      <c r="AR168" s="6" t="n"/>
      <c r="AS168" s="6" t="n"/>
      <c r="AT168" s="6" t="n"/>
      <c r="AU168" s="6" t="n"/>
      <c r="AV168" s="6" t="n"/>
      <c r="AW168" s="6" t="n"/>
      <c r="AX168" s="6" t="n"/>
      <c r="AY168" s="6" t="n"/>
      <c r="AZ168" s="6" t="n"/>
    </row>
    <row r="169"/>
    <row r="170" ht="14.25" customHeight="1">
      <c r="A170" s="3" t="inlineStr">
        <is>
          <t>hat an dem 9 Unterrichtseinheiten (Nettounterrichtszeit 9 x 45 Minuten) umfassenden Lehrgang</t>
        </is>
      </c>
      <c r="AC170" s="3" t="inlineStr">
        <is>
          <t>hat an dem 9 Unterrichtseinheiten (Nettounterrichtszeit 9 x 45 Minuten) umfassenden Lehrgang</t>
        </is>
      </c>
    </row>
    <row r="171"/>
    <row r="172" ht="14.25" customHeight="1">
      <c r="A172" s="3" t="inlineStr">
        <is>
          <t>am</t>
        </is>
      </c>
      <c r="C172" s="18">
        <f>Teilnehmer!C3</f>
        <v/>
      </c>
      <c r="D172" s="37" t="n"/>
      <c r="E172" s="37" t="n"/>
      <c r="F172" s="37" t="n"/>
      <c r="G172" s="37" t="n"/>
      <c r="H172" s="3" t="inlineStr">
        <is>
          <t>in der Zeit von</t>
        </is>
      </c>
      <c r="M172" s="19">
        <f>Teilnehmer!F3</f>
        <v/>
      </c>
      <c r="N172" s="37" t="n"/>
      <c r="O172" s="37" t="n"/>
      <c r="P172" s="3" t="inlineStr">
        <is>
          <t>Uhr bis</t>
        </is>
      </c>
      <c r="S172" s="19">
        <f>Teilnehmer!H3</f>
        <v/>
      </c>
      <c r="T172" s="37" t="n"/>
      <c r="U172" s="37" t="n"/>
      <c r="V172" s="3" t="inlineStr">
        <is>
          <t>Uhr</t>
        </is>
      </c>
      <c r="AC172" s="3" t="inlineStr">
        <is>
          <t>am</t>
        </is>
      </c>
      <c r="AE172" s="18">
        <f>Teilnehmer!C3</f>
        <v/>
      </c>
      <c r="AF172" s="37" t="n"/>
      <c r="AG172" s="37" t="n"/>
      <c r="AH172" s="37" t="n"/>
      <c r="AI172" s="37" t="n"/>
      <c r="AJ172" s="3" t="inlineStr">
        <is>
          <t>in der Zeit von</t>
        </is>
      </c>
      <c r="AO172" s="19">
        <f>Teilnehmer!F3</f>
        <v/>
      </c>
      <c r="AP172" s="37" t="n"/>
      <c r="AQ172" s="37" t="n"/>
      <c r="AR172" s="3" t="inlineStr">
        <is>
          <t>Uhr bis</t>
        </is>
      </c>
      <c r="AU172" s="19">
        <f>Teilnehmer!H3</f>
        <v/>
      </c>
      <c r="AV172" s="37" t="n"/>
      <c r="AW172" s="37" t="n"/>
      <c r="AX172" s="3" t="inlineStr">
        <is>
          <t>Uhr</t>
        </is>
      </c>
    </row>
    <row r="173"/>
    <row r="174" ht="14.25" customHeight="1">
      <c r="A174" s="3" t="inlineStr">
        <is>
          <t>unter der Leitung von</t>
        </is>
      </c>
      <c r="H174" s="17">
        <f>Teilnehmer!C4</f>
        <v/>
      </c>
      <c r="I174" s="8" t="n"/>
      <c r="J174" s="8" t="n"/>
      <c r="K174" s="8" t="n"/>
      <c r="L174" s="8" t="n"/>
      <c r="M174" s="8" t="n"/>
      <c r="N174" s="8" t="n"/>
      <c r="O174" s="8" t="n"/>
      <c r="Q174" s="3" t="inlineStr">
        <is>
          <t>erfolgreich teilgenommen.</t>
        </is>
      </c>
      <c r="AC174" s="3" t="inlineStr">
        <is>
          <t>unter der Leitung von</t>
        </is>
      </c>
      <c r="AJ174" s="17">
        <f>Teilnehmer!C4</f>
        <v/>
      </c>
      <c r="AK174" s="8" t="n"/>
      <c r="AL174" s="8" t="n"/>
      <c r="AM174" s="8" t="n"/>
      <c r="AN174" s="8" t="n"/>
      <c r="AO174" s="8" t="n"/>
      <c r="AP174" s="8" t="n"/>
      <c r="AQ174" s="8" t="n"/>
      <c r="AS174" s="3" t="inlineStr">
        <is>
          <t>erfolgreich teilgenommen.</t>
        </is>
      </c>
    </row>
    <row r="175"/>
    <row r="176" ht="14.25" customHeight="1">
      <c r="A176" s="3" t="inlineStr">
        <is>
          <t>Teilnehmerunterlagen ausgehändigt:</t>
        </is>
      </c>
      <c r="N176" s="12" t="inlineStr">
        <is>
          <t>X</t>
        </is>
      </c>
      <c r="O176" s="3" t="inlineStr">
        <is>
          <t>ja</t>
        </is>
      </c>
      <c r="R176" s="12" t="n"/>
      <c r="S176" s="3" t="inlineStr">
        <is>
          <t>nein</t>
        </is>
      </c>
      <c r="AC176" s="3" t="inlineStr">
        <is>
          <t>Teilnehmerunterlagen ausgehändigt:</t>
        </is>
      </c>
      <c r="AP176" s="12" t="inlineStr">
        <is>
          <t>X</t>
        </is>
      </c>
      <c r="AQ176" s="3" t="inlineStr">
        <is>
          <t>ja</t>
        </is>
      </c>
      <c r="AT176" s="12" t="n"/>
      <c r="AU176" s="3" t="inlineStr">
        <is>
          <t>nein</t>
        </is>
      </c>
    </row>
    <row r="177"/>
    <row r="178"/>
    <row r="179" ht="14.25" customHeight="1">
      <c r="A179" s="4" t="inlineStr">
        <is>
          <t>Rastatt</t>
        </is>
      </c>
      <c r="G179" s="3" t="inlineStr">
        <is>
          <t>,den</t>
        </is>
      </c>
      <c r="I179" s="20">
        <f>Teilnehmer!C3</f>
        <v/>
      </c>
      <c r="AC179" s="4" t="inlineStr">
        <is>
          <t>Rastatt</t>
        </is>
      </c>
      <c r="AI179" s="3" t="inlineStr">
        <is>
          <t>,den</t>
        </is>
      </c>
      <c r="AK179" s="20">
        <f>Teilnehmer!C3</f>
        <v/>
      </c>
    </row>
    <row r="180" ht="14.25" customHeight="1">
      <c r="A180" s="16" t="inlineStr">
        <is>
          <t>Ort</t>
        </is>
      </c>
      <c r="B180" s="38" t="n"/>
      <c r="C180" s="38" t="n"/>
      <c r="D180" s="38" t="n"/>
      <c r="E180" s="38" t="n"/>
      <c r="F180" s="10" t="n"/>
      <c r="I180" s="16" t="inlineStr">
        <is>
          <t>Datum</t>
        </is>
      </c>
      <c r="J180" s="38" t="n"/>
      <c r="K180" s="38" t="n"/>
      <c r="L180" s="38" t="n"/>
      <c r="M180" s="38" t="n"/>
      <c r="O180" s="16" t="inlineStr">
        <is>
          <t>Unterschrift der Lehrkraft</t>
        </is>
      </c>
      <c r="P180" s="38" t="n"/>
      <c r="Q180" s="38" t="n"/>
      <c r="R180" s="38" t="n"/>
      <c r="S180" s="38" t="n"/>
      <c r="T180" s="38" t="n"/>
      <c r="U180" s="38" t="n"/>
      <c r="V180" s="38" t="n"/>
      <c r="W180" s="38" t="n"/>
      <c r="X180" s="38" t="n"/>
      <c r="AC180" s="16" t="inlineStr">
        <is>
          <t>Ort</t>
        </is>
      </c>
      <c r="AD180" s="38" t="n"/>
      <c r="AE180" s="38" t="n"/>
      <c r="AF180" s="38" t="n"/>
      <c r="AG180" s="38" t="n"/>
      <c r="AH180" s="10" t="n"/>
      <c r="AK180" s="16" t="inlineStr">
        <is>
          <t>Datum</t>
        </is>
      </c>
      <c r="AL180" s="38" t="n"/>
      <c r="AM180" s="38" t="n"/>
      <c r="AN180" s="38" t="n"/>
      <c r="AO180" s="38" t="n"/>
      <c r="AQ180" s="16" t="inlineStr">
        <is>
          <t>Unterschrift der Lehrkraft</t>
        </is>
      </c>
      <c r="AR180" s="38" t="n"/>
      <c r="AS180" s="38" t="n"/>
      <c r="AT180" s="38" t="n"/>
      <c r="AU180" s="38" t="n"/>
      <c r="AV180" s="38" t="n"/>
      <c r="AW180" s="38" t="n"/>
      <c r="AX180" s="38" t="n"/>
      <c r="AY180" s="38" t="n"/>
      <c r="AZ180" s="38" t="n"/>
    </row>
    <row r="181" ht="14.25" customHeight="1">
      <c r="A181" s="11" t="n"/>
      <c r="B181" s="11" t="n"/>
      <c r="C181" s="11" t="n"/>
      <c r="D181" s="11" t="n"/>
      <c r="E181" s="11" t="n"/>
      <c r="F181" s="10" t="n"/>
      <c r="I181" s="11" t="n"/>
      <c r="J181" s="11" t="n"/>
      <c r="K181" s="11" t="n"/>
      <c r="L181" s="11" t="n"/>
      <c r="M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AC181" s="11" t="n"/>
      <c r="AD181" s="11" t="n"/>
      <c r="AE181" s="11" t="n"/>
      <c r="AF181" s="11" t="n"/>
      <c r="AG181" s="11" t="n"/>
      <c r="AH181" s="10" t="n"/>
      <c r="AK181" s="11" t="n"/>
      <c r="AL181" s="11" t="n"/>
      <c r="AM181" s="11" t="n"/>
      <c r="AN181" s="11" t="n"/>
      <c r="AO181" s="11" t="n"/>
      <c r="AQ181" s="11" t="n"/>
      <c r="AR181" s="11" t="n"/>
      <c r="AS181" s="11" t="n"/>
      <c r="AT181" s="11" t="n"/>
      <c r="AU181" s="11" t="n"/>
      <c r="AV181" s="11" t="n"/>
      <c r="AW181" s="11" t="n"/>
      <c r="AX181" s="11" t="n"/>
      <c r="AY181" s="11" t="n"/>
      <c r="AZ181" s="11" t="n"/>
    </row>
    <row r="182" ht="14.25" customHeight="1">
      <c r="A182" s="11" t="n"/>
      <c r="B182" s="11" t="n"/>
      <c r="C182" s="11" t="n"/>
      <c r="D182" s="11" t="n"/>
      <c r="E182" s="11" t="n"/>
      <c r="F182" s="10" t="n"/>
      <c r="I182" s="11" t="n"/>
      <c r="J182" s="11" t="n"/>
      <c r="K182" s="11" t="n"/>
      <c r="L182" s="11" t="n"/>
      <c r="M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AC182" s="11" t="n"/>
      <c r="AD182" s="11" t="n"/>
      <c r="AE182" s="11" t="n"/>
      <c r="AF182" s="11" t="n"/>
      <c r="AG182" s="11" t="n"/>
      <c r="AH182" s="10" t="n"/>
      <c r="AK182" s="11" t="n"/>
      <c r="AL182" s="11" t="n"/>
      <c r="AM182" s="11" t="n"/>
      <c r="AN182" s="11" t="n"/>
      <c r="AO182" s="11" t="n"/>
      <c r="AQ182" s="11" t="n"/>
      <c r="AR182" s="11" t="n"/>
      <c r="AS182" s="11" t="n"/>
      <c r="AT182" s="11" t="n"/>
      <c r="AU182" s="11" t="n"/>
      <c r="AV182" s="11" t="n"/>
      <c r="AW182" s="11" t="n"/>
      <c r="AX182" s="11" t="n"/>
      <c r="AY182" s="11" t="n"/>
      <c r="AZ182" s="11" t="n"/>
    </row>
    <row r="183" ht="14.25" customHeight="1">
      <c r="A183" s="11" t="n"/>
      <c r="B183" s="11" t="n"/>
      <c r="C183" s="11" t="n"/>
      <c r="D183" s="11" t="n"/>
      <c r="E183" s="11" t="n"/>
      <c r="F183" s="10" t="n"/>
      <c r="I183" s="11" t="n"/>
      <c r="J183" s="11" t="n"/>
      <c r="K183" s="11" t="n"/>
      <c r="L183" s="11" t="n"/>
      <c r="M183" s="11" t="n"/>
      <c r="O183" s="16" t="inlineStr">
        <is>
          <t>Ausbildungsverantwortlicher</t>
        </is>
      </c>
      <c r="P183" s="38" t="n"/>
      <c r="Q183" s="38" t="n"/>
      <c r="R183" s="38" t="n"/>
      <c r="S183" s="38" t="n"/>
      <c r="T183" s="38" t="n"/>
      <c r="U183" s="38" t="n"/>
      <c r="V183" s="38" t="n"/>
      <c r="W183" s="38" t="n"/>
      <c r="X183" s="38" t="n"/>
      <c r="AC183" s="11" t="n"/>
      <c r="AD183" s="11" t="n"/>
      <c r="AE183" s="11" t="n"/>
      <c r="AF183" s="11" t="n"/>
      <c r="AG183" s="11" t="n"/>
      <c r="AH183" s="10" t="n"/>
      <c r="AK183" s="11" t="n"/>
      <c r="AL183" s="11" t="n"/>
      <c r="AM183" s="11" t="n"/>
      <c r="AN183" s="11" t="n"/>
      <c r="AO183" s="11" t="n"/>
      <c r="AQ183" s="16" t="inlineStr">
        <is>
          <t>Ausbildungsverantwortlicher</t>
        </is>
      </c>
      <c r="AR183" s="38" t="n"/>
      <c r="AS183" s="38" t="n"/>
      <c r="AT183" s="38" t="n"/>
      <c r="AU183" s="38" t="n"/>
      <c r="AV183" s="38" t="n"/>
      <c r="AW183" s="38" t="n"/>
      <c r="AX183" s="38" t="n"/>
      <c r="AY183" s="38" t="n"/>
      <c r="AZ183" s="38" t="n"/>
    </row>
    <row r="184"/>
    <row r="185" ht="14.25" customHeight="1">
      <c r="A185" s="3" t="inlineStr">
        <is>
          <t>Name der ermächtigten Stelle:</t>
        </is>
      </c>
      <c r="K185" s="4" t="inlineStr">
        <is>
          <t>Mercedes-Benz AG, Werk Rastatt</t>
        </is>
      </c>
      <c r="AC185" s="3" t="inlineStr">
        <is>
          <t>Name der ermächtigten Stelle:</t>
        </is>
      </c>
      <c r="AM185" s="4" t="inlineStr">
        <is>
          <t>Mercedes-Benz AG, Werk Rastatt</t>
        </is>
      </c>
    </row>
    <row r="186"/>
    <row r="187" ht="14.25" customHeight="1">
      <c r="A187" s="3" t="inlineStr">
        <is>
          <t>Kennziffer der ermächtigten Stelle</t>
        </is>
      </c>
      <c r="AC187" s="3" t="inlineStr">
        <is>
          <t>Kennziffer der ermächtigten Stelle</t>
        </is>
      </c>
    </row>
    <row r="188" ht="14.25" customHeight="1">
      <c r="A188" s="3" t="inlineStr">
        <is>
          <t>gemäß § 26 DGUV Vorschri_x001F_ft:</t>
        </is>
      </c>
      <c r="K188" s="15" t="inlineStr">
        <is>
          <t>7.0103</t>
        </is>
      </c>
      <c r="AC188" s="3" t="inlineStr">
        <is>
          <t>gemäß § 26 DGUV Vorschri_x001F_ft:</t>
        </is>
      </c>
      <c r="AM188" s="15" t="inlineStr">
        <is>
          <t>7.0103</t>
        </is>
      </c>
    </row>
    <row r="189"/>
    <row r="190" ht="14.25" customHeight="1">
      <c r="A190" s="3" t="inlineStr">
        <is>
          <t>Registriernummer der Schulung:</t>
        </is>
      </c>
      <c r="K190" s="4">
        <f>Teilnehmer!C5</f>
        <v/>
      </c>
      <c r="AC190" s="3" t="inlineStr">
        <is>
          <t>Registriernummer der Schulung:</t>
        </is>
      </c>
      <c r="AM190" s="4">
        <f>Teilnehmer!C5</f>
        <v/>
      </c>
    </row>
    <row r="191"/>
    <row r="192" ht="14.25" customHeight="1">
      <c r="A192" s="9" t="inlineStr">
        <is>
          <t>* Die Teilnahme an der Ausbildung in betrieblicher Erster Hilfe gilt als Schulung in Erster Hilfe gem. § 19 Fahrerlaubnis- Verordnung</t>
        </is>
      </c>
      <c r="AC192" s="9" t="inlineStr">
        <is>
          <t>* Die Teilnahme an der Ausbildung in betrieblicher Erster Hilfe gilt als Schulung in Erster Hilfe gem. § 19 Fahrerlaubnis- Verordnung</t>
        </is>
      </c>
    </row>
    <row r="193" ht="14.25" customHeight="1">
      <c r="A193" s="9" t="inlineStr">
        <is>
          <t xml:space="preserve">   (FeV).</t>
        </is>
      </c>
      <c r="AC193" s="9" t="inlineStr">
        <is>
          <t xml:space="preserve">   (FeV).</t>
        </is>
      </c>
    </row>
    <row r="194"/>
    <row r="195"/>
    <row r="196"/>
    <row r="197"/>
    <row r="198"/>
    <row r="199"/>
    <row r="200"/>
    <row r="201"/>
    <row r="202"/>
    <row r="203"/>
    <row r="204"/>
    <row r="205"/>
    <row r="206" ht="14.25" customHeight="1">
      <c r="A206" s="17">
        <f>Teilnehmer!B21</f>
        <v/>
      </c>
      <c r="B206" s="37" t="n"/>
      <c r="C206" s="37" t="n"/>
      <c r="D206" s="37" t="n"/>
      <c r="E206" s="37" t="n"/>
      <c r="F206" s="37" t="n"/>
      <c r="G206" s="37" t="n"/>
      <c r="H206" s="37" t="n"/>
      <c r="I206" s="17">
        <f>Teilnehmer!C21</f>
        <v/>
      </c>
      <c r="J206" s="37" t="n"/>
      <c r="K206" s="37" t="n"/>
      <c r="L206" s="37" t="n"/>
      <c r="M206" s="37" t="n"/>
      <c r="N206" s="37" t="n"/>
      <c r="O206" s="37" t="n"/>
      <c r="P206" s="37" t="n"/>
      <c r="S206" s="2" t="inlineStr">
        <is>
          <t>geb. am:</t>
        </is>
      </c>
      <c r="T206" s="18">
        <f>Teilnehmer!D21</f>
        <v/>
      </c>
      <c r="U206" s="37" t="n"/>
      <c r="V206" s="37" t="n"/>
      <c r="W206" s="37" t="n"/>
      <c r="X206" s="37" t="n"/>
      <c r="AC206" s="17">
        <f>Teilnehmer!B22</f>
        <v/>
      </c>
      <c r="AD206" s="37" t="n"/>
      <c r="AE206" s="37" t="n"/>
      <c r="AF206" s="37" t="n"/>
      <c r="AG206" s="37" t="n"/>
      <c r="AH206" s="37" t="n"/>
      <c r="AI206" s="37" t="n"/>
      <c r="AJ206" s="37" t="n"/>
      <c r="AK206" s="17">
        <f>Teilnehmer!C22</f>
        <v/>
      </c>
      <c r="AL206" s="37" t="n"/>
      <c r="AM206" s="37" t="n"/>
      <c r="AN206" s="37" t="n"/>
      <c r="AO206" s="37" t="n"/>
      <c r="AP206" s="37" t="n"/>
      <c r="AQ206" s="37" t="n"/>
      <c r="AR206" s="37" t="n"/>
      <c r="AU206" s="2" t="inlineStr">
        <is>
          <t>geb. am:</t>
        </is>
      </c>
      <c r="AV206" s="18">
        <f>Teilnehmer!D22</f>
        <v/>
      </c>
      <c r="AW206" s="37" t="n"/>
      <c r="AX206" s="37" t="n"/>
      <c r="AY206" s="37" t="n"/>
      <c r="AZ206" s="37" t="n"/>
    </row>
    <row r="207" ht="14.25" customHeight="1">
      <c r="A207" s="6" t="n"/>
      <c r="B207" s="16" t="inlineStr">
        <is>
          <t>Name</t>
        </is>
      </c>
      <c r="C207" s="38" t="n"/>
      <c r="D207" s="38" t="n"/>
      <c r="E207" s="38" t="n"/>
      <c r="F207" s="38" t="n"/>
      <c r="G207" s="38" t="n"/>
      <c r="H207" s="6" t="n"/>
      <c r="I207" s="6" t="n"/>
      <c r="J207" s="16" t="inlineStr">
        <is>
          <t>Vorname</t>
        </is>
      </c>
      <c r="K207" s="38" t="n"/>
      <c r="L207" s="38" t="n"/>
      <c r="M207" s="38" t="n"/>
      <c r="N207" s="38" t="n"/>
      <c r="O207" s="38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AC207" s="6" t="n"/>
      <c r="AD207" s="16" t="inlineStr">
        <is>
          <t>Name</t>
        </is>
      </c>
      <c r="AE207" s="38" t="n"/>
      <c r="AF207" s="38" t="n"/>
      <c r="AG207" s="38" t="n"/>
      <c r="AH207" s="38" t="n"/>
      <c r="AI207" s="38" t="n"/>
      <c r="AJ207" s="6" t="n"/>
      <c r="AK207" s="6" t="n"/>
      <c r="AL207" s="16" t="inlineStr">
        <is>
          <t>Vorname</t>
        </is>
      </c>
      <c r="AM207" s="38" t="n"/>
      <c r="AN207" s="38" t="n"/>
      <c r="AO207" s="38" t="n"/>
      <c r="AP207" s="38" t="n"/>
      <c r="AQ207" s="38" t="n"/>
      <c r="AR207" s="6" t="n"/>
      <c r="AS207" s="6" t="n"/>
      <c r="AT207" s="6" t="n"/>
      <c r="AU207" s="6" t="n"/>
      <c r="AV207" s="6" t="n"/>
      <c r="AW207" s="6" t="n"/>
      <c r="AX207" s="6" t="n"/>
      <c r="AY207" s="6" t="n"/>
      <c r="AZ207" s="6" t="n"/>
    </row>
    <row r="208"/>
    <row r="209" ht="14.25" customHeight="1">
      <c r="A209" s="3" t="inlineStr">
        <is>
          <t>hat an dem 9 Unterrichtseinheiten (Nettounterrichtszeit 9 x 45 Minuten) umfassenden Lehrgang</t>
        </is>
      </c>
      <c r="AC209" s="3" t="inlineStr">
        <is>
          <t>hat an dem 9 Unterrichtseinheiten (Nettounterrichtszeit 9 x 45 Minuten) umfassenden Lehrgang</t>
        </is>
      </c>
    </row>
    <row r="210"/>
    <row r="211" ht="14.25" customHeight="1">
      <c r="A211" s="3" t="inlineStr">
        <is>
          <t>am</t>
        </is>
      </c>
      <c r="C211" s="18">
        <f>Teilnehmer!C3</f>
        <v/>
      </c>
      <c r="D211" s="37" t="n"/>
      <c r="E211" s="37" t="n"/>
      <c r="F211" s="37" t="n"/>
      <c r="G211" s="37" t="n"/>
      <c r="H211" s="3" t="inlineStr">
        <is>
          <t>in der Zeit von</t>
        </is>
      </c>
      <c r="M211" s="19">
        <f>Teilnehmer!F3</f>
        <v/>
      </c>
      <c r="N211" s="37" t="n"/>
      <c r="O211" s="37" t="n"/>
      <c r="P211" s="3" t="inlineStr">
        <is>
          <t>Uhr bis</t>
        </is>
      </c>
      <c r="S211" s="19">
        <f>Teilnehmer!H3</f>
        <v/>
      </c>
      <c r="T211" s="37" t="n"/>
      <c r="U211" s="37" t="n"/>
      <c r="V211" s="3" t="inlineStr">
        <is>
          <t>Uhr</t>
        </is>
      </c>
      <c r="AC211" s="3" t="inlineStr">
        <is>
          <t>am</t>
        </is>
      </c>
      <c r="AE211" s="18">
        <f>Teilnehmer!C3</f>
        <v/>
      </c>
      <c r="AF211" s="37" t="n"/>
      <c r="AG211" s="37" t="n"/>
      <c r="AH211" s="37" t="n"/>
      <c r="AI211" s="37" t="n"/>
      <c r="AJ211" s="3" t="inlineStr">
        <is>
          <t>in der Zeit von</t>
        </is>
      </c>
      <c r="AO211" s="19">
        <f>Teilnehmer!F3</f>
        <v/>
      </c>
      <c r="AP211" s="37" t="n"/>
      <c r="AQ211" s="37" t="n"/>
      <c r="AR211" s="3" t="inlineStr">
        <is>
          <t>Uhr bis</t>
        </is>
      </c>
      <c r="AU211" s="19">
        <f>Teilnehmer!H3</f>
        <v/>
      </c>
      <c r="AV211" s="37" t="n"/>
      <c r="AW211" s="37" t="n"/>
      <c r="AX211" s="3" t="inlineStr">
        <is>
          <t>Uhr</t>
        </is>
      </c>
    </row>
    <row r="212"/>
    <row r="213" ht="14.25" customHeight="1">
      <c r="A213" s="3" t="inlineStr">
        <is>
          <t>unter der Leitung von</t>
        </is>
      </c>
      <c r="H213" s="17">
        <f>Teilnehmer!C4</f>
        <v/>
      </c>
      <c r="I213" s="8" t="n"/>
      <c r="J213" s="8" t="n"/>
      <c r="K213" s="8" t="n"/>
      <c r="L213" s="8" t="n"/>
      <c r="M213" s="8" t="n"/>
      <c r="N213" s="8" t="n"/>
      <c r="O213" s="8" t="n"/>
      <c r="Q213" s="3" t="inlineStr">
        <is>
          <t>erfolgreich teilgenommen.</t>
        </is>
      </c>
      <c r="AC213" s="3" t="inlineStr">
        <is>
          <t>unter der Leitung von</t>
        </is>
      </c>
      <c r="AJ213" s="17">
        <f>Teilnehmer!C4</f>
        <v/>
      </c>
      <c r="AK213" s="8" t="n"/>
      <c r="AL213" s="8" t="n"/>
      <c r="AM213" s="8" t="n"/>
      <c r="AN213" s="8" t="n"/>
      <c r="AO213" s="8" t="n"/>
      <c r="AP213" s="8" t="n"/>
      <c r="AQ213" s="8" t="n"/>
      <c r="AS213" s="3" t="inlineStr">
        <is>
          <t>erfolgreich teilgenommen.</t>
        </is>
      </c>
    </row>
    <row r="214"/>
    <row r="215" ht="14.25" customHeight="1">
      <c r="A215" s="3" t="inlineStr">
        <is>
          <t>Teilnehmerunterlagen ausgehändigt:</t>
        </is>
      </c>
      <c r="N215" s="12" t="inlineStr">
        <is>
          <t>X</t>
        </is>
      </c>
      <c r="O215" s="3" t="inlineStr">
        <is>
          <t>ja</t>
        </is>
      </c>
      <c r="R215" s="12" t="n"/>
      <c r="S215" s="3" t="inlineStr">
        <is>
          <t>nein</t>
        </is>
      </c>
      <c r="AC215" s="3" t="inlineStr">
        <is>
          <t>Teilnehmerunterlagen ausgehändigt:</t>
        </is>
      </c>
      <c r="AP215" s="12" t="inlineStr">
        <is>
          <t>X</t>
        </is>
      </c>
      <c r="AQ215" s="3" t="inlineStr">
        <is>
          <t>ja</t>
        </is>
      </c>
      <c r="AT215" s="12" t="n"/>
      <c r="AU215" s="3" t="inlineStr">
        <is>
          <t>nein</t>
        </is>
      </c>
    </row>
    <row r="216"/>
    <row r="217"/>
    <row r="218" ht="14.25" customHeight="1">
      <c r="A218" s="4" t="inlineStr">
        <is>
          <t>Rastatt</t>
        </is>
      </c>
      <c r="G218" s="3" t="inlineStr">
        <is>
          <t>,den</t>
        </is>
      </c>
      <c r="I218" s="20">
        <f>Teilnehmer!C3</f>
        <v/>
      </c>
      <c r="AC218" s="4" t="inlineStr">
        <is>
          <t>Rastatt</t>
        </is>
      </c>
      <c r="AI218" s="3" t="inlineStr">
        <is>
          <t>,den</t>
        </is>
      </c>
      <c r="AK218" s="20">
        <f>Teilnehmer!C3</f>
        <v/>
      </c>
    </row>
    <row r="219" ht="14.25" customHeight="1">
      <c r="A219" s="16" t="inlineStr">
        <is>
          <t>Ort</t>
        </is>
      </c>
      <c r="B219" s="38" t="n"/>
      <c r="C219" s="38" t="n"/>
      <c r="D219" s="38" t="n"/>
      <c r="E219" s="38" t="n"/>
      <c r="F219" s="10" t="n"/>
      <c r="I219" s="16" t="inlineStr">
        <is>
          <t>Datum</t>
        </is>
      </c>
      <c r="J219" s="38" t="n"/>
      <c r="K219" s="38" t="n"/>
      <c r="L219" s="38" t="n"/>
      <c r="M219" s="38" t="n"/>
      <c r="O219" s="16" t="inlineStr">
        <is>
          <t>Unterschrift der Lehrkraft</t>
        </is>
      </c>
      <c r="P219" s="38" t="n"/>
      <c r="Q219" s="38" t="n"/>
      <c r="R219" s="38" t="n"/>
      <c r="S219" s="38" t="n"/>
      <c r="T219" s="38" t="n"/>
      <c r="U219" s="38" t="n"/>
      <c r="V219" s="38" t="n"/>
      <c r="W219" s="38" t="n"/>
      <c r="X219" s="38" t="n"/>
      <c r="AC219" s="16" t="inlineStr">
        <is>
          <t>Ort</t>
        </is>
      </c>
      <c r="AD219" s="38" t="n"/>
      <c r="AE219" s="38" t="n"/>
      <c r="AF219" s="38" t="n"/>
      <c r="AG219" s="38" t="n"/>
      <c r="AH219" s="10" t="n"/>
      <c r="AK219" s="16" t="inlineStr">
        <is>
          <t>Datum</t>
        </is>
      </c>
      <c r="AL219" s="38" t="n"/>
      <c r="AM219" s="38" t="n"/>
      <c r="AN219" s="38" t="n"/>
      <c r="AO219" s="38" t="n"/>
      <c r="AQ219" s="16" t="inlineStr">
        <is>
          <t>Unterschrift der Lehrkraft</t>
        </is>
      </c>
      <c r="AR219" s="38" t="n"/>
      <c r="AS219" s="38" t="n"/>
      <c r="AT219" s="38" t="n"/>
      <c r="AU219" s="38" t="n"/>
      <c r="AV219" s="38" t="n"/>
      <c r="AW219" s="38" t="n"/>
      <c r="AX219" s="38" t="n"/>
      <c r="AY219" s="38" t="n"/>
      <c r="AZ219" s="38" t="n"/>
    </row>
    <row r="220" ht="14.25" customHeight="1">
      <c r="A220" s="11" t="n"/>
      <c r="B220" s="11" t="n"/>
      <c r="C220" s="11" t="n"/>
      <c r="D220" s="11" t="n"/>
      <c r="E220" s="11" t="n"/>
      <c r="F220" s="10" t="n"/>
      <c r="I220" s="11" t="n"/>
      <c r="J220" s="11" t="n"/>
      <c r="K220" s="11" t="n"/>
      <c r="L220" s="11" t="n"/>
      <c r="M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AC220" s="11" t="n"/>
      <c r="AD220" s="11" t="n"/>
      <c r="AE220" s="11" t="n"/>
      <c r="AF220" s="11" t="n"/>
      <c r="AG220" s="11" t="n"/>
      <c r="AH220" s="10" t="n"/>
      <c r="AK220" s="11" t="n"/>
      <c r="AL220" s="11" t="n"/>
      <c r="AM220" s="11" t="n"/>
      <c r="AN220" s="11" t="n"/>
      <c r="AO220" s="11" t="n"/>
      <c r="AQ220" s="11" t="n"/>
      <c r="AR220" s="11" t="n"/>
      <c r="AS220" s="11" t="n"/>
      <c r="AT220" s="11" t="n"/>
      <c r="AU220" s="11" t="n"/>
      <c r="AV220" s="11" t="n"/>
      <c r="AW220" s="11" t="n"/>
      <c r="AX220" s="11" t="n"/>
      <c r="AY220" s="11" t="n"/>
      <c r="AZ220" s="11" t="n"/>
    </row>
    <row r="221" ht="14.25" customHeight="1">
      <c r="A221" s="11" t="n"/>
      <c r="B221" s="11" t="n"/>
      <c r="C221" s="11" t="n"/>
      <c r="D221" s="11" t="n"/>
      <c r="E221" s="11" t="n"/>
      <c r="F221" s="10" t="n"/>
      <c r="I221" s="11" t="n"/>
      <c r="J221" s="11" t="n"/>
      <c r="K221" s="11" t="n"/>
      <c r="L221" s="11" t="n"/>
      <c r="M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AC221" s="11" t="n"/>
      <c r="AD221" s="11" t="n"/>
      <c r="AE221" s="11" t="n"/>
      <c r="AF221" s="11" t="n"/>
      <c r="AG221" s="11" t="n"/>
      <c r="AH221" s="10" t="n"/>
      <c r="AK221" s="11" t="n"/>
      <c r="AL221" s="11" t="n"/>
      <c r="AM221" s="11" t="n"/>
      <c r="AN221" s="11" t="n"/>
      <c r="AO221" s="11" t="n"/>
      <c r="AQ221" s="11" t="n"/>
      <c r="AR221" s="11" t="n"/>
      <c r="AS221" s="11" t="n"/>
      <c r="AT221" s="11" t="n"/>
      <c r="AU221" s="11" t="n"/>
      <c r="AV221" s="11" t="n"/>
      <c r="AW221" s="11" t="n"/>
      <c r="AX221" s="11" t="n"/>
      <c r="AY221" s="11" t="n"/>
      <c r="AZ221" s="11" t="n"/>
    </row>
    <row r="222" ht="14.25" customHeight="1">
      <c r="A222" s="11" t="n"/>
      <c r="B222" s="11" t="n"/>
      <c r="C222" s="11" t="n"/>
      <c r="D222" s="11" t="n"/>
      <c r="E222" s="11" t="n"/>
      <c r="F222" s="10" t="n"/>
      <c r="I222" s="11" t="n"/>
      <c r="J222" s="11" t="n"/>
      <c r="K222" s="11" t="n"/>
      <c r="L222" s="11" t="n"/>
      <c r="M222" s="11" t="n"/>
      <c r="O222" s="16" t="inlineStr">
        <is>
          <t>Ausbildungsverantwortlicher</t>
        </is>
      </c>
      <c r="P222" s="38" t="n"/>
      <c r="Q222" s="38" t="n"/>
      <c r="R222" s="38" t="n"/>
      <c r="S222" s="38" t="n"/>
      <c r="T222" s="38" t="n"/>
      <c r="U222" s="38" t="n"/>
      <c r="V222" s="38" t="n"/>
      <c r="W222" s="38" t="n"/>
      <c r="X222" s="38" t="n"/>
      <c r="AC222" s="11" t="n"/>
      <c r="AD222" s="11" t="n"/>
      <c r="AE222" s="11" t="n"/>
      <c r="AF222" s="11" t="n"/>
      <c r="AG222" s="11" t="n"/>
      <c r="AH222" s="10" t="n"/>
      <c r="AK222" s="11" t="n"/>
      <c r="AL222" s="11" t="n"/>
      <c r="AM222" s="11" t="n"/>
      <c r="AN222" s="11" t="n"/>
      <c r="AO222" s="11" t="n"/>
      <c r="AQ222" s="16" t="inlineStr">
        <is>
          <t>Ausbildungsverantwortlicher</t>
        </is>
      </c>
      <c r="AR222" s="38" t="n"/>
      <c r="AS222" s="38" t="n"/>
      <c r="AT222" s="38" t="n"/>
      <c r="AU222" s="38" t="n"/>
      <c r="AV222" s="38" t="n"/>
      <c r="AW222" s="38" t="n"/>
      <c r="AX222" s="38" t="n"/>
      <c r="AY222" s="38" t="n"/>
      <c r="AZ222" s="38" t="n"/>
    </row>
    <row r="223"/>
    <row r="224" ht="14.25" customHeight="1">
      <c r="A224" s="3" t="inlineStr">
        <is>
          <t>Name der ermächtigten Stelle:</t>
        </is>
      </c>
      <c r="K224" s="4" t="inlineStr">
        <is>
          <t>Mercedes-Benz AG, Werk Rastatt</t>
        </is>
      </c>
      <c r="AC224" s="3" t="inlineStr">
        <is>
          <t>Name der ermächtigten Stelle:</t>
        </is>
      </c>
      <c r="AM224" s="4" t="inlineStr">
        <is>
          <t>Mercedes-Benz AG, Werk Rastatt</t>
        </is>
      </c>
    </row>
    <row r="225"/>
    <row r="226" ht="14.25" customHeight="1">
      <c r="A226" s="3" t="inlineStr">
        <is>
          <t>Kennziffer der ermächtigten Stelle</t>
        </is>
      </c>
      <c r="AC226" s="3" t="inlineStr">
        <is>
          <t>Kennziffer der ermächtigten Stelle</t>
        </is>
      </c>
    </row>
    <row r="227" ht="14.25" customHeight="1">
      <c r="A227" s="3" t="inlineStr">
        <is>
          <t>gemäß § 26 DGUV Vorschri_x001F_ft:</t>
        </is>
      </c>
      <c r="K227" s="15" t="inlineStr">
        <is>
          <t>7.0103</t>
        </is>
      </c>
      <c r="AC227" s="3" t="inlineStr">
        <is>
          <t>gemäß § 26 DGUV Vorschri_x001F_ft:</t>
        </is>
      </c>
      <c r="AM227" s="15" t="inlineStr">
        <is>
          <t>7.0103</t>
        </is>
      </c>
    </row>
    <row r="228"/>
    <row r="229" ht="14.25" customHeight="1">
      <c r="A229" s="3" t="inlineStr">
        <is>
          <t>Registriernummer der Schulung:</t>
        </is>
      </c>
      <c r="K229" s="4">
        <f>Teilnehmer!C5</f>
        <v/>
      </c>
      <c r="AC229" s="3" t="inlineStr">
        <is>
          <t>Registriernummer der Schulung:</t>
        </is>
      </c>
      <c r="AM229" s="4">
        <f>Teilnehmer!C5</f>
        <v/>
      </c>
    </row>
    <row r="230"/>
    <row r="231" ht="14.25" customHeight="1">
      <c r="A231" s="9" t="inlineStr">
        <is>
          <t>* Die Teilnahme an der Ausbildung in betrieblicher Erster Hilfe gilt als Schulung in Erster Hilfe gem. § 19 Fahrerlaubnis- Verordnung</t>
        </is>
      </c>
      <c r="AC231" s="9" t="inlineStr">
        <is>
          <t>* Die Teilnahme an der Ausbildung in betrieblicher Erster Hilfe gilt als Schulung in Erster Hilfe gem. § 19 Fahrerlaubnis- Verordnung</t>
        </is>
      </c>
    </row>
    <row r="232" ht="14.25" customHeight="1">
      <c r="A232" s="9" t="inlineStr">
        <is>
          <t xml:space="preserve">   (FeV).</t>
        </is>
      </c>
      <c r="AC232" s="9" t="inlineStr">
        <is>
          <t xml:space="preserve">   (FeV).</t>
        </is>
      </c>
    </row>
    <row r="233"/>
    <row r="234"/>
    <row r="235"/>
    <row r="236"/>
    <row r="237"/>
    <row r="238"/>
    <row r="239"/>
    <row r="240"/>
    <row r="241"/>
    <row r="242"/>
    <row r="243"/>
    <row r="244"/>
    <row r="245" ht="14.25" customHeight="1">
      <c r="A245" s="17">
        <f>Teilnehmer!B23</f>
        <v/>
      </c>
      <c r="B245" s="37" t="n"/>
      <c r="C245" s="37" t="n"/>
      <c r="D245" s="37" t="n"/>
      <c r="E245" s="37" t="n"/>
      <c r="F245" s="37" t="n"/>
      <c r="G245" s="37" t="n"/>
      <c r="H245" s="37" t="n"/>
      <c r="I245" s="17">
        <f>Teilnehmer!C23</f>
        <v/>
      </c>
      <c r="J245" s="37" t="n"/>
      <c r="K245" s="37" t="n"/>
      <c r="L245" s="37" t="n"/>
      <c r="M245" s="37" t="n"/>
      <c r="N245" s="37" t="n"/>
      <c r="O245" s="37" t="n"/>
      <c r="P245" s="37" t="n"/>
      <c r="S245" s="2" t="inlineStr">
        <is>
          <t>geb. am:</t>
        </is>
      </c>
      <c r="T245" s="18">
        <f>Teilnehmer!D23</f>
        <v/>
      </c>
      <c r="U245" s="37" t="n"/>
      <c r="V245" s="37" t="n"/>
      <c r="W245" s="37" t="n"/>
      <c r="X245" s="37" t="n"/>
      <c r="AC245" s="17">
        <f>Teilnehmer!B24</f>
        <v/>
      </c>
      <c r="AD245" s="37" t="n"/>
      <c r="AE245" s="37" t="n"/>
      <c r="AF245" s="37" t="n"/>
      <c r="AG245" s="37" t="n"/>
      <c r="AH245" s="37" t="n"/>
      <c r="AI245" s="37" t="n"/>
      <c r="AJ245" s="37" t="n"/>
      <c r="AK245" s="17">
        <f>Teilnehmer!C24</f>
        <v/>
      </c>
      <c r="AL245" s="37" t="n"/>
      <c r="AM245" s="37" t="n"/>
      <c r="AN245" s="37" t="n"/>
      <c r="AO245" s="37" t="n"/>
      <c r="AP245" s="37" t="n"/>
      <c r="AQ245" s="37" t="n"/>
      <c r="AR245" s="37" t="n"/>
      <c r="AU245" s="2" t="inlineStr">
        <is>
          <t>geb. am:</t>
        </is>
      </c>
      <c r="AV245" s="18">
        <f>Teilnehmer!D24</f>
        <v/>
      </c>
      <c r="AW245" s="37" t="n"/>
      <c r="AX245" s="37" t="n"/>
      <c r="AY245" s="37" t="n"/>
      <c r="AZ245" s="37" t="n"/>
    </row>
    <row r="246" ht="14.25" customHeight="1">
      <c r="A246" s="6" t="n"/>
      <c r="B246" s="16" t="inlineStr">
        <is>
          <t>Name</t>
        </is>
      </c>
      <c r="C246" s="38" t="n"/>
      <c r="D246" s="38" t="n"/>
      <c r="E246" s="38" t="n"/>
      <c r="F246" s="38" t="n"/>
      <c r="G246" s="38" t="n"/>
      <c r="H246" s="6" t="n"/>
      <c r="I246" s="6" t="n"/>
      <c r="J246" s="16" t="inlineStr">
        <is>
          <t>Vorname</t>
        </is>
      </c>
      <c r="K246" s="38" t="n"/>
      <c r="L246" s="38" t="n"/>
      <c r="M246" s="38" t="n"/>
      <c r="N246" s="38" t="n"/>
      <c r="O246" s="38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AC246" s="6" t="n"/>
      <c r="AD246" s="16" t="inlineStr">
        <is>
          <t>Name</t>
        </is>
      </c>
      <c r="AE246" s="38" t="n"/>
      <c r="AF246" s="38" t="n"/>
      <c r="AG246" s="38" t="n"/>
      <c r="AH246" s="38" t="n"/>
      <c r="AI246" s="38" t="n"/>
      <c r="AJ246" s="6" t="n"/>
      <c r="AK246" s="6" t="n"/>
      <c r="AL246" s="16" t="inlineStr">
        <is>
          <t>Vorname</t>
        </is>
      </c>
      <c r="AM246" s="38" t="n"/>
      <c r="AN246" s="38" t="n"/>
      <c r="AO246" s="38" t="n"/>
      <c r="AP246" s="38" t="n"/>
      <c r="AQ246" s="38" t="n"/>
      <c r="AR246" s="6" t="n"/>
      <c r="AS246" s="6" t="n"/>
      <c r="AT246" s="6" t="n"/>
      <c r="AU246" s="6" t="n"/>
      <c r="AV246" s="6" t="n"/>
      <c r="AW246" s="6" t="n"/>
      <c r="AX246" s="6" t="n"/>
      <c r="AY246" s="6" t="n"/>
      <c r="AZ246" s="6" t="n"/>
    </row>
    <row r="247"/>
    <row r="248" ht="14.25" customHeight="1">
      <c r="A248" s="3" t="inlineStr">
        <is>
          <t>hat an dem 9 Unterrichtseinheiten (Nettounterrichtszeit 9 x 45 Minuten) umfassenden Lehrgang</t>
        </is>
      </c>
      <c r="AC248" s="3" t="inlineStr">
        <is>
          <t>hat an dem 9 Unterrichtseinheiten (Nettounterrichtszeit 9 x 45 Minuten) umfassenden Lehrgang</t>
        </is>
      </c>
    </row>
    <row r="249"/>
    <row r="250" ht="14.25" customHeight="1">
      <c r="A250" s="3" t="inlineStr">
        <is>
          <t>am</t>
        </is>
      </c>
      <c r="C250" s="18">
        <f>Teilnehmer!C3</f>
        <v/>
      </c>
      <c r="D250" s="37" t="n"/>
      <c r="E250" s="37" t="n"/>
      <c r="F250" s="37" t="n"/>
      <c r="G250" s="37" t="n"/>
      <c r="H250" s="3" t="inlineStr">
        <is>
          <t>in der Zeit von</t>
        </is>
      </c>
      <c r="M250" s="19">
        <f>Teilnehmer!F3</f>
        <v/>
      </c>
      <c r="N250" s="37" t="n"/>
      <c r="O250" s="37" t="n"/>
      <c r="P250" s="3" t="inlineStr">
        <is>
          <t>Uhr bis</t>
        </is>
      </c>
      <c r="S250" s="19">
        <f>Teilnehmer!H3</f>
        <v/>
      </c>
      <c r="T250" s="37" t="n"/>
      <c r="U250" s="37" t="n"/>
      <c r="V250" s="3" t="inlineStr">
        <is>
          <t>Uhr</t>
        </is>
      </c>
      <c r="AC250" s="3" t="inlineStr">
        <is>
          <t>am</t>
        </is>
      </c>
      <c r="AE250" s="18">
        <f>Teilnehmer!C3</f>
        <v/>
      </c>
      <c r="AF250" s="37" t="n"/>
      <c r="AG250" s="37" t="n"/>
      <c r="AH250" s="37" t="n"/>
      <c r="AI250" s="37" t="n"/>
      <c r="AJ250" s="3" t="inlineStr">
        <is>
          <t>in der Zeit von</t>
        </is>
      </c>
      <c r="AO250" s="19">
        <f>Teilnehmer!F3</f>
        <v/>
      </c>
      <c r="AP250" s="37" t="n"/>
      <c r="AQ250" s="37" t="n"/>
      <c r="AR250" s="3" t="inlineStr">
        <is>
          <t>Uhr bis</t>
        </is>
      </c>
      <c r="AU250" s="19">
        <f>Teilnehmer!H3</f>
        <v/>
      </c>
      <c r="AV250" s="37" t="n"/>
      <c r="AW250" s="37" t="n"/>
      <c r="AX250" s="3" t="inlineStr">
        <is>
          <t>Uhr</t>
        </is>
      </c>
    </row>
    <row r="251"/>
    <row r="252" ht="14.25" customHeight="1">
      <c r="A252" s="3" t="inlineStr">
        <is>
          <t>unter der Leitung von</t>
        </is>
      </c>
      <c r="H252" s="17">
        <f>Teilnehmer!C4</f>
        <v/>
      </c>
      <c r="I252" s="8" t="n"/>
      <c r="J252" s="8" t="n"/>
      <c r="K252" s="8" t="n"/>
      <c r="L252" s="8" t="n"/>
      <c r="M252" s="8" t="n"/>
      <c r="N252" s="8" t="n"/>
      <c r="O252" s="8" t="n"/>
      <c r="Q252" s="3" t="inlineStr">
        <is>
          <t>erfolgreich teilgenommen.</t>
        </is>
      </c>
      <c r="AC252" s="3" t="inlineStr">
        <is>
          <t>unter der Leitung von</t>
        </is>
      </c>
      <c r="AJ252" s="17">
        <f>Teilnehmer!C4</f>
        <v/>
      </c>
      <c r="AK252" s="8" t="n"/>
      <c r="AL252" s="8" t="n"/>
      <c r="AM252" s="8" t="n"/>
      <c r="AN252" s="8" t="n"/>
      <c r="AO252" s="8" t="n"/>
      <c r="AP252" s="8" t="n"/>
      <c r="AQ252" s="8" t="n"/>
      <c r="AS252" s="3" t="inlineStr">
        <is>
          <t>erfolgreich teilgenommen.</t>
        </is>
      </c>
    </row>
    <row r="253"/>
    <row r="254" ht="14.25" customHeight="1">
      <c r="A254" s="3" t="inlineStr">
        <is>
          <t>Teilnehmerunterlagen ausgehändigt:</t>
        </is>
      </c>
      <c r="N254" s="12" t="inlineStr">
        <is>
          <t>X</t>
        </is>
      </c>
      <c r="O254" s="3" t="inlineStr">
        <is>
          <t>ja</t>
        </is>
      </c>
      <c r="R254" s="12" t="n"/>
      <c r="S254" s="3" t="inlineStr">
        <is>
          <t>nein</t>
        </is>
      </c>
      <c r="AC254" s="3" t="inlineStr">
        <is>
          <t>Teilnehmerunterlagen ausgehändigt:</t>
        </is>
      </c>
      <c r="AP254" s="12" t="inlineStr">
        <is>
          <t>X</t>
        </is>
      </c>
      <c r="AQ254" s="3" t="inlineStr">
        <is>
          <t>ja</t>
        </is>
      </c>
      <c r="AT254" s="12" t="n"/>
      <c r="AU254" s="3" t="inlineStr">
        <is>
          <t>nein</t>
        </is>
      </c>
    </row>
    <row r="255"/>
    <row r="256"/>
    <row r="257" ht="14.25" customHeight="1">
      <c r="A257" s="4" t="inlineStr">
        <is>
          <t>Rastatt</t>
        </is>
      </c>
      <c r="G257" s="3" t="inlineStr">
        <is>
          <t>,den</t>
        </is>
      </c>
      <c r="I257" s="20">
        <f>Teilnehmer!C3</f>
        <v/>
      </c>
      <c r="AC257" s="4" t="inlineStr">
        <is>
          <t>Rastatt</t>
        </is>
      </c>
      <c r="AI257" s="3" t="inlineStr">
        <is>
          <t>,den</t>
        </is>
      </c>
      <c r="AK257" s="20">
        <f>Teilnehmer!C3</f>
        <v/>
      </c>
    </row>
    <row r="258" ht="14.25" customHeight="1">
      <c r="A258" s="16" t="inlineStr">
        <is>
          <t>Ort</t>
        </is>
      </c>
      <c r="B258" s="38" t="n"/>
      <c r="C258" s="38" t="n"/>
      <c r="D258" s="38" t="n"/>
      <c r="E258" s="38" t="n"/>
      <c r="F258" s="10" t="n"/>
      <c r="I258" s="16" t="inlineStr">
        <is>
          <t>Datum</t>
        </is>
      </c>
      <c r="J258" s="38" t="n"/>
      <c r="K258" s="38" t="n"/>
      <c r="L258" s="38" t="n"/>
      <c r="M258" s="38" t="n"/>
      <c r="O258" s="16" t="inlineStr">
        <is>
          <t>Unterschrift der Lehrkraft</t>
        </is>
      </c>
      <c r="P258" s="38" t="n"/>
      <c r="Q258" s="38" t="n"/>
      <c r="R258" s="38" t="n"/>
      <c r="S258" s="38" t="n"/>
      <c r="T258" s="38" t="n"/>
      <c r="U258" s="38" t="n"/>
      <c r="V258" s="38" t="n"/>
      <c r="W258" s="38" t="n"/>
      <c r="X258" s="38" t="n"/>
      <c r="AC258" s="16" t="inlineStr">
        <is>
          <t>Ort</t>
        </is>
      </c>
      <c r="AD258" s="38" t="n"/>
      <c r="AE258" s="38" t="n"/>
      <c r="AF258" s="38" t="n"/>
      <c r="AG258" s="38" t="n"/>
      <c r="AH258" s="10" t="n"/>
      <c r="AK258" s="16" t="inlineStr">
        <is>
          <t>Datum</t>
        </is>
      </c>
      <c r="AL258" s="38" t="n"/>
      <c r="AM258" s="38" t="n"/>
      <c r="AN258" s="38" t="n"/>
      <c r="AO258" s="38" t="n"/>
      <c r="AQ258" s="16" t="inlineStr">
        <is>
          <t>Unterschrift der Lehrkraft</t>
        </is>
      </c>
      <c r="AR258" s="38" t="n"/>
      <c r="AS258" s="38" t="n"/>
      <c r="AT258" s="38" t="n"/>
      <c r="AU258" s="38" t="n"/>
      <c r="AV258" s="38" t="n"/>
      <c r="AW258" s="38" t="n"/>
      <c r="AX258" s="38" t="n"/>
      <c r="AY258" s="38" t="n"/>
      <c r="AZ258" s="38" t="n"/>
    </row>
    <row r="259" ht="14.25" customHeight="1">
      <c r="A259" s="11" t="n"/>
      <c r="B259" s="11" t="n"/>
      <c r="C259" s="11" t="n"/>
      <c r="D259" s="11" t="n"/>
      <c r="E259" s="11" t="n"/>
      <c r="F259" s="10" t="n"/>
      <c r="I259" s="11" t="n"/>
      <c r="J259" s="11" t="n"/>
      <c r="K259" s="11" t="n"/>
      <c r="L259" s="11" t="n"/>
      <c r="M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AC259" s="11" t="n"/>
      <c r="AD259" s="11" t="n"/>
      <c r="AE259" s="11" t="n"/>
      <c r="AF259" s="11" t="n"/>
      <c r="AG259" s="11" t="n"/>
      <c r="AH259" s="10" t="n"/>
      <c r="AK259" s="11" t="n"/>
      <c r="AL259" s="11" t="n"/>
      <c r="AM259" s="11" t="n"/>
      <c r="AN259" s="11" t="n"/>
      <c r="AO259" s="11" t="n"/>
      <c r="AQ259" s="11" t="n"/>
      <c r="AR259" s="11" t="n"/>
      <c r="AS259" s="11" t="n"/>
      <c r="AT259" s="11" t="n"/>
      <c r="AU259" s="11" t="n"/>
      <c r="AV259" s="11" t="n"/>
      <c r="AW259" s="11" t="n"/>
      <c r="AX259" s="11" t="n"/>
      <c r="AY259" s="11" t="n"/>
      <c r="AZ259" s="11" t="n"/>
    </row>
    <row r="260" ht="14.25" customHeight="1">
      <c r="A260" s="11" t="n"/>
      <c r="B260" s="11" t="n"/>
      <c r="C260" s="11" t="n"/>
      <c r="D260" s="11" t="n"/>
      <c r="E260" s="11" t="n"/>
      <c r="F260" s="10" t="n"/>
      <c r="I260" s="11" t="n"/>
      <c r="J260" s="11" t="n"/>
      <c r="K260" s="11" t="n"/>
      <c r="L260" s="11" t="n"/>
      <c r="M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AC260" s="11" t="n"/>
      <c r="AD260" s="11" t="n"/>
      <c r="AE260" s="11" t="n"/>
      <c r="AF260" s="11" t="n"/>
      <c r="AG260" s="11" t="n"/>
      <c r="AH260" s="10" t="n"/>
      <c r="AK260" s="11" t="n"/>
      <c r="AL260" s="11" t="n"/>
      <c r="AM260" s="11" t="n"/>
      <c r="AN260" s="11" t="n"/>
      <c r="AO260" s="11" t="n"/>
      <c r="AQ260" s="11" t="n"/>
      <c r="AR260" s="11" t="n"/>
      <c r="AS260" s="11" t="n"/>
      <c r="AT260" s="11" t="n"/>
      <c r="AU260" s="11" t="n"/>
      <c r="AV260" s="11" t="n"/>
      <c r="AW260" s="11" t="n"/>
      <c r="AX260" s="11" t="n"/>
      <c r="AY260" s="11" t="n"/>
      <c r="AZ260" s="11" t="n"/>
    </row>
    <row r="261" ht="14.25" customHeight="1">
      <c r="A261" s="11" t="n"/>
      <c r="B261" s="11" t="n"/>
      <c r="C261" s="11" t="n"/>
      <c r="D261" s="11" t="n"/>
      <c r="E261" s="11" t="n"/>
      <c r="F261" s="10" t="n"/>
      <c r="I261" s="11" t="n"/>
      <c r="J261" s="11" t="n"/>
      <c r="K261" s="11" t="n"/>
      <c r="L261" s="11" t="n"/>
      <c r="M261" s="11" t="n"/>
      <c r="O261" s="16" t="inlineStr">
        <is>
          <t>Ausbildungsverantwortlicher</t>
        </is>
      </c>
      <c r="P261" s="38" t="n"/>
      <c r="Q261" s="38" t="n"/>
      <c r="R261" s="38" t="n"/>
      <c r="S261" s="38" t="n"/>
      <c r="T261" s="38" t="n"/>
      <c r="U261" s="38" t="n"/>
      <c r="V261" s="38" t="n"/>
      <c r="W261" s="38" t="n"/>
      <c r="X261" s="38" t="n"/>
      <c r="AC261" s="11" t="n"/>
      <c r="AD261" s="11" t="n"/>
      <c r="AE261" s="11" t="n"/>
      <c r="AF261" s="11" t="n"/>
      <c r="AG261" s="11" t="n"/>
      <c r="AH261" s="10" t="n"/>
      <c r="AK261" s="11" t="n"/>
      <c r="AL261" s="11" t="n"/>
      <c r="AM261" s="11" t="n"/>
      <c r="AN261" s="11" t="n"/>
      <c r="AO261" s="11" t="n"/>
      <c r="AQ261" s="16" t="inlineStr">
        <is>
          <t>Ausbildungsverantwortlicher</t>
        </is>
      </c>
      <c r="AR261" s="38" t="n"/>
      <c r="AS261" s="38" t="n"/>
      <c r="AT261" s="38" t="n"/>
      <c r="AU261" s="38" t="n"/>
      <c r="AV261" s="38" t="n"/>
      <c r="AW261" s="38" t="n"/>
      <c r="AX261" s="38" t="n"/>
      <c r="AY261" s="38" t="n"/>
      <c r="AZ261" s="38" t="n"/>
    </row>
    <row r="262"/>
    <row r="263" ht="14.25" customHeight="1">
      <c r="A263" s="3" t="inlineStr">
        <is>
          <t>Name der ermächtigten Stelle:</t>
        </is>
      </c>
      <c r="K263" s="4" t="inlineStr">
        <is>
          <t>Mercedes-Benz AG, Werk Rastatt</t>
        </is>
      </c>
      <c r="AC263" s="3" t="inlineStr">
        <is>
          <t>Name der ermächtigten Stelle:</t>
        </is>
      </c>
      <c r="AM263" s="4" t="inlineStr">
        <is>
          <t>Mercedes-Benz AG, Werk Rastatt</t>
        </is>
      </c>
    </row>
    <row r="264"/>
    <row r="265" ht="14.25" customHeight="1">
      <c r="A265" s="3" t="inlineStr">
        <is>
          <t>Kennziffer der ermächtigten Stelle</t>
        </is>
      </c>
      <c r="AC265" s="3" t="inlineStr">
        <is>
          <t>Kennziffer der ermächtigten Stelle</t>
        </is>
      </c>
    </row>
    <row r="266" ht="14.25" customHeight="1">
      <c r="A266" s="3" t="inlineStr">
        <is>
          <t>gemäß § 26 DGUV Vorschri_x001F_ft:</t>
        </is>
      </c>
      <c r="K266" s="15" t="inlineStr">
        <is>
          <t>7.0103</t>
        </is>
      </c>
      <c r="AC266" s="3" t="inlineStr">
        <is>
          <t>gemäß § 26 DGUV Vorschri_x001F_ft:</t>
        </is>
      </c>
      <c r="AM266" s="15" t="inlineStr">
        <is>
          <t>7.0103</t>
        </is>
      </c>
    </row>
    <row r="267"/>
    <row r="268" ht="14.25" customHeight="1">
      <c r="A268" s="3" t="inlineStr">
        <is>
          <t>Registriernummer der Schulung:</t>
        </is>
      </c>
      <c r="K268" s="4">
        <f>Teilnehmer!C5</f>
        <v/>
      </c>
      <c r="AC268" s="3" t="inlineStr">
        <is>
          <t>Registriernummer der Schulung:</t>
        </is>
      </c>
      <c r="AM268" s="4">
        <f>Teilnehmer!C5</f>
        <v/>
      </c>
    </row>
    <row r="269"/>
    <row r="270" ht="14.25" customHeight="1">
      <c r="A270" s="9" t="inlineStr">
        <is>
          <t>* Die Teilnahme an der Ausbildung in betrieblicher Erster Hilfe gilt als Schulung in Erster Hilfe gem. § 19 Fahrerlaubnis- Verordnung</t>
        </is>
      </c>
      <c r="AC270" s="9" t="inlineStr">
        <is>
          <t>* Die Teilnahme an der Ausbildung in betrieblicher Erster Hilfe gilt als Schulung in Erster Hilfe gem. § 19 Fahrerlaubnis- Verordnung</t>
        </is>
      </c>
    </row>
    <row r="271" ht="14.25" customHeight="1">
      <c r="A271" s="9" t="inlineStr">
        <is>
          <t xml:space="preserve">   (FeV).</t>
        </is>
      </c>
      <c r="AC271" s="9" t="inlineStr">
        <is>
          <t xml:space="preserve">   (FeV).</t>
        </is>
      </c>
    </row>
    <row r="272"/>
    <row r="273"/>
    <row r="274"/>
    <row r="275"/>
    <row r="276"/>
    <row r="277"/>
    <row r="278"/>
    <row r="279"/>
    <row r="280"/>
    <row r="281"/>
    <row r="282"/>
    <row r="283"/>
    <row r="284" ht="14.25" customHeight="1">
      <c r="A284" s="17">
        <f>Teilnehmer!B25</f>
        <v/>
      </c>
      <c r="B284" s="37" t="n"/>
      <c r="C284" s="37" t="n"/>
      <c r="D284" s="37" t="n"/>
      <c r="E284" s="37" t="n"/>
      <c r="F284" s="37" t="n"/>
      <c r="G284" s="37" t="n"/>
      <c r="H284" s="37" t="n"/>
      <c r="I284" s="17">
        <f>Teilnehmer!C25</f>
        <v/>
      </c>
      <c r="J284" s="37" t="n"/>
      <c r="K284" s="37" t="n"/>
      <c r="L284" s="37" t="n"/>
      <c r="M284" s="37" t="n"/>
      <c r="N284" s="37" t="n"/>
      <c r="O284" s="37" t="n"/>
      <c r="P284" s="37" t="n"/>
      <c r="S284" s="2" t="inlineStr">
        <is>
          <t>geb. am:</t>
        </is>
      </c>
      <c r="T284" s="18">
        <f>Teilnehmer!D25</f>
        <v/>
      </c>
      <c r="U284" s="37" t="n"/>
      <c r="V284" s="37" t="n"/>
      <c r="W284" s="37" t="n"/>
      <c r="X284" s="37" t="n"/>
      <c r="AC284" s="17">
        <f>Teilnehmer!B26</f>
        <v/>
      </c>
      <c r="AD284" s="37" t="n"/>
      <c r="AE284" s="37" t="n"/>
      <c r="AF284" s="37" t="n"/>
      <c r="AG284" s="37" t="n"/>
      <c r="AH284" s="37" t="n"/>
      <c r="AI284" s="37" t="n"/>
      <c r="AJ284" s="37" t="n"/>
      <c r="AK284" s="17">
        <f>Teilnehmer!C26</f>
        <v/>
      </c>
      <c r="AL284" s="37" t="n"/>
      <c r="AM284" s="37" t="n"/>
      <c r="AN284" s="37" t="n"/>
      <c r="AO284" s="37" t="n"/>
      <c r="AP284" s="37" t="n"/>
      <c r="AQ284" s="37" t="n"/>
      <c r="AR284" s="37" t="n"/>
      <c r="AU284" s="2" t="inlineStr">
        <is>
          <t>geb. am:</t>
        </is>
      </c>
      <c r="AV284" s="18">
        <f>Teilnehmer!D26</f>
        <v/>
      </c>
      <c r="AW284" s="37" t="n"/>
      <c r="AX284" s="37" t="n"/>
      <c r="AY284" s="37" t="n"/>
      <c r="AZ284" s="37" t="n"/>
    </row>
    <row r="285" ht="14.25" customHeight="1">
      <c r="A285" s="6" t="n"/>
      <c r="B285" s="16" t="inlineStr">
        <is>
          <t>Name</t>
        </is>
      </c>
      <c r="C285" s="38" t="n"/>
      <c r="D285" s="38" t="n"/>
      <c r="E285" s="38" t="n"/>
      <c r="F285" s="38" t="n"/>
      <c r="G285" s="38" t="n"/>
      <c r="H285" s="6" t="n"/>
      <c r="I285" s="6" t="n"/>
      <c r="J285" s="16" t="inlineStr">
        <is>
          <t>Vorname</t>
        </is>
      </c>
      <c r="K285" s="38" t="n"/>
      <c r="L285" s="38" t="n"/>
      <c r="M285" s="38" t="n"/>
      <c r="N285" s="38" t="n"/>
      <c r="O285" s="38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AC285" s="6" t="n"/>
      <c r="AD285" s="16" t="inlineStr">
        <is>
          <t>Name</t>
        </is>
      </c>
      <c r="AE285" s="38" t="n"/>
      <c r="AF285" s="38" t="n"/>
      <c r="AG285" s="38" t="n"/>
      <c r="AH285" s="38" t="n"/>
      <c r="AI285" s="38" t="n"/>
      <c r="AJ285" s="6" t="n"/>
      <c r="AK285" s="6" t="n"/>
      <c r="AL285" s="16" t="inlineStr">
        <is>
          <t>Vorname</t>
        </is>
      </c>
      <c r="AM285" s="38" t="n"/>
      <c r="AN285" s="38" t="n"/>
      <c r="AO285" s="38" t="n"/>
      <c r="AP285" s="38" t="n"/>
      <c r="AQ285" s="38" t="n"/>
      <c r="AR285" s="6" t="n"/>
      <c r="AS285" s="6" t="n"/>
      <c r="AT285" s="6" t="n"/>
      <c r="AU285" s="6" t="n"/>
      <c r="AV285" s="6" t="n"/>
      <c r="AW285" s="6" t="n"/>
      <c r="AX285" s="6" t="n"/>
      <c r="AY285" s="6" t="n"/>
      <c r="AZ285" s="6" t="n"/>
    </row>
    <row r="286"/>
    <row r="287" ht="14.25" customHeight="1">
      <c r="A287" s="3" t="inlineStr">
        <is>
          <t>hat an dem 9 Unterrichtseinheiten (Nettounterrichtszeit 9 x 45 Minuten) umfassenden Lehrgang</t>
        </is>
      </c>
      <c r="AC287" s="3" t="inlineStr">
        <is>
          <t>hat an dem 9 Unterrichtseinheiten (Nettounterrichtszeit 9 x 45 Minuten) umfassenden Lehrgang</t>
        </is>
      </c>
    </row>
    <row r="288"/>
    <row r="289" ht="14.25" customHeight="1">
      <c r="A289" s="3" t="inlineStr">
        <is>
          <t>am</t>
        </is>
      </c>
      <c r="C289" s="18">
        <f>Teilnehmer!C3</f>
        <v/>
      </c>
      <c r="D289" s="37" t="n"/>
      <c r="E289" s="37" t="n"/>
      <c r="F289" s="37" t="n"/>
      <c r="G289" s="37" t="n"/>
      <c r="H289" s="3" t="inlineStr">
        <is>
          <t>in der Zeit von</t>
        </is>
      </c>
      <c r="M289" s="19">
        <f>Teilnehmer!F3</f>
        <v/>
      </c>
      <c r="N289" s="37" t="n"/>
      <c r="O289" s="37" t="n"/>
      <c r="P289" s="3" t="inlineStr">
        <is>
          <t>Uhr bis</t>
        </is>
      </c>
      <c r="S289" s="19">
        <f>Teilnehmer!H3</f>
        <v/>
      </c>
      <c r="T289" s="37" t="n"/>
      <c r="U289" s="37" t="n"/>
      <c r="V289" s="3" t="inlineStr">
        <is>
          <t>Uhr</t>
        </is>
      </c>
      <c r="AC289" s="3" t="inlineStr">
        <is>
          <t>am</t>
        </is>
      </c>
      <c r="AE289" s="18">
        <f>Teilnehmer!C3</f>
        <v/>
      </c>
      <c r="AF289" s="37" t="n"/>
      <c r="AG289" s="37" t="n"/>
      <c r="AH289" s="37" t="n"/>
      <c r="AI289" s="37" t="n"/>
      <c r="AJ289" s="3" t="inlineStr">
        <is>
          <t>in der Zeit von</t>
        </is>
      </c>
      <c r="AO289" s="19">
        <f>Teilnehmer!F3</f>
        <v/>
      </c>
      <c r="AP289" s="37" t="n"/>
      <c r="AQ289" s="37" t="n"/>
      <c r="AR289" s="3" t="inlineStr">
        <is>
          <t>Uhr bis</t>
        </is>
      </c>
      <c r="AU289" s="19">
        <f>Teilnehmer!H3</f>
        <v/>
      </c>
      <c r="AV289" s="37" t="n"/>
      <c r="AW289" s="37" t="n"/>
      <c r="AX289" s="3" t="inlineStr">
        <is>
          <t>Uhr</t>
        </is>
      </c>
    </row>
    <row r="290"/>
    <row r="291" ht="14.25" customHeight="1">
      <c r="A291" s="3" t="inlineStr">
        <is>
          <t>unter der Leitung von</t>
        </is>
      </c>
      <c r="H291" s="17">
        <f>Teilnehmer!C4</f>
        <v/>
      </c>
      <c r="I291" s="8" t="n"/>
      <c r="J291" s="8" t="n"/>
      <c r="K291" s="8" t="n"/>
      <c r="L291" s="8" t="n"/>
      <c r="M291" s="8" t="n"/>
      <c r="N291" s="8" t="n"/>
      <c r="O291" s="8" t="n"/>
      <c r="Q291" s="3" t="inlineStr">
        <is>
          <t>erfolgreich teilgenommen.</t>
        </is>
      </c>
      <c r="AC291" s="3" t="inlineStr">
        <is>
          <t>unter der Leitung von</t>
        </is>
      </c>
      <c r="AJ291" s="17">
        <f>Teilnehmer!C4</f>
        <v/>
      </c>
      <c r="AK291" s="8" t="n"/>
      <c r="AL291" s="8" t="n"/>
      <c r="AM291" s="8" t="n"/>
      <c r="AN291" s="8" t="n"/>
      <c r="AO291" s="8" t="n"/>
      <c r="AP291" s="8" t="n"/>
      <c r="AQ291" s="8" t="n"/>
      <c r="AS291" s="3" t="inlineStr">
        <is>
          <t>erfolgreich teilgenommen.</t>
        </is>
      </c>
    </row>
    <row r="292"/>
    <row r="293" ht="14.25" customHeight="1">
      <c r="A293" s="3" t="inlineStr">
        <is>
          <t>Teilnehmerunterlagen ausgehändigt:</t>
        </is>
      </c>
      <c r="N293" s="12" t="inlineStr">
        <is>
          <t>X</t>
        </is>
      </c>
      <c r="O293" s="3" t="inlineStr">
        <is>
          <t>ja</t>
        </is>
      </c>
      <c r="R293" s="12" t="n"/>
      <c r="S293" s="3" t="inlineStr">
        <is>
          <t>nein</t>
        </is>
      </c>
      <c r="AC293" s="3" t="inlineStr">
        <is>
          <t>Teilnehmerunterlagen ausgehändigt:</t>
        </is>
      </c>
      <c r="AP293" s="12" t="inlineStr">
        <is>
          <t>X</t>
        </is>
      </c>
      <c r="AQ293" s="3" t="inlineStr">
        <is>
          <t>ja</t>
        </is>
      </c>
      <c r="AT293" s="12" t="n"/>
      <c r="AU293" s="3" t="inlineStr">
        <is>
          <t>nein</t>
        </is>
      </c>
    </row>
    <row r="294"/>
    <row r="295"/>
    <row r="296" ht="14.25" customHeight="1">
      <c r="A296" s="4" t="inlineStr">
        <is>
          <t>Rastatt</t>
        </is>
      </c>
      <c r="G296" s="3" t="inlineStr">
        <is>
          <t>,den</t>
        </is>
      </c>
      <c r="I296" s="20">
        <f>Teilnehmer!C3</f>
        <v/>
      </c>
      <c r="AC296" s="4" t="inlineStr">
        <is>
          <t>Rastatt</t>
        </is>
      </c>
      <c r="AI296" s="3" t="inlineStr">
        <is>
          <t>,den</t>
        </is>
      </c>
      <c r="AK296" s="20">
        <f>Teilnehmer!C3</f>
        <v/>
      </c>
    </row>
    <row r="297" ht="14.25" customHeight="1">
      <c r="A297" s="16" t="inlineStr">
        <is>
          <t>Ort</t>
        </is>
      </c>
      <c r="B297" s="38" t="n"/>
      <c r="C297" s="38" t="n"/>
      <c r="D297" s="38" t="n"/>
      <c r="E297" s="38" t="n"/>
      <c r="F297" s="10" t="n"/>
      <c r="I297" s="16" t="inlineStr">
        <is>
          <t>Datum</t>
        </is>
      </c>
      <c r="J297" s="38" t="n"/>
      <c r="K297" s="38" t="n"/>
      <c r="L297" s="38" t="n"/>
      <c r="M297" s="38" t="n"/>
      <c r="O297" s="16" t="inlineStr">
        <is>
          <t>Unterschrift der Lehrkraft</t>
        </is>
      </c>
      <c r="P297" s="38" t="n"/>
      <c r="Q297" s="38" t="n"/>
      <c r="R297" s="38" t="n"/>
      <c r="S297" s="38" t="n"/>
      <c r="T297" s="38" t="n"/>
      <c r="U297" s="38" t="n"/>
      <c r="V297" s="38" t="n"/>
      <c r="W297" s="38" t="n"/>
      <c r="X297" s="38" t="n"/>
      <c r="AC297" s="16" t="inlineStr">
        <is>
          <t>Ort</t>
        </is>
      </c>
      <c r="AD297" s="38" t="n"/>
      <c r="AE297" s="38" t="n"/>
      <c r="AF297" s="38" t="n"/>
      <c r="AG297" s="38" t="n"/>
      <c r="AH297" s="10" t="n"/>
      <c r="AK297" s="16" t="inlineStr">
        <is>
          <t>Datum</t>
        </is>
      </c>
      <c r="AL297" s="38" t="n"/>
      <c r="AM297" s="38" t="n"/>
      <c r="AN297" s="38" t="n"/>
      <c r="AO297" s="38" t="n"/>
      <c r="AQ297" s="16" t="inlineStr">
        <is>
          <t>Unterschrift der Lehrkraft</t>
        </is>
      </c>
      <c r="AR297" s="38" t="n"/>
      <c r="AS297" s="38" t="n"/>
      <c r="AT297" s="38" t="n"/>
      <c r="AU297" s="38" t="n"/>
      <c r="AV297" s="38" t="n"/>
      <c r="AW297" s="38" t="n"/>
      <c r="AX297" s="38" t="n"/>
      <c r="AY297" s="38" t="n"/>
      <c r="AZ297" s="38" t="n"/>
    </row>
    <row r="298" ht="14.25" customHeight="1">
      <c r="A298" s="11" t="n"/>
      <c r="B298" s="11" t="n"/>
      <c r="C298" s="11" t="n"/>
      <c r="D298" s="11" t="n"/>
      <c r="E298" s="11" t="n"/>
      <c r="F298" s="10" t="n"/>
      <c r="I298" s="11" t="n"/>
      <c r="J298" s="11" t="n"/>
      <c r="K298" s="11" t="n"/>
      <c r="L298" s="11" t="n"/>
      <c r="M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AC298" s="11" t="n"/>
      <c r="AD298" s="11" t="n"/>
      <c r="AE298" s="11" t="n"/>
      <c r="AF298" s="11" t="n"/>
      <c r="AG298" s="11" t="n"/>
      <c r="AH298" s="10" t="n"/>
      <c r="AK298" s="11" t="n"/>
      <c r="AL298" s="11" t="n"/>
      <c r="AM298" s="11" t="n"/>
      <c r="AN298" s="11" t="n"/>
      <c r="AO298" s="11" t="n"/>
      <c r="AQ298" s="11" t="n"/>
      <c r="AR298" s="11" t="n"/>
      <c r="AS298" s="11" t="n"/>
      <c r="AT298" s="11" t="n"/>
      <c r="AU298" s="11" t="n"/>
      <c r="AV298" s="11" t="n"/>
      <c r="AW298" s="11" t="n"/>
      <c r="AX298" s="11" t="n"/>
      <c r="AY298" s="11" t="n"/>
      <c r="AZ298" s="11" t="n"/>
    </row>
    <row r="299" ht="14.25" customHeight="1">
      <c r="A299" s="11" t="n"/>
      <c r="B299" s="11" t="n"/>
      <c r="C299" s="11" t="n"/>
      <c r="D299" s="11" t="n"/>
      <c r="E299" s="11" t="n"/>
      <c r="F299" s="10" t="n"/>
      <c r="I299" s="11" t="n"/>
      <c r="J299" s="11" t="n"/>
      <c r="K299" s="11" t="n"/>
      <c r="L299" s="11" t="n"/>
      <c r="M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AC299" s="11" t="n"/>
      <c r="AD299" s="11" t="n"/>
      <c r="AE299" s="11" t="n"/>
      <c r="AF299" s="11" t="n"/>
      <c r="AG299" s="11" t="n"/>
      <c r="AH299" s="10" t="n"/>
      <c r="AK299" s="11" t="n"/>
      <c r="AL299" s="11" t="n"/>
      <c r="AM299" s="11" t="n"/>
      <c r="AN299" s="11" t="n"/>
      <c r="AO299" s="11" t="n"/>
      <c r="AQ299" s="11" t="n"/>
      <c r="AR299" s="11" t="n"/>
      <c r="AS299" s="11" t="n"/>
      <c r="AT299" s="11" t="n"/>
      <c r="AU299" s="11" t="n"/>
      <c r="AV299" s="11" t="n"/>
      <c r="AW299" s="11" t="n"/>
      <c r="AX299" s="11" t="n"/>
      <c r="AY299" s="11" t="n"/>
      <c r="AZ299" s="11" t="n"/>
    </row>
    <row r="300" ht="14.25" customHeight="1">
      <c r="A300" s="11" t="n"/>
      <c r="B300" s="11" t="n"/>
      <c r="C300" s="11" t="n"/>
      <c r="D300" s="11" t="n"/>
      <c r="E300" s="11" t="n"/>
      <c r="F300" s="10" t="n"/>
      <c r="I300" s="11" t="n"/>
      <c r="J300" s="11" t="n"/>
      <c r="K300" s="11" t="n"/>
      <c r="L300" s="11" t="n"/>
      <c r="M300" s="11" t="n"/>
      <c r="O300" s="16" t="inlineStr">
        <is>
          <t>Ausbildungsverantwortlicher</t>
        </is>
      </c>
      <c r="P300" s="38" t="n"/>
      <c r="Q300" s="38" t="n"/>
      <c r="R300" s="38" t="n"/>
      <c r="S300" s="38" t="n"/>
      <c r="T300" s="38" t="n"/>
      <c r="U300" s="38" t="n"/>
      <c r="V300" s="38" t="n"/>
      <c r="W300" s="38" t="n"/>
      <c r="X300" s="38" t="n"/>
      <c r="AC300" s="11" t="n"/>
      <c r="AD300" s="11" t="n"/>
      <c r="AE300" s="11" t="n"/>
      <c r="AF300" s="11" t="n"/>
      <c r="AG300" s="11" t="n"/>
      <c r="AH300" s="10" t="n"/>
      <c r="AK300" s="11" t="n"/>
      <c r="AL300" s="11" t="n"/>
      <c r="AM300" s="11" t="n"/>
      <c r="AN300" s="11" t="n"/>
      <c r="AO300" s="11" t="n"/>
      <c r="AQ300" s="16" t="inlineStr">
        <is>
          <t>Ausbildungsverantwortlicher</t>
        </is>
      </c>
      <c r="AR300" s="38" t="n"/>
      <c r="AS300" s="38" t="n"/>
      <c r="AT300" s="38" t="n"/>
      <c r="AU300" s="38" t="n"/>
      <c r="AV300" s="38" t="n"/>
      <c r="AW300" s="38" t="n"/>
      <c r="AX300" s="38" t="n"/>
      <c r="AY300" s="38" t="n"/>
      <c r="AZ300" s="38" t="n"/>
    </row>
    <row r="301"/>
    <row r="302" ht="14.25" customHeight="1">
      <c r="A302" s="3" t="inlineStr">
        <is>
          <t>Name der ermächtigten Stelle:</t>
        </is>
      </c>
      <c r="K302" s="4" t="inlineStr">
        <is>
          <t>Mercedes-Benz AG, Werk Rastatt</t>
        </is>
      </c>
      <c r="AC302" s="3" t="inlineStr">
        <is>
          <t>Name der ermächtigten Stelle:</t>
        </is>
      </c>
      <c r="AM302" s="4" t="inlineStr">
        <is>
          <t>Mercedes-Benz AG, Werk Rastatt</t>
        </is>
      </c>
    </row>
    <row r="303"/>
    <row r="304" ht="14.25" customHeight="1">
      <c r="A304" s="3" t="inlineStr">
        <is>
          <t>Kennziffer der ermächtigten Stelle</t>
        </is>
      </c>
      <c r="AC304" s="3" t="inlineStr">
        <is>
          <t>Kennziffer der ermächtigten Stelle</t>
        </is>
      </c>
    </row>
    <row r="305" ht="14.25" customHeight="1">
      <c r="A305" s="3" t="inlineStr">
        <is>
          <t>gemäß § 26 DGUV Vorschri_x001F_ft:</t>
        </is>
      </c>
      <c r="K305" s="15" t="inlineStr">
        <is>
          <t>7.0103</t>
        </is>
      </c>
      <c r="AC305" s="3" t="inlineStr">
        <is>
          <t>gemäß § 26 DGUV Vorschri_x001F_ft:</t>
        </is>
      </c>
      <c r="AM305" s="15" t="inlineStr">
        <is>
          <t>7.0103</t>
        </is>
      </c>
    </row>
    <row r="306"/>
    <row r="307" ht="14.25" customHeight="1">
      <c r="A307" s="3" t="inlineStr">
        <is>
          <t>Registriernummer der Schulung:</t>
        </is>
      </c>
      <c r="K307" s="4">
        <f>Teilnehmer!C5</f>
        <v/>
      </c>
      <c r="AC307" s="3" t="inlineStr">
        <is>
          <t>Registriernummer der Schulung:</t>
        </is>
      </c>
      <c r="AM307" s="4">
        <f>Teilnehmer!C5</f>
        <v/>
      </c>
    </row>
    <row r="308"/>
    <row r="309" ht="14.25" customHeight="1">
      <c r="A309" s="9" t="inlineStr">
        <is>
          <t>* Die Teilnahme an der Ausbildung in betrieblicher Erster Hilfe gilt als Schulung in Erster Hilfe gem. § 19 Fahrerlaubnis- Verordnung</t>
        </is>
      </c>
      <c r="AC309" s="9" t="inlineStr">
        <is>
          <t>* Die Teilnahme an der Ausbildung in betrieblicher Erster Hilfe gilt als Schulung in Erster Hilfe gem. § 19 Fahrerlaubnis- Verordnung</t>
        </is>
      </c>
    </row>
    <row r="310" ht="14.25" customHeight="1">
      <c r="A310" s="9" t="inlineStr">
        <is>
          <t xml:space="preserve">   (FeV).</t>
        </is>
      </c>
      <c r="AC310" s="9" t="inlineStr">
        <is>
          <t xml:space="preserve">   (FeV).</t>
        </is>
      </c>
    </row>
    <row r="311"/>
    <row r="312"/>
    <row r="313"/>
    <row r="314"/>
    <row r="315"/>
    <row r="316"/>
    <row r="317"/>
    <row r="318"/>
    <row r="319"/>
    <row r="320"/>
    <row r="321"/>
    <row r="322"/>
    <row r="323" ht="14.25" customHeight="1">
      <c r="A323" s="17">
        <f>Teilnehmer!B27</f>
        <v/>
      </c>
      <c r="B323" s="37" t="n"/>
      <c r="C323" s="37" t="n"/>
      <c r="D323" s="37" t="n"/>
      <c r="E323" s="37" t="n"/>
      <c r="F323" s="37" t="n"/>
      <c r="G323" s="37" t="n"/>
      <c r="H323" s="37" t="n"/>
      <c r="I323" s="17">
        <f>Teilnehmer!C27</f>
        <v/>
      </c>
      <c r="J323" s="37" t="n"/>
      <c r="K323" s="37" t="n"/>
      <c r="L323" s="37" t="n"/>
      <c r="M323" s="37" t="n"/>
      <c r="N323" s="37" t="n"/>
      <c r="O323" s="37" t="n"/>
      <c r="P323" s="37" t="n"/>
      <c r="S323" s="2" t="inlineStr">
        <is>
          <t>geb. am:</t>
        </is>
      </c>
      <c r="T323" s="18">
        <f>Teilnehmer!D27</f>
        <v/>
      </c>
      <c r="U323" s="37" t="n"/>
      <c r="V323" s="37" t="n"/>
      <c r="W323" s="37" t="n"/>
      <c r="X323" s="37" t="n"/>
      <c r="AC323" s="17">
        <f>Teilnehmer!B28</f>
        <v/>
      </c>
      <c r="AD323" s="37" t="n"/>
      <c r="AE323" s="37" t="n"/>
      <c r="AF323" s="37" t="n"/>
      <c r="AG323" s="37" t="n"/>
      <c r="AH323" s="37" t="n"/>
      <c r="AI323" s="37" t="n"/>
      <c r="AJ323" s="37" t="n"/>
      <c r="AK323" s="17">
        <f>Teilnehmer!C28</f>
        <v/>
      </c>
      <c r="AL323" s="37" t="n"/>
      <c r="AM323" s="37" t="n"/>
      <c r="AN323" s="37" t="n"/>
      <c r="AO323" s="37" t="n"/>
      <c r="AP323" s="37" t="n"/>
      <c r="AQ323" s="37" t="n"/>
      <c r="AR323" s="37" t="n"/>
      <c r="AU323" s="2" t="inlineStr">
        <is>
          <t>geb. am:</t>
        </is>
      </c>
      <c r="AV323" s="18">
        <f>Teilnehmer!D28</f>
        <v/>
      </c>
      <c r="AW323" s="37" t="n"/>
      <c r="AX323" s="37" t="n"/>
      <c r="AY323" s="37" t="n"/>
      <c r="AZ323" s="37" t="n"/>
    </row>
    <row r="324" ht="14.25" customHeight="1">
      <c r="A324" s="6" t="n"/>
      <c r="B324" s="16" t="inlineStr">
        <is>
          <t>Name</t>
        </is>
      </c>
      <c r="C324" s="38" t="n"/>
      <c r="D324" s="38" t="n"/>
      <c r="E324" s="38" t="n"/>
      <c r="F324" s="38" t="n"/>
      <c r="G324" s="38" t="n"/>
      <c r="H324" s="6" t="n"/>
      <c r="I324" s="6" t="n"/>
      <c r="J324" s="16" t="inlineStr">
        <is>
          <t>Vorname</t>
        </is>
      </c>
      <c r="K324" s="38" t="n"/>
      <c r="L324" s="38" t="n"/>
      <c r="M324" s="38" t="n"/>
      <c r="N324" s="38" t="n"/>
      <c r="O324" s="38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AC324" s="6" t="n"/>
      <c r="AD324" s="16" t="inlineStr">
        <is>
          <t>Name</t>
        </is>
      </c>
      <c r="AE324" s="38" t="n"/>
      <c r="AF324" s="38" t="n"/>
      <c r="AG324" s="38" t="n"/>
      <c r="AH324" s="38" t="n"/>
      <c r="AI324" s="38" t="n"/>
      <c r="AJ324" s="6" t="n"/>
      <c r="AK324" s="6" t="n"/>
      <c r="AL324" s="16" t="inlineStr">
        <is>
          <t>Vorname</t>
        </is>
      </c>
      <c r="AM324" s="38" t="n"/>
      <c r="AN324" s="38" t="n"/>
      <c r="AO324" s="38" t="n"/>
      <c r="AP324" s="38" t="n"/>
      <c r="AQ324" s="38" t="n"/>
      <c r="AR324" s="6" t="n"/>
      <c r="AS324" s="6" t="n"/>
      <c r="AT324" s="6" t="n"/>
      <c r="AU324" s="6" t="n"/>
      <c r="AV324" s="6" t="n"/>
      <c r="AW324" s="6" t="n"/>
      <c r="AX324" s="6" t="n"/>
      <c r="AY324" s="6" t="n"/>
      <c r="AZ324" s="6" t="n"/>
    </row>
    <row r="325"/>
    <row r="326" ht="14.25" customHeight="1">
      <c r="A326" s="3" t="inlineStr">
        <is>
          <t>hat an dem 9 Unterrichtseinheiten (Nettounterrichtszeit 9 x 45 Minuten) umfassenden Lehrgang</t>
        </is>
      </c>
      <c r="AC326" s="3" t="inlineStr">
        <is>
          <t>hat an dem 9 Unterrichtseinheiten (Nettounterrichtszeit 9 x 45 Minuten) umfassenden Lehrgang</t>
        </is>
      </c>
    </row>
    <row r="327"/>
    <row r="328" ht="14.25" customHeight="1">
      <c r="A328" s="3" t="inlineStr">
        <is>
          <t>am</t>
        </is>
      </c>
      <c r="C328" s="18">
        <f>Teilnehmer!C3</f>
        <v/>
      </c>
      <c r="D328" s="37" t="n"/>
      <c r="E328" s="37" t="n"/>
      <c r="F328" s="37" t="n"/>
      <c r="G328" s="37" t="n"/>
      <c r="H328" s="3" t="inlineStr">
        <is>
          <t>in der Zeit von</t>
        </is>
      </c>
      <c r="M328" s="19">
        <f>Teilnehmer!F3</f>
        <v/>
      </c>
      <c r="N328" s="37" t="n"/>
      <c r="O328" s="37" t="n"/>
      <c r="P328" s="3" t="inlineStr">
        <is>
          <t>Uhr bis</t>
        </is>
      </c>
      <c r="S328" s="19">
        <f>Teilnehmer!H3</f>
        <v/>
      </c>
      <c r="T328" s="37" t="n"/>
      <c r="U328" s="37" t="n"/>
      <c r="V328" s="3" t="inlineStr">
        <is>
          <t>Uhr</t>
        </is>
      </c>
      <c r="AC328" s="3" t="inlineStr">
        <is>
          <t>am</t>
        </is>
      </c>
      <c r="AE328" s="18">
        <f>Teilnehmer!C3</f>
        <v/>
      </c>
      <c r="AF328" s="37" t="n"/>
      <c r="AG328" s="37" t="n"/>
      <c r="AH328" s="37" t="n"/>
      <c r="AI328" s="37" t="n"/>
      <c r="AJ328" s="3" t="inlineStr">
        <is>
          <t>in der Zeit von</t>
        </is>
      </c>
      <c r="AO328" s="19">
        <f>Teilnehmer!F3</f>
        <v/>
      </c>
      <c r="AP328" s="37" t="n"/>
      <c r="AQ328" s="37" t="n"/>
      <c r="AR328" s="3" t="inlineStr">
        <is>
          <t>Uhr bis</t>
        </is>
      </c>
      <c r="AU328" s="19">
        <f>Teilnehmer!H3</f>
        <v/>
      </c>
      <c r="AV328" s="37" t="n"/>
      <c r="AW328" s="37" t="n"/>
      <c r="AX328" s="3" t="inlineStr">
        <is>
          <t>Uhr</t>
        </is>
      </c>
    </row>
    <row r="329"/>
    <row r="330" ht="14.25" customHeight="1">
      <c r="A330" s="3" t="inlineStr">
        <is>
          <t>unter der Leitung von</t>
        </is>
      </c>
      <c r="H330" s="17">
        <f>Teilnehmer!C4</f>
        <v/>
      </c>
      <c r="I330" s="8" t="n"/>
      <c r="J330" s="8" t="n"/>
      <c r="K330" s="8" t="n"/>
      <c r="L330" s="8" t="n"/>
      <c r="M330" s="8" t="n"/>
      <c r="N330" s="8" t="n"/>
      <c r="O330" s="8" t="n"/>
      <c r="Q330" s="3" t="inlineStr">
        <is>
          <t>erfolgreich teilgenommen.</t>
        </is>
      </c>
      <c r="AC330" s="3" t="inlineStr">
        <is>
          <t>unter der Leitung von</t>
        </is>
      </c>
      <c r="AJ330" s="17">
        <f>Teilnehmer!C4</f>
        <v/>
      </c>
      <c r="AK330" s="8" t="n"/>
      <c r="AL330" s="8" t="n"/>
      <c r="AM330" s="8" t="n"/>
      <c r="AN330" s="8" t="n"/>
      <c r="AO330" s="8" t="n"/>
      <c r="AP330" s="8" t="n"/>
      <c r="AQ330" s="8" t="n"/>
      <c r="AS330" s="3" t="inlineStr">
        <is>
          <t>erfolgreich teilgenommen.</t>
        </is>
      </c>
    </row>
    <row r="331"/>
    <row r="332" ht="14.25" customHeight="1">
      <c r="A332" s="3" t="inlineStr">
        <is>
          <t>Teilnehmerunterlagen ausgehändigt:</t>
        </is>
      </c>
      <c r="N332" s="12" t="inlineStr">
        <is>
          <t>X</t>
        </is>
      </c>
      <c r="O332" s="3" t="inlineStr">
        <is>
          <t>ja</t>
        </is>
      </c>
      <c r="R332" s="12" t="n"/>
      <c r="S332" s="3" t="inlineStr">
        <is>
          <t>nein</t>
        </is>
      </c>
      <c r="AC332" s="3" t="inlineStr">
        <is>
          <t>Teilnehmerunterlagen ausgehändigt:</t>
        </is>
      </c>
      <c r="AP332" s="12" t="inlineStr">
        <is>
          <t>X</t>
        </is>
      </c>
      <c r="AQ332" s="3" t="inlineStr">
        <is>
          <t>ja</t>
        </is>
      </c>
      <c r="AT332" s="12" t="n"/>
      <c r="AU332" s="3" t="inlineStr">
        <is>
          <t>nein</t>
        </is>
      </c>
    </row>
    <row r="333"/>
    <row r="334"/>
    <row r="335" ht="14.25" customHeight="1">
      <c r="A335" s="4" t="inlineStr">
        <is>
          <t>Rastatt</t>
        </is>
      </c>
      <c r="G335" s="3" t="inlineStr">
        <is>
          <t>,den</t>
        </is>
      </c>
      <c r="I335" s="20">
        <f>Teilnehmer!C3</f>
        <v/>
      </c>
      <c r="AC335" s="4" t="inlineStr">
        <is>
          <t>Rastatt</t>
        </is>
      </c>
      <c r="AI335" s="3" t="inlineStr">
        <is>
          <t>,den</t>
        </is>
      </c>
      <c r="AK335" s="20">
        <f>Teilnehmer!C3</f>
        <v/>
      </c>
    </row>
    <row r="336" ht="14.25" customHeight="1">
      <c r="A336" s="16" t="inlineStr">
        <is>
          <t>Ort</t>
        </is>
      </c>
      <c r="B336" s="38" t="n"/>
      <c r="C336" s="38" t="n"/>
      <c r="D336" s="38" t="n"/>
      <c r="E336" s="38" t="n"/>
      <c r="F336" s="10" t="n"/>
      <c r="I336" s="16" t="inlineStr">
        <is>
          <t>Datum</t>
        </is>
      </c>
      <c r="J336" s="38" t="n"/>
      <c r="K336" s="38" t="n"/>
      <c r="L336" s="38" t="n"/>
      <c r="M336" s="38" t="n"/>
      <c r="O336" s="16" t="inlineStr">
        <is>
          <t>Unterschrift der Lehrkraft</t>
        </is>
      </c>
      <c r="P336" s="38" t="n"/>
      <c r="Q336" s="38" t="n"/>
      <c r="R336" s="38" t="n"/>
      <c r="S336" s="38" t="n"/>
      <c r="T336" s="38" t="n"/>
      <c r="U336" s="38" t="n"/>
      <c r="V336" s="38" t="n"/>
      <c r="W336" s="38" t="n"/>
      <c r="X336" s="38" t="n"/>
      <c r="AC336" s="16" t="inlineStr">
        <is>
          <t>Ort</t>
        </is>
      </c>
      <c r="AD336" s="38" t="n"/>
      <c r="AE336" s="38" t="n"/>
      <c r="AF336" s="38" t="n"/>
      <c r="AG336" s="38" t="n"/>
      <c r="AH336" s="10" t="n"/>
      <c r="AK336" s="16" t="inlineStr">
        <is>
          <t>Datum</t>
        </is>
      </c>
      <c r="AL336" s="38" t="n"/>
      <c r="AM336" s="38" t="n"/>
      <c r="AN336" s="38" t="n"/>
      <c r="AO336" s="38" t="n"/>
      <c r="AQ336" s="16" t="inlineStr">
        <is>
          <t>Unterschrift der Lehrkraft</t>
        </is>
      </c>
      <c r="AR336" s="38" t="n"/>
      <c r="AS336" s="38" t="n"/>
      <c r="AT336" s="38" t="n"/>
      <c r="AU336" s="38" t="n"/>
      <c r="AV336" s="38" t="n"/>
      <c r="AW336" s="38" t="n"/>
      <c r="AX336" s="38" t="n"/>
      <c r="AY336" s="38" t="n"/>
      <c r="AZ336" s="38" t="n"/>
    </row>
    <row r="337" ht="14.25" customHeight="1">
      <c r="A337" s="11" t="n"/>
      <c r="B337" s="11" t="n"/>
      <c r="C337" s="11" t="n"/>
      <c r="D337" s="11" t="n"/>
      <c r="E337" s="11" t="n"/>
      <c r="F337" s="10" t="n"/>
      <c r="I337" s="11" t="n"/>
      <c r="J337" s="11" t="n"/>
      <c r="K337" s="11" t="n"/>
      <c r="L337" s="11" t="n"/>
      <c r="M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AC337" s="11" t="n"/>
      <c r="AD337" s="11" t="n"/>
      <c r="AE337" s="11" t="n"/>
      <c r="AF337" s="11" t="n"/>
      <c r="AG337" s="11" t="n"/>
      <c r="AH337" s="10" t="n"/>
      <c r="AK337" s="11" t="n"/>
      <c r="AL337" s="11" t="n"/>
      <c r="AM337" s="11" t="n"/>
      <c r="AN337" s="11" t="n"/>
      <c r="AO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</row>
    <row r="338" ht="14.25" customHeight="1">
      <c r="A338" s="11" t="n"/>
      <c r="B338" s="11" t="n"/>
      <c r="C338" s="11" t="n"/>
      <c r="D338" s="11" t="n"/>
      <c r="E338" s="11" t="n"/>
      <c r="F338" s="10" t="n"/>
      <c r="I338" s="11" t="n"/>
      <c r="J338" s="11" t="n"/>
      <c r="K338" s="11" t="n"/>
      <c r="L338" s="11" t="n"/>
      <c r="M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AC338" s="11" t="n"/>
      <c r="AD338" s="11" t="n"/>
      <c r="AE338" s="11" t="n"/>
      <c r="AF338" s="11" t="n"/>
      <c r="AG338" s="11" t="n"/>
      <c r="AH338" s="10" t="n"/>
      <c r="AK338" s="11" t="n"/>
      <c r="AL338" s="11" t="n"/>
      <c r="AM338" s="11" t="n"/>
      <c r="AN338" s="11" t="n"/>
      <c r="AO338" s="11" t="n"/>
      <c r="AQ338" s="11" t="n"/>
      <c r="AR338" s="11" t="n"/>
      <c r="AS338" s="11" t="n"/>
      <c r="AT338" s="11" t="n"/>
      <c r="AU338" s="11" t="n"/>
      <c r="AV338" s="11" t="n"/>
      <c r="AW338" s="11" t="n"/>
      <c r="AX338" s="11" t="n"/>
      <c r="AY338" s="11" t="n"/>
      <c r="AZ338" s="11" t="n"/>
    </row>
    <row r="339" ht="14.25" customHeight="1">
      <c r="A339" s="11" t="n"/>
      <c r="B339" s="11" t="n"/>
      <c r="C339" s="11" t="n"/>
      <c r="D339" s="11" t="n"/>
      <c r="E339" s="11" t="n"/>
      <c r="F339" s="10" t="n"/>
      <c r="I339" s="11" t="n"/>
      <c r="J339" s="11" t="n"/>
      <c r="K339" s="11" t="n"/>
      <c r="L339" s="11" t="n"/>
      <c r="M339" s="11" t="n"/>
      <c r="O339" s="16" t="inlineStr">
        <is>
          <t>Ausbildungsverantwortlicher</t>
        </is>
      </c>
      <c r="P339" s="38" t="n"/>
      <c r="Q339" s="38" t="n"/>
      <c r="R339" s="38" t="n"/>
      <c r="S339" s="38" t="n"/>
      <c r="T339" s="38" t="n"/>
      <c r="U339" s="38" t="n"/>
      <c r="V339" s="38" t="n"/>
      <c r="W339" s="38" t="n"/>
      <c r="X339" s="38" t="n"/>
      <c r="AC339" s="11" t="n"/>
      <c r="AD339" s="11" t="n"/>
      <c r="AE339" s="11" t="n"/>
      <c r="AF339" s="11" t="n"/>
      <c r="AG339" s="11" t="n"/>
      <c r="AH339" s="10" t="n"/>
      <c r="AK339" s="11" t="n"/>
      <c r="AL339" s="11" t="n"/>
      <c r="AM339" s="11" t="n"/>
      <c r="AN339" s="11" t="n"/>
      <c r="AO339" s="11" t="n"/>
      <c r="AQ339" s="16" t="inlineStr">
        <is>
          <t>Ausbildungsverantwortlicher</t>
        </is>
      </c>
      <c r="AR339" s="38" t="n"/>
      <c r="AS339" s="38" t="n"/>
      <c r="AT339" s="38" t="n"/>
      <c r="AU339" s="38" t="n"/>
      <c r="AV339" s="38" t="n"/>
      <c r="AW339" s="38" t="n"/>
      <c r="AX339" s="38" t="n"/>
      <c r="AY339" s="38" t="n"/>
      <c r="AZ339" s="38" t="n"/>
    </row>
    <row r="340"/>
    <row r="341" ht="14.25" customHeight="1">
      <c r="A341" s="3" t="inlineStr">
        <is>
          <t>Name der ermächtigten Stelle:</t>
        </is>
      </c>
      <c r="K341" s="4" t="inlineStr">
        <is>
          <t>Mercedes-Benz AG, Werk Rastatt</t>
        </is>
      </c>
      <c r="AC341" s="3" t="inlineStr">
        <is>
          <t>Name der ermächtigten Stelle:</t>
        </is>
      </c>
      <c r="AM341" s="4" t="inlineStr">
        <is>
          <t>Mercedes-Benz AG, Werk Rastatt</t>
        </is>
      </c>
    </row>
    <row r="342"/>
    <row r="343" ht="14.25" customHeight="1">
      <c r="A343" s="3" t="inlineStr">
        <is>
          <t>Kennziffer der ermächtigten Stelle</t>
        </is>
      </c>
      <c r="AC343" s="3" t="inlineStr">
        <is>
          <t>Kennziffer der ermächtigten Stelle</t>
        </is>
      </c>
    </row>
    <row r="344" ht="14.25" customHeight="1">
      <c r="A344" s="3" t="inlineStr">
        <is>
          <t>gemäß § 26 DGUV Vorschri_x001F_ft:</t>
        </is>
      </c>
      <c r="K344" s="15" t="inlineStr">
        <is>
          <t>7.0103</t>
        </is>
      </c>
      <c r="AC344" s="3" t="inlineStr">
        <is>
          <t>gemäß § 26 DGUV Vorschri_x001F_ft:</t>
        </is>
      </c>
      <c r="AM344" s="15" t="inlineStr">
        <is>
          <t>7.0103</t>
        </is>
      </c>
    </row>
    <row r="345"/>
    <row r="346" ht="14.25" customHeight="1">
      <c r="A346" s="3" t="inlineStr">
        <is>
          <t>Registriernummer der Schulung:</t>
        </is>
      </c>
      <c r="K346" s="4">
        <f>Teilnehmer!C5</f>
        <v/>
      </c>
      <c r="AC346" s="3" t="inlineStr">
        <is>
          <t>Registriernummer der Schulung:</t>
        </is>
      </c>
      <c r="AM346" s="4">
        <f>Teilnehmer!C5</f>
        <v/>
      </c>
    </row>
    <row r="347"/>
    <row r="348" ht="14.25" customHeight="1">
      <c r="A348" s="9" t="inlineStr">
        <is>
          <t>* Die Teilnahme an der Ausbildung in betrieblicher Erster Hilfe gilt als Schulung in Erster Hilfe gem. § 19 Fahrerlaubnis- Verordnung</t>
        </is>
      </c>
      <c r="AC348" s="9" t="inlineStr">
        <is>
          <t>* Die Teilnahme an der Ausbildung in betrieblicher Erster Hilfe gilt als Schulung in Erster Hilfe gem. § 19 Fahrerlaubnis- Verordnung</t>
        </is>
      </c>
    </row>
    <row r="349" ht="14.25" customHeight="1">
      <c r="A349" s="9" t="inlineStr">
        <is>
          <t xml:space="preserve">   (FeV).</t>
        </is>
      </c>
      <c r="AC349" s="9" t="inlineStr">
        <is>
          <t xml:space="preserve">   (FeV).</t>
        </is>
      </c>
    </row>
    <row r="350"/>
    <row r="351"/>
    <row r="352"/>
    <row r="353"/>
    <row r="354"/>
    <row r="355"/>
    <row r="356"/>
    <row r="357"/>
    <row r="358"/>
    <row r="359"/>
    <row r="360"/>
    <row r="361"/>
    <row r="362" ht="14.25" customHeight="1">
      <c r="A362" s="17">
        <f>Teilnehmer!B29</f>
        <v/>
      </c>
      <c r="B362" s="37" t="n"/>
      <c r="C362" s="37" t="n"/>
      <c r="D362" s="37" t="n"/>
      <c r="E362" s="37" t="n"/>
      <c r="F362" s="37" t="n"/>
      <c r="G362" s="37" t="n"/>
      <c r="H362" s="37" t="n"/>
      <c r="I362" s="17">
        <f>Teilnehmer!C29</f>
        <v/>
      </c>
      <c r="J362" s="37" t="n"/>
      <c r="K362" s="37" t="n"/>
      <c r="L362" s="37" t="n"/>
      <c r="M362" s="37" t="n"/>
      <c r="N362" s="37" t="n"/>
      <c r="O362" s="37" t="n"/>
      <c r="P362" s="37" t="n"/>
      <c r="S362" s="2" t="inlineStr">
        <is>
          <t>geb. am:</t>
        </is>
      </c>
      <c r="T362" s="18">
        <f>Teilnehmer!D29</f>
        <v/>
      </c>
      <c r="U362" s="37" t="n"/>
      <c r="V362" s="37" t="n"/>
      <c r="W362" s="37" t="n"/>
      <c r="X362" s="37" t="n"/>
      <c r="AC362" s="17">
        <f>Teilnehmer!B30</f>
        <v/>
      </c>
      <c r="AD362" s="37" t="n"/>
      <c r="AE362" s="37" t="n"/>
      <c r="AF362" s="37" t="n"/>
      <c r="AG362" s="37" t="n"/>
      <c r="AH362" s="37" t="n"/>
      <c r="AI362" s="37" t="n"/>
      <c r="AJ362" s="37" t="n"/>
      <c r="AK362" s="17">
        <f>Teilnehmer!C30</f>
        <v/>
      </c>
      <c r="AL362" s="37" t="n"/>
      <c r="AM362" s="37" t="n"/>
      <c r="AN362" s="37" t="n"/>
      <c r="AO362" s="37" t="n"/>
      <c r="AP362" s="37" t="n"/>
      <c r="AQ362" s="37" t="n"/>
      <c r="AR362" s="37" t="n"/>
      <c r="AU362" s="2" t="inlineStr">
        <is>
          <t>geb. am:</t>
        </is>
      </c>
      <c r="AV362" s="18">
        <f>Teilnehmer!D30</f>
        <v/>
      </c>
      <c r="AW362" s="37" t="n"/>
      <c r="AX362" s="37" t="n"/>
      <c r="AY362" s="37" t="n"/>
      <c r="AZ362" s="37" t="n"/>
    </row>
    <row r="363" ht="14.25" customHeight="1">
      <c r="A363" s="6" t="n"/>
      <c r="B363" s="16" t="inlineStr">
        <is>
          <t>Name</t>
        </is>
      </c>
      <c r="C363" s="38" t="n"/>
      <c r="D363" s="38" t="n"/>
      <c r="E363" s="38" t="n"/>
      <c r="F363" s="38" t="n"/>
      <c r="G363" s="38" t="n"/>
      <c r="H363" s="6" t="n"/>
      <c r="I363" s="6" t="n"/>
      <c r="J363" s="16" t="inlineStr">
        <is>
          <t>Vorname</t>
        </is>
      </c>
      <c r="K363" s="38" t="n"/>
      <c r="L363" s="38" t="n"/>
      <c r="M363" s="38" t="n"/>
      <c r="N363" s="38" t="n"/>
      <c r="O363" s="38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AC363" s="6" t="n"/>
      <c r="AD363" s="16" t="inlineStr">
        <is>
          <t>Name</t>
        </is>
      </c>
      <c r="AE363" s="38" t="n"/>
      <c r="AF363" s="38" t="n"/>
      <c r="AG363" s="38" t="n"/>
      <c r="AH363" s="38" t="n"/>
      <c r="AI363" s="38" t="n"/>
      <c r="AJ363" s="6" t="n"/>
      <c r="AK363" s="6" t="n"/>
      <c r="AL363" s="16" t="inlineStr">
        <is>
          <t>Vorname</t>
        </is>
      </c>
      <c r="AM363" s="38" t="n"/>
      <c r="AN363" s="38" t="n"/>
      <c r="AO363" s="38" t="n"/>
      <c r="AP363" s="38" t="n"/>
      <c r="AQ363" s="38" t="n"/>
      <c r="AR363" s="6" t="n"/>
      <c r="AS363" s="6" t="n"/>
      <c r="AT363" s="6" t="n"/>
      <c r="AU363" s="6" t="n"/>
      <c r="AV363" s="6" t="n"/>
      <c r="AW363" s="6" t="n"/>
      <c r="AX363" s="6" t="n"/>
      <c r="AY363" s="6" t="n"/>
      <c r="AZ363" s="6" t="n"/>
    </row>
    <row r="364"/>
    <row r="365" ht="14.25" customHeight="1">
      <c r="A365" s="3" t="inlineStr">
        <is>
          <t>hat an dem 9 Unterrichtseinheiten (Nettounterrichtszeit 9 x 45 Minuten) umfassenden Lehrgang</t>
        </is>
      </c>
      <c r="AC365" s="3" t="inlineStr">
        <is>
          <t>hat an dem 9 Unterrichtseinheiten (Nettounterrichtszeit 9 x 45 Minuten) umfassenden Lehrgang</t>
        </is>
      </c>
    </row>
    <row r="366"/>
    <row r="367" ht="14.25" customHeight="1">
      <c r="A367" s="3" t="inlineStr">
        <is>
          <t>am</t>
        </is>
      </c>
      <c r="C367" s="18">
        <f>Teilnehmer!C3</f>
        <v/>
      </c>
      <c r="D367" s="37" t="n"/>
      <c r="E367" s="37" t="n"/>
      <c r="F367" s="37" t="n"/>
      <c r="G367" s="37" t="n"/>
      <c r="H367" s="3" t="inlineStr">
        <is>
          <t>in der Zeit von</t>
        </is>
      </c>
      <c r="M367" s="19">
        <f>Teilnehmer!F3</f>
        <v/>
      </c>
      <c r="N367" s="37" t="n"/>
      <c r="O367" s="37" t="n"/>
      <c r="P367" s="3" t="inlineStr">
        <is>
          <t>Uhr bis</t>
        </is>
      </c>
      <c r="S367" s="19">
        <f>Teilnehmer!H3</f>
        <v/>
      </c>
      <c r="T367" s="37" t="n"/>
      <c r="U367" s="37" t="n"/>
      <c r="V367" s="3" t="inlineStr">
        <is>
          <t>Uhr</t>
        </is>
      </c>
      <c r="AC367" s="3" t="inlineStr">
        <is>
          <t>am</t>
        </is>
      </c>
      <c r="AE367" s="18">
        <f>Teilnehmer!C3</f>
        <v/>
      </c>
      <c r="AF367" s="37" t="n"/>
      <c r="AG367" s="37" t="n"/>
      <c r="AH367" s="37" t="n"/>
      <c r="AI367" s="37" t="n"/>
      <c r="AJ367" s="3" t="inlineStr">
        <is>
          <t>in der Zeit von</t>
        </is>
      </c>
      <c r="AO367" s="19">
        <f>Teilnehmer!F3</f>
        <v/>
      </c>
      <c r="AP367" s="37" t="n"/>
      <c r="AQ367" s="37" t="n"/>
      <c r="AR367" s="3" t="inlineStr">
        <is>
          <t>Uhr bis</t>
        </is>
      </c>
      <c r="AU367" s="19">
        <f>Teilnehmer!H3</f>
        <v/>
      </c>
      <c r="AV367" s="37" t="n"/>
      <c r="AW367" s="37" t="n"/>
      <c r="AX367" s="3" t="inlineStr">
        <is>
          <t>Uhr</t>
        </is>
      </c>
    </row>
    <row r="368"/>
    <row r="369" ht="14.25" customHeight="1">
      <c r="A369" s="3" t="inlineStr">
        <is>
          <t>unter der Leitung von</t>
        </is>
      </c>
      <c r="H369" s="17">
        <f>Teilnehmer!C4</f>
        <v/>
      </c>
      <c r="I369" s="8" t="n"/>
      <c r="J369" s="8" t="n"/>
      <c r="K369" s="8" t="n"/>
      <c r="L369" s="8" t="n"/>
      <c r="M369" s="8" t="n"/>
      <c r="N369" s="8" t="n"/>
      <c r="O369" s="8" t="n"/>
      <c r="Q369" s="3" t="inlineStr">
        <is>
          <t>erfolgreich teilgenommen.</t>
        </is>
      </c>
      <c r="AC369" s="3" t="inlineStr">
        <is>
          <t>unter der Leitung von</t>
        </is>
      </c>
      <c r="AJ369" s="17">
        <f>Teilnehmer!C4</f>
        <v/>
      </c>
      <c r="AK369" s="8" t="n"/>
      <c r="AL369" s="8" t="n"/>
      <c r="AM369" s="8" t="n"/>
      <c r="AN369" s="8" t="n"/>
      <c r="AO369" s="8" t="n"/>
      <c r="AP369" s="8" t="n"/>
      <c r="AQ369" s="8" t="n"/>
      <c r="AS369" s="3" t="inlineStr">
        <is>
          <t>erfolgreich teilgenommen.</t>
        </is>
      </c>
    </row>
    <row r="370"/>
    <row r="371" ht="14.25" customHeight="1">
      <c r="A371" s="3" t="inlineStr">
        <is>
          <t>Teilnehmerunterlagen ausgehändigt:</t>
        </is>
      </c>
      <c r="N371" s="12" t="inlineStr">
        <is>
          <t>X</t>
        </is>
      </c>
      <c r="O371" s="3" t="inlineStr">
        <is>
          <t>ja</t>
        </is>
      </c>
      <c r="R371" s="12" t="n"/>
      <c r="S371" s="3" t="inlineStr">
        <is>
          <t>nein</t>
        </is>
      </c>
      <c r="AC371" s="3" t="inlineStr">
        <is>
          <t>Teilnehmerunterlagen ausgehändigt:</t>
        </is>
      </c>
      <c r="AP371" s="12" t="inlineStr">
        <is>
          <t>X</t>
        </is>
      </c>
      <c r="AQ371" s="3" t="inlineStr">
        <is>
          <t>ja</t>
        </is>
      </c>
      <c r="AT371" s="12" t="n"/>
      <c r="AU371" s="3" t="inlineStr">
        <is>
          <t>nein</t>
        </is>
      </c>
    </row>
    <row r="372"/>
    <row r="373"/>
    <row r="374" ht="14.25" customHeight="1">
      <c r="A374" s="4" t="inlineStr">
        <is>
          <t>Rastatt</t>
        </is>
      </c>
      <c r="G374" s="3" t="inlineStr">
        <is>
          <t>,den</t>
        </is>
      </c>
      <c r="I374" s="20">
        <f>Teilnehmer!C3</f>
        <v/>
      </c>
      <c r="AC374" s="4" t="inlineStr">
        <is>
          <t>Rastatt</t>
        </is>
      </c>
      <c r="AI374" s="3" t="inlineStr">
        <is>
          <t>,den</t>
        </is>
      </c>
      <c r="AK374" s="20">
        <f>Teilnehmer!C3</f>
        <v/>
      </c>
    </row>
    <row r="375" ht="14.25" customHeight="1">
      <c r="A375" s="16" t="inlineStr">
        <is>
          <t>Ort</t>
        </is>
      </c>
      <c r="B375" s="38" t="n"/>
      <c r="C375" s="38" t="n"/>
      <c r="D375" s="38" t="n"/>
      <c r="E375" s="38" t="n"/>
      <c r="F375" s="10" t="n"/>
      <c r="I375" s="16" t="inlineStr">
        <is>
          <t>Datum</t>
        </is>
      </c>
      <c r="J375" s="38" t="n"/>
      <c r="K375" s="38" t="n"/>
      <c r="L375" s="38" t="n"/>
      <c r="M375" s="38" t="n"/>
      <c r="O375" s="16" t="inlineStr">
        <is>
          <t>Unterschrift der Lehrkraft</t>
        </is>
      </c>
      <c r="P375" s="38" t="n"/>
      <c r="Q375" s="38" t="n"/>
      <c r="R375" s="38" t="n"/>
      <c r="S375" s="38" t="n"/>
      <c r="T375" s="38" t="n"/>
      <c r="U375" s="38" t="n"/>
      <c r="V375" s="38" t="n"/>
      <c r="W375" s="38" t="n"/>
      <c r="X375" s="38" t="n"/>
      <c r="AC375" s="16" t="inlineStr">
        <is>
          <t>Ort</t>
        </is>
      </c>
      <c r="AD375" s="38" t="n"/>
      <c r="AE375" s="38" t="n"/>
      <c r="AF375" s="38" t="n"/>
      <c r="AG375" s="38" t="n"/>
      <c r="AH375" s="10" t="n"/>
      <c r="AK375" s="16" t="inlineStr">
        <is>
          <t>Datum</t>
        </is>
      </c>
      <c r="AL375" s="38" t="n"/>
      <c r="AM375" s="38" t="n"/>
      <c r="AN375" s="38" t="n"/>
      <c r="AO375" s="38" t="n"/>
      <c r="AQ375" s="16" t="inlineStr">
        <is>
          <t>Unterschrift der Lehrkraft</t>
        </is>
      </c>
      <c r="AR375" s="38" t="n"/>
      <c r="AS375" s="38" t="n"/>
      <c r="AT375" s="38" t="n"/>
      <c r="AU375" s="38" t="n"/>
      <c r="AV375" s="38" t="n"/>
      <c r="AW375" s="38" t="n"/>
      <c r="AX375" s="38" t="n"/>
      <c r="AY375" s="38" t="n"/>
      <c r="AZ375" s="38" t="n"/>
    </row>
    <row r="376" ht="14.25" customHeight="1">
      <c r="A376" s="11" t="n"/>
      <c r="B376" s="11" t="n"/>
      <c r="C376" s="11" t="n"/>
      <c r="D376" s="11" t="n"/>
      <c r="E376" s="11" t="n"/>
      <c r="F376" s="10" t="n"/>
      <c r="I376" s="11" t="n"/>
      <c r="J376" s="11" t="n"/>
      <c r="K376" s="11" t="n"/>
      <c r="L376" s="11" t="n"/>
      <c r="M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AC376" s="11" t="n"/>
      <c r="AD376" s="11" t="n"/>
      <c r="AE376" s="11" t="n"/>
      <c r="AF376" s="11" t="n"/>
      <c r="AG376" s="11" t="n"/>
      <c r="AH376" s="10" t="n"/>
      <c r="AK376" s="11" t="n"/>
      <c r="AL376" s="11" t="n"/>
      <c r="AM376" s="11" t="n"/>
      <c r="AN376" s="11" t="n"/>
      <c r="AO376" s="11" t="n"/>
      <c r="AQ376" s="11" t="n"/>
      <c r="AR376" s="11" t="n"/>
      <c r="AS376" s="11" t="n"/>
      <c r="AT376" s="11" t="n"/>
      <c r="AU376" s="11" t="n"/>
      <c r="AV376" s="11" t="n"/>
      <c r="AW376" s="11" t="n"/>
      <c r="AX376" s="11" t="n"/>
      <c r="AY376" s="11" t="n"/>
      <c r="AZ376" s="11" t="n"/>
    </row>
    <row r="377" ht="14.25" customHeight="1">
      <c r="A377" s="11" t="n"/>
      <c r="B377" s="11" t="n"/>
      <c r="C377" s="11" t="n"/>
      <c r="D377" s="11" t="n"/>
      <c r="E377" s="11" t="n"/>
      <c r="F377" s="10" t="n"/>
      <c r="I377" s="11" t="n"/>
      <c r="J377" s="11" t="n"/>
      <c r="K377" s="11" t="n"/>
      <c r="L377" s="11" t="n"/>
      <c r="M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AC377" s="11" t="n"/>
      <c r="AD377" s="11" t="n"/>
      <c r="AE377" s="11" t="n"/>
      <c r="AF377" s="11" t="n"/>
      <c r="AG377" s="11" t="n"/>
      <c r="AH377" s="10" t="n"/>
      <c r="AK377" s="11" t="n"/>
      <c r="AL377" s="11" t="n"/>
      <c r="AM377" s="11" t="n"/>
      <c r="AN377" s="11" t="n"/>
      <c r="AO377" s="11" t="n"/>
      <c r="AQ377" s="11" t="n"/>
      <c r="AR377" s="11" t="n"/>
      <c r="AS377" s="11" t="n"/>
      <c r="AT377" s="11" t="n"/>
      <c r="AU377" s="11" t="n"/>
      <c r="AV377" s="11" t="n"/>
      <c r="AW377" s="11" t="n"/>
      <c r="AX377" s="11" t="n"/>
      <c r="AY377" s="11" t="n"/>
      <c r="AZ377" s="11" t="n"/>
    </row>
    <row r="378" ht="14.25" customHeight="1">
      <c r="A378" s="11" t="n"/>
      <c r="B378" s="11" t="n"/>
      <c r="C378" s="11" t="n"/>
      <c r="D378" s="11" t="n"/>
      <c r="E378" s="11" t="n"/>
      <c r="F378" s="10" t="n"/>
      <c r="I378" s="11" t="n"/>
      <c r="J378" s="11" t="n"/>
      <c r="K378" s="11" t="n"/>
      <c r="L378" s="11" t="n"/>
      <c r="M378" s="11" t="n"/>
      <c r="O378" s="16" t="inlineStr">
        <is>
          <t>Ausbildungsverantwortlicher</t>
        </is>
      </c>
      <c r="P378" s="38" t="n"/>
      <c r="Q378" s="38" t="n"/>
      <c r="R378" s="38" t="n"/>
      <c r="S378" s="38" t="n"/>
      <c r="T378" s="38" t="n"/>
      <c r="U378" s="38" t="n"/>
      <c r="V378" s="38" t="n"/>
      <c r="W378" s="38" t="n"/>
      <c r="X378" s="38" t="n"/>
      <c r="AC378" s="11" t="n"/>
      <c r="AD378" s="11" t="n"/>
      <c r="AE378" s="11" t="n"/>
      <c r="AF378" s="11" t="n"/>
      <c r="AG378" s="11" t="n"/>
      <c r="AH378" s="10" t="n"/>
      <c r="AK378" s="11" t="n"/>
      <c r="AL378" s="11" t="n"/>
      <c r="AM378" s="11" t="n"/>
      <c r="AN378" s="11" t="n"/>
      <c r="AO378" s="11" t="n"/>
      <c r="AQ378" s="16" t="inlineStr">
        <is>
          <t>Ausbildungsverantwortlicher</t>
        </is>
      </c>
      <c r="AR378" s="38" t="n"/>
      <c r="AS378" s="38" t="n"/>
      <c r="AT378" s="38" t="n"/>
      <c r="AU378" s="38" t="n"/>
      <c r="AV378" s="38" t="n"/>
      <c r="AW378" s="38" t="n"/>
      <c r="AX378" s="38" t="n"/>
      <c r="AY378" s="38" t="n"/>
      <c r="AZ378" s="38" t="n"/>
    </row>
    <row r="379"/>
    <row r="380" ht="14.25" customHeight="1">
      <c r="A380" s="3" t="inlineStr">
        <is>
          <t>Name der ermächtigten Stelle:</t>
        </is>
      </c>
      <c r="K380" s="4" t="inlineStr">
        <is>
          <t>Mercedes-Benz AG, Werk Rastatt</t>
        </is>
      </c>
      <c r="AC380" s="3" t="inlineStr">
        <is>
          <t>Name der ermächtigten Stelle:</t>
        </is>
      </c>
      <c r="AM380" s="4" t="inlineStr">
        <is>
          <t>Mercedes-Benz AG, Werk Rastatt</t>
        </is>
      </c>
    </row>
    <row r="381"/>
    <row r="382" ht="14.25" customHeight="1">
      <c r="A382" s="3" t="inlineStr">
        <is>
          <t>Kennziffer der ermächtigten Stelle</t>
        </is>
      </c>
      <c r="AC382" s="3" t="inlineStr">
        <is>
          <t>Kennziffer der ermächtigten Stelle</t>
        </is>
      </c>
    </row>
    <row r="383" ht="14.25" customHeight="1">
      <c r="A383" s="3" t="inlineStr">
        <is>
          <t>gemäß § 26 DGUV Vorschri_x001F_ft:</t>
        </is>
      </c>
      <c r="K383" s="15" t="inlineStr">
        <is>
          <t>7.0103</t>
        </is>
      </c>
      <c r="AC383" s="3" t="inlineStr">
        <is>
          <t>gemäß § 26 DGUV Vorschri_x001F_ft:</t>
        </is>
      </c>
      <c r="AM383" s="15" t="inlineStr">
        <is>
          <t>7.0103</t>
        </is>
      </c>
    </row>
    <row r="384"/>
    <row r="385" ht="14.25" customHeight="1">
      <c r="A385" s="3" t="inlineStr">
        <is>
          <t>Registriernummer der Schulung:</t>
        </is>
      </c>
      <c r="K385" s="4">
        <f>Teilnehmer!C5</f>
        <v/>
      </c>
      <c r="AC385" s="3" t="inlineStr">
        <is>
          <t>Registriernummer der Schulung:</t>
        </is>
      </c>
      <c r="AM385" s="4">
        <f>Teilnehmer!C5</f>
        <v/>
      </c>
    </row>
    <row r="386"/>
    <row r="387" ht="14.25" customHeight="1">
      <c r="A387" s="9" t="inlineStr">
        <is>
          <t>* Die Teilnahme an der Ausbildung in betrieblicher Erster Hilfe gilt als Schulung in Erster Hilfe gem. § 19 Fahrerlaubnis- Verordnung</t>
        </is>
      </c>
      <c r="AC387" s="9" t="inlineStr">
        <is>
          <t>* Die Teilnahme an der Ausbildung in betrieblicher Erster Hilfe gilt als Schulung in Erster Hilfe gem. § 19 Fahrerlaubnis- Verordnung</t>
        </is>
      </c>
    </row>
    <row r="388" ht="14.25" customHeight="1">
      <c r="A388" s="9" t="inlineStr">
        <is>
          <t xml:space="preserve">   (FeV).</t>
        </is>
      </c>
      <c r="AC388" s="9" t="inlineStr">
        <is>
          <t xml:space="preserve">   (FeV).</t>
        </is>
      </c>
    </row>
  </sheetData>
  <mergeCells count="260">
    <mergeCell ref="O297:X297"/>
    <mergeCell ref="AK179:AO179"/>
    <mergeCell ref="AQ339:AZ339"/>
    <mergeCell ref="AL168:AQ168"/>
    <mergeCell ref="AU289:AW289"/>
    <mergeCell ref="AU133:AW133"/>
    <mergeCell ref="AC336:AG336"/>
    <mergeCell ref="O219:X219"/>
    <mergeCell ref="A284:H284"/>
    <mergeCell ref="AO289:AQ289"/>
    <mergeCell ref="AK284:AR284"/>
    <mergeCell ref="AQ258:AZ258"/>
    <mergeCell ref="AC245:AJ245"/>
    <mergeCell ref="I375:M375"/>
    <mergeCell ref="I296:M296"/>
    <mergeCell ref="AU55:AW55"/>
    <mergeCell ref="AD363:AI363"/>
    <mergeCell ref="AK206:AR206"/>
    <mergeCell ref="AQ24:AZ24"/>
    <mergeCell ref="AK180:AO180"/>
    <mergeCell ref="AL285:AQ285"/>
    <mergeCell ref="AD129:AI129"/>
    <mergeCell ref="O180:X180"/>
    <mergeCell ref="S172:U172"/>
    <mergeCell ref="AO211:AQ211"/>
    <mergeCell ref="I206:P206"/>
    <mergeCell ref="C211:G211"/>
    <mergeCell ref="S250:U250"/>
    <mergeCell ref="AO94:AQ94"/>
    <mergeCell ref="O375:X375"/>
    <mergeCell ref="A50:H50"/>
    <mergeCell ref="I258:M258"/>
    <mergeCell ref="AQ300:AZ300"/>
    <mergeCell ref="AL324:AQ324"/>
    <mergeCell ref="AL129:AQ129"/>
    <mergeCell ref="B207:G207"/>
    <mergeCell ref="AK11:AR11"/>
    <mergeCell ref="AK218:AO218"/>
    <mergeCell ref="I24:M24"/>
    <mergeCell ref="T11:X11"/>
    <mergeCell ref="AQ66:AZ66"/>
    <mergeCell ref="M211:O211"/>
    <mergeCell ref="AK63:AO63"/>
    <mergeCell ref="AO250:AQ250"/>
    <mergeCell ref="I167:P167"/>
    <mergeCell ref="AD12:AI12"/>
    <mergeCell ref="AE211:AI211"/>
    <mergeCell ref="AV245:AZ245"/>
    <mergeCell ref="AO16:AQ16"/>
    <mergeCell ref="M55:O55"/>
    <mergeCell ref="O339:X339"/>
    <mergeCell ref="AK258:AO258"/>
    <mergeCell ref="A336:E336"/>
    <mergeCell ref="AQ105:AZ105"/>
    <mergeCell ref="A323:H323"/>
    <mergeCell ref="I63:M63"/>
    <mergeCell ref="AL207:AQ207"/>
    <mergeCell ref="I362:P362"/>
    <mergeCell ref="A63:E63"/>
    <mergeCell ref="AU250:AW250"/>
    <mergeCell ref="M328:O328"/>
    <mergeCell ref="O336:X336"/>
    <mergeCell ref="B12:G12"/>
    <mergeCell ref="AQ144:AZ144"/>
    <mergeCell ref="I128:P128"/>
    <mergeCell ref="AC128:AJ128"/>
    <mergeCell ref="M94:O94"/>
    <mergeCell ref="AV167:AZ167"/>
    <mergeCell ref="AD246:AI246"/>
    <mergeCell ref="AK336:AO336"/>
    <mergeCell ref="O144:X144"/>
    <mergeCell ref="AK141:AO141"/>
    <mergeCell ref="AD168:AI168"/>
    <mergeCell ref="S367:U367"/>
    <mergeCell ref="AK102:AO102"/>
    <mergeCell ref="I179:M179"/>
    <mergeCell ref="B363:G363"/>
    <mergeCell ref="AV323:AZ323"/>
    <mergeCell ref="AL363:AQ363"/>
    <mergeCell ref="B246:G246"/>
    <mergeCell ref="I336:M336"/>
    <mergeCell ref="I218:M218"/>
    <mergeCell ref="S133:U133"/>
    <mergeCell ref="AQ378:AZ378"/>
    <mergeCell ref="C94:G94"/>
    <mergeCell ref="I141:M141"/>
    <mergeCell ref="O105:X105"/>
    <mergeCell ref="B285:G285"/>
    <mergeCell ref="O258:X258"/>
    <mergeCell ref="C133:G133"/>
    <mergeCell ref="AC284:AJ284"/>
    <mergeCell ref="I102:M102"/>
    <mergeCell ref="S55:U55"/>
    <mergeCell ref="AE328:AI328"/>
    <mergeCell ref="J90:O90"/>
    <mergeCell ref="B51:G51"/>
    <mergeCell ref="O24:X24"/>
    <mergeCell ref="AL51:AQ51"/>
    <mergeCell ref="AV362:AZ362"/>
    <mergeCell ref="AC206:AJ206"/>
    <mergeCell ref="O378:X378"/>
    <mergeCell ref="J129:O129"/>
    <mergeCell ref="I297:M297"/>
    <mergeCell ref="A297:E297"/>
    <mergeCell ref="I62:M62"/>
    <mergeCell ref="I219:M219"/>
    <mergeCell ref="I23:M23"/>
    <mergeCell ref="O222:X222"/>
    <mergeCell ref="A219:E219"/>
    <mergeCell ref="S16:U16"/>
    <mergeCell ref="AE289:AI289"/>
    <mergeCell ref="O63:X63"/>
    <mergeCell ref="O141:X141"/>
    <mergeCell ref="AL90:AQ90"/>
    <mergeCell ref="A206:H206"/>
    <mergeCell ref="AC167:AJ167"/>
    <mergeCell ref="AK296:AO296"/>
    <mergeCell ref="AC297:AG297"/>
    <mergeCell ref="AC11:AJ11"/>
    <mergeCell ref="M250:O250"/>
    <mergeCell ref="O183:X183"/>
    <mergeCell ref="A258:E258"/>
    <mergeCell ref="A362:H362"/>
    <mergeCell ref="AC219:AG219"/>
    <mergeCell ref="AQ180:AZ180"/>
    <mergeCell ref="A167:H167"/>
    <mergeCell ref="T245:X245"/>
    <mergeCell ref="AK245:AR245"/>
    <mergeCell ref="AE250:AI250"/>
    <mergeCell ref="AQ141:AZ141"/>
    <mergeCell ref="M172:O172"/>
    <mergeCell ref="A24:E24"/>
    <mergeCell ref="AE94:AI94"/>
    <mergeCell ref="I335:M335"/>
    <mergeCell ref="J207:O207"/>
    <mergeCell ref="AE16:AI16"/>
    <mergeCell ref="AV50:AZ50"/>
    <mergeCell ref="I89:P89"/>
    <mergeCell ref="AL246:AQ246"/>
    <mergeCell ref="M367:O367"/>
    <mergeCell ref="S289:U289"/>
    <mergeCell ref="C250:G250"/>
    <mergeCell ref="I101:M101"/>
    <mergeCell ref="AL12:AQ12"/>
    <mergeCell ref="M133:O133"/>
    <mergeCell ref="AK167:AR167"/>
    <mergeCell ref="B168:G168"/>
    <mergeCell ref="T323:X323"/>
    <mergeCell ref="AO172:AQ172"/>
    <mergeCell ref="AC323:AJ323"/>
    <mergeCell ref="C16:G16"/>
    <mergeCell ref="T50:X50"/>
    <mergeCell ref="J246:O246"/>
    <mergeCell ref="AK335:AO335"/>
    <mergeCell ref="C55:G55"/>
    <mergeCell ref="T89:X89"/>
    <mergeCell ref="AC89:AJ89"/>
    <mergeCell ref="J12:O12"/>
    <mergeCell ref="AC141:AG141"/>
    <mergeCell ref="J51:O51"/>
    <mergeCell ref="AC362:AJ362"/>
    <mergeCell ref="S94:U94"/>
    <mergeCell ref="AO133:AQ133"/>
    <mergeCell ref="T128:X128"/>
    <mergeCell ref="I180:M180"/>
    <mergeCell ref="AK50:AR50"/>
    <mergeCell ref="A141:E141"/>
    <mergeCell ref="AQ183:AZ183"/>
    <mergeCell ref="AC50:AJ50"/>
    <mergeCell ref="I284:P284"/>
    <mergeCell ref="AC180:AG180"/>
    <mergeCell ref="AD285:AI285"/>
    <mergeCell ref="B129:G129"/>
    <mergeCell ref="B324:G324"/>
    <mergeCell ref="C328:G328"/>
    <mergeCell ref="AO328:AQ328"/>
    <mergeCell ref="AV89:AZ89"/>
    <mergeCell ref="AE367:AI367"/>
    <mergeCell ref="B90:G90"/>
    <mergeCell ref="C289:G289"/>
    <mergeCell ref="AD51:AI51"/>
    <mergeCell ref="AK375:AO375"/>
    <mergeCell ref="AK257:AO257"/>
    <mergeCell ref="AC375:AG375"/>
    <mergeCell ref="AE133:AI133"/>
    <mergeCell ref="AV284:AZ284"/>
    <mergeCell ref="AK297:AO297"/>
    <mergeCell ref="J324:O324"/>
    <mergeCell ref="I50:P50"/>
    <mergeCell ref="J285:O285"/>
    <mergeCell ref="O261:X261"/>
    <mergeCell ref="AD324:AI324"/>
    <mergeCell ref="AO367:AQ367"/>
    <mergeCell ref="AK101:AO101"/>
    <mergeCell ref="AU211:AW211"/>
    <mergeCell ref="C367:G367"/>
    <mergeCell ref="AE55:AI55"/>
    <mergeCell ref="AV206:AZ206"/>
    <mergeCell ref="AK23:AO23"/>
    <mergeCell ref="A245:H245"/>
    <mergeCell ref="O27:X27"/>
    <mergeCell ref="AQ63:AZ63"/>
    <mergeCell ref="AD90:AI90"/>
    <mergeCell ref="I257:M257"/>
    <mergeCell ref="T284:X284"/>
    <mergeCell ref="J363:O363"/>
    <mergeCell ref="I11:P11"/>
    <mergeCell ref="A11:H11"/>
    <mergeCell ref="S211:U211"/>
    <mergeCell ref="M16:O16"/>
    <mergeCell ref="C172:G172"/>
    <mergeCell ref="O300:X300"/>
    <mergeCell ref="T206:X206"/>
    <mergeCell ref="AK62:AO62"/>
    <mergeCell ref="AQ261:AZ261"/>
    <mergeCell ref="AC258:AG258"/>
    <mergeCell ref="AQ222:AZ222"/>
    <mergeCell ref="O66:X66"/>
    <mergeCell ref="AU16:AW16"/>
    <mergeCell ref="J168:O168"/>
    <mergeCell ref="AQ27:AZ27"/>
    <mergeCell ref="O102:X102"/>
    <mergeCell ref="AV11:AZ11"/>
    <mergeCell ref="AK24:AO24"/>
    <mergeCell ref="AK323:AR323"/>
    <mergeCell ref="AC24:AG24"/>
    <mergeCell ref="A128:H128"/>
    <mergeCell ref="A375:E375"/>
    <mergeCell ref="T167:X167"/>
    <mergeCell ref="A89:H89"/>
    <mergeCell ref="AK89:AR89"/>
    <mergeCell ref="AQ375:AZ375"/>
    <mergeCell ref="AO55:AQ55"/>
    <mergeCell ref="AK219:AO219"/>
    <mergeCell ref="M289:O289"/>
    <mergeCell ref="I323:P323"/>
    <mergeCell ref="AQ336:AZ336"/>
    <mergeCell ref="AK362:AR362"/>
    <mergeCell ref="T362:X362"/>
    <mergeCell ref="AC63:AG63"/>
    <mergeCell ref="AK374:AO374"/>
    <mergeCell ref="AC102:AG102"/>
    <mergeCell ref="AK128:AR128"/>
    <mergeCell ref="AU328:AW328"/>
    <mergeCell ref="AK140:AO140"/>
    <mergeCell ref="A180:E180"/>
    <mergeCell ref="AQ297:AZ297"/>
    <mergeCell ref="AD207:AI207"/>
    <mergeCell ref="AU172:AW172"/>
    <mergeCell ref="I245:P245"/>
    <mergeCell ref="I374:M374"/>
    <mergeCell ref="AU94:AW94"/>
    <mergeCell ref="A102:E102"/>
    <mergeCell ref="AQ219:AZ219"/>
    <mergeCell ref="AE172:AI172"/>
    <mergeCell ref="S328:U328"/>
    <mergeCell ref="AQ102:AZ102"/>
    <mergeCell ref="AU367:AW367"/>
    <mergeCell ref="I140:M140"/>
    <mergeCell ref="AV128:AZ128"/>
  </mergeCells>
  <pageMargins left="0.31496062992125984" right="0.31496062992125984" top="0.39370078740157483" bottom="0.39370078740157483" header="0.31496062992125984" footer="0.31496062992125984"/>
  <pageSetup paperSize="8" fitToWidth="1" fitToHeight="0" orientation="landscape"/>
  <headerFooter>
    <oddHeader>&amp;L&amp;"CorpoS"&amp;1 &amp;K000000Internal#</oddHeader>
    <oddFooter/>
    <evenHeader/>
    <evenFooter/>
    <firstHeader/>
    <firstFooter/>
  </headerFooter>
  <rowBreaks count="9" manualBreakCount="9">
    <brk id="38" min="0" max="16383" man="1"/>
    <brk id="77" min="0" max="16383" man="1"/>
    <brk id="116" min="0" max="16383" man="1"/>
    <brk id="155" min="0" max="16383" man="1"/>
    <brk id="194" min="0" max="16383" man="1"/>
    <brk id="233" min="0" max="16383" man="1"/>
    <brk id="272" min="0" max="16383" man="1"/>
    <brk id="311" min="0" max="16383" man="1"/>
    <brk id="350" min="0" max="16383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00FF6F00"/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10.6640625" customWidth="1" min="1" max="1"/>
    <col width="62.44140625" customWidth="1" min="2" max="2"/>
    <col width="38.5546875" customWidth="1" min="3" max="3"/>
    <col width="40.6640625" customWidth="1" min="4" max="4"/>
    <col width="21.6640625" customWidth="1" min="5" max="5"/>
    <col width="4.33203125" customWidth="1" min="6" max="6"/>
  </cols>
  <sheetData>
    <row r="1" ht="42" customHeight="1"/>
    <row r="2" ht="41.25" customHeight="1">
      <c r="D2" s="39" t="n"/>
      <c r="J2">
        <f>IF(Teilnehmer!F3,Teilnehmer!F3,"")</f>
        <v/>
      </c>
    </row>
    <row r="3" ht="38.25" customHeight="1">
      <c r="D3" s="39" t="n"/>
    </row>
    <row r="4" ht="38.25" customHeight="1">
      <c r="D4" s="40" t="n"/>
    </row>
    <row r="5" ht="42" customHeight="1">
      <c r="B5" s="41" t="inlineStr">
        <is>
          <t>Mercedes Benz AG</t>
        </is>
      </c>
      <c r="D5" s="42" t="inlineStr">
        <is>
          <t>BG-Metall Nord-Süd</t>
        </is>
      </c>
    </row>
    <row r="6" ht="41.25" customHeight="1">
      <c r="B6" s="43" t="inlineStr">
        <is>
          <t>Mercedsstr. 1</t>
        </is>
      </c>
    </row>
    <row r="7" ht="32.25" customHeight="1">
      <c r="B7" s="43" t="inlineStr">
        <is>
          <t>76437 Rastatt</t>
        </is>
      </c>
      <c r="D7" s="44" t="n">
        <v>2.26255682176001e+19</v>
      </c>
    </row>
    <row r="8" ht="41.25" customHeight="1">
      <c r="D8" s="45" t="n"/>
    </row>
    <row r="9" ht="34.5" customHeight="1">
      <c r="D9" s="40" t="n"/>
    </row>
    <row r="10" ht="39.75" customHeight="1">
      <c r="A10" s="46" t="n">
        <v>1</v>
      </c>
      <c r="B10" s="47">
        <f>CONCATENATE(Teilnehmer!B11,", ",Teilnehmer!C11)</f>
        <v/>
      </c>
      <c r="C10" s="48">
        <f>IF(Teilnehmer!D11,Teilnehmer!D11,"")</f>
        <v/>
      </c>
      <c r="D10" s="49" t="n"/>
    </row>
    <row r="11" ht="39.75" customHeight="1">
      <c r="A11" s="46" t="n">
        <v>2</v>
      </c>
      <c r="B11" s="47">
        <f>CONCATENATE(Teilnehmer!B12,", ",Teilnehmer!C12)</f>
        <v/>
      </c>
      <c r="C11" s="48">
        <f>IF(Teilnehmer!D12,Teilnehmer!D12,"")</f>
        <v/>
      </c>
      <c r="D11" s="50" t="n"/>
    </row>
    <row r="12" ht="39.75" customHeight="1">
      <c r="A12" s="46" t="n">
        <v>3</v>
      </c>
      <c r="B12" s="47">
        <f>CONCATENATE(Teilnehmer!B13,", ",Teilnehmer!C13)</f>
        <v/>
      </c>
      <c r="C12" s="48">
        <f>IF(Teilnehmer!D13,Teilnehmer!D13,"")</f>
        <v/>
      </c>
      <c r="D12" s="49" t="n"/>
    </row>
    <row r="13" ht="39.75" customHeight="1">
      <c r="A13" s="46" t="n">
        <v>4</v>
      </c>
      <c r="B13" s="47">
        <f>CONCATENATE(Teilnehmer!B14,", ",Teilnehmer!C14)</f>
        <v/>
      </c>
      <c r="C13" s="48">
        <f>IF(Teilnehmer!D14,Teilnehmer!D14,"")</f>
        <v/>
      </c>
      <c r="D13" s="49" t="n"/>
    </row>
    <row r="14" ht="40.5" customHeight="1">
      <c r="A14" s="46" t="n">
        <v>5</v>
      </c>
      <c r="B14" s="47">
        <f>CONCATENATE(Teilnehmer!B15,", ",Teilnehmer!C15)</f>
        <v/>
      </c>
      <c r="C14" s="48">
        <f>IF(Teilnehmer!D15,Teilnehmer!D15,"")</f>
        <v/>
      </c>
      <c r="D14" s="49" t="n"/>
    </row>
    <row r="15" ht="39.75" customHeight="1">
      <c r="A15" s="46" t="n">
        <v>6</v>
      </c>
      <c r="B15" s="47">
        <f>CONCATENATE(Teilnehmer!B16,", ",Teilnehmer!C16)</f>
        <v/>
      </c>
      <c r="C15" s="48">
        <f>IF(Teilnehmer!D16,Teilnehmer!D16,"")</f>
        <v/>
      </c>
      <c r="D15" s="49" t="n"/>
    </row>
    <row r="16" ht="40.5" customHeight="1">
      <c r="A16" s="46" t="n">
        <v>7</v>
      </c>
      <c r="B16" s="47">
        <f>CONCATENATE(Teilnehmer!B17,", ",Teilnehmer!C17)</f>
        <v/>
      </c>
      <c r="C16" s="48">
        <f>IF(Teilnehmer!D17,Teilnehmer!D17,"")</f>
        <v/>
      </c>
      <c r="D16" s="49" t="n"/>
    </row>
    <row r="17" ht="39" customHeight="1">
      <c r="A17" s="46" t="n">
        <v>8</v>
      </c>
      <c r="B17" s="47">
        <f>CONCATENATE(Teilnehmer!B18,", ",Teilnehmer!C18)</f>
        <v/>
      </c>
      <c r="C17" s="48">
        <f>IF(Teilnehmer!D18,Teilnehmer!D18,"")</f>
        <v/>
      </c>
      <c r="D17" s="49" t="n"/>
    </row>
    <row r="18" ht="39.75" customHeight="1">
      <c r="A18" s="46" t="n">
        <v>9</v>
      </c>
      <c r="B18" s="47">
        <f>CONCATENATE(Teilnehmer!B19,", ",Teilnehmer!C19)</f>
        <v/>
      </c>
      <c r="C18" s="48">
        <f>IF(Teilnehmer!D19,Teilnehmer!D19,"")</f>
        <v/>
      </c>
      <c r="D18" s="51" t="n"/>
    </row>
    <row r="19" ht="39.75" customHeight="1">
      <c r="A19" s="46" t="n">
        <v>10</v>
      </c>
      <c r="B19" s="47">
        <f>CONCATENATE(Teilnehmer!B20,", ",Teilnehmer!C20)</f>
        <v/>
      </c>
      <c r="C19" s="48">
        <f>IF(Teilnehmer!D20,Teilnehmer!D20,"")</f>
        <v/>
      </c>
      <c r="D19" s="49" t="n"/>
    </row>
    <row r="20" ht="42" customHeight="1"/>
    <row r="21" ht="27.75" customHeight="1"/>
    <row r="22" ht="32.25" customHeight="1">
      <c r="B22" s="52" t="inlineStr">
        <is>
          <t>Dr. Schmidt, Sabine</t>
        </is>
      </c>
    </row>
    <row r="23" ht="32.25" customHeight="1">
      <c r="B23" s="52" t="inlineStr">
        <is>
          <t>07222/91-22111</t>
        </is>
      </c>
    </row>
    <row r="24" ht="32.25" customHeight="1">
      <c r="B24" s="53" t="inlineStr">
        <is>
          <t>sabine.m.schmidt@mercedes-benz.com</t>
        </is>
      </c>
      <c r="D24" s="54" t="n"/>
    </row>
    <row r="25" ht="30" customHeight="1">
      <c r="D25" s="55">
        <f>Teilnehmer!C3</f>
        <v/>
      </c>
    </row>
    <row r="26" ht="25.5" customHeight="1"/>
    <row r="27" ht="31.5" customHeight="1">
      <c r="C27" s="55" t="n"/>
    </row>
    <row r="28" ht="8.25" customHeight="1"/>
    <row r="29" ht="25.5" customHeight="1">
      <c r="C29" s="55">
        <f>Teilnehmer!C3</f>
        <v/>
      </c>
    </row>
    <row r="30" ht="16.5" customHeight="1"/>
    <row r="31" ht="25.5" customHeight="1">
      <c r="B31" s="56" t="inlineStr">
        <is>
          <t xml:space="preserve">  7.0103</t>
        </is>
      </c>
      <c r="C31" s="54">
        <f>Teilnehmer!C4</f>
        <v/>
      </c>
    </row>
    <row r="32" ht="21" customHeight="1">
      <c r="B32" s="57" t="n"/>
    </row>
    <row r="33" ht="26.25" customHeight="1">
      <c r="B33" s="58">
        <f>"  "&amp;Teilnehmer!C5</f>
        <v/>
      </c>
      <c r="C33" s="54" t="inlineStr">
        <is>
          <t>Mercedes Benz AG, PKW Werk</t>
        </is>
      </c>
    </row>
    <row r="34"/>
    <row r="35"/>
    <row r="36" ht="29.25" customHeight="1">
      <c r="C36" s="54" t="inlineStr">
        <is>
          <t>Mercedes Benz AG</t>
        </is>
      </c>
    </row>
    <row r="37" ht="29.25" customHeight="1">
      <c r="C37" s="54" t="inlineStr">
        <is>
          <t>Werksärztlicher Dienst</t>
        </is>
      </c>
    </row>
    <row r="38" ht="29.25" customHeight="1">
      <c r="C38" s="54" t="inlineStr">
        <is>
          <t>PKW-Werk Rastatt</t>
        </is>
      </c>
    </row>
    <row r="39" ht="29.25" customHeight="1">
      <c r="C39" s="54" t="inlineStr">
        <is>
          <t>Mercedesstraße 1</t>
        </is>
      </c>
    </row>
    <row r="40" ht="29.25" customHeight="1">
      <c r="B40" s="55">
        <f>Teilnehmer!C3</f>
        <v/>
      </c>
      <c r="C40" s="54" t="inlineStr">
        <is>
          <t>76437 Rastatt</t>
        </is>
      </c>
    </row>
    <row r="41" ht="21" customHeight="1"/>
    <row r="42" ht="9" customHeight="1"/>
    <row r="43" ht="9" customHeight="1"/>
    <row r="44" ht="42" customHeight="1"/>
    <row r="45" ht="41.25" customHeight="1">
      <c r="D45" s="39" t="n"/>
      <c r="J45">
        <f>IF(Teilnehmer!F3,Teilnehmer!F3,"")</f>
        <v/>
      </c>
    </row>
    <row r="46" ht="38.25" customHeight="1">
      <c r="D46" s="39" t="n"/>
    </row>
    <row r="47" ht="38.25" customHeight="1">
      <c r="D47" s="40" t="n"/>
    </row>
    <row r="48" ht="42" customHeight="1">
      <c r="B48" s="41" t="inlineStr">
        <is>
          <t>Mercedes Benz AG</t>
        </is>
      </c>
      <c r="D48" s="42" t="inlineStr">
        <is>
          <t>BG-Metall Nord-Süd</t>
        </is>
      </c>
    </row>
    <row r="49" ht="41.25" customHeight="1">
      <c r="B49" s="43" t="inlineStr">
        <is>
          <t>Mercedsstr. 1</t>
        </is>
      </c>
    </row>
    <row r="50" ht="32.25" customHeight="1">
      <c r="B50" s="43" t="inlineStr">
        <is>
          <t>76437 Rastatt</t>
        </is>
      </c>
      <c r="D50" s="44" t="n">
        <v>2.26255682176001e+19</v>
      </c>
    </row>
    <row r="51" ht="41.25" customHeight="1">
      <c r="D51" s="45" t="n"/>
    </row>
    <row r="52" ht="34.5" customHeight="1">
      <c r="D52" s="40" t="n"/>
    </row>
    <row r="53" ht="39.75" customHeight="1">
      <c r="A53" s="46" t="n">
        <v>1</v>
      </c>
      <c r="B53" s="47">
        <f>CONCATENATE(Teilnehmer!B21,", ",Teilnehmer!C21)</f>
        <v/>
      </c>
      <c r="C53" s="48">
        <f>IF(Teilnehmer!D21,Teilnehmer!D21,"")</f>
        <v/>
      </c>
      <c r="D53" s="49" t="n"/>
    </row>
    <row r="54" ht="39.75" customHeight="1">
      <c r="A54" s="46" t="n">
        <v>2</v>
      </c>
      <c r="B54" s="47">
        <f>CONCATENATE(Teilnehmer!B22,", ",Teilnehmer!C22)</f>
        <v/>
      </c>
      <c r="C54" s="48">
        <f>IF(Teilnehmer!D22,Teilnehmer!D22,"")</f>
        <v/>
      </c>
      <c r="D54" s="50" t="n"/>
    </row>
    <row r="55" ht="39.75" customHeight="1">
      <c r="A55" s="46" t="n">
        <v>3</v>
      </c>
      <c r="B55" s="47">
        <f>CONCATENATE(Teilnehmer!B23,", ",Teilnehmer!C23)</f>
        <v/>
      </c>
      <c r="C55" s="48">
        <f>IF(Teilnehmer!D23,Teilnehmer!D23,"")</f>
        <v/>
      </c>
      <c r="D55" s="49" t="n"/>
    </row>
    <row r="56" ht="39.75" customHeight="1">
      <c r="A56" s="46" t="n">
        <v>4</v>
      </c>
      <c r="B56" s="47">
        <f>CONCATENATE(Teilnehmer!B24,", ",Teilnehmer!C24)</f>
        <v/>
      </c>
      <c r="C56" s="48">
        <f>IF(Teilnehmer!D24,Teilnehmer!D24,"")</f>
        <v/>
      </c>
      <c r="D56" s="49" t="n"/>
    </row>
    <row r="57" ht="40.5" customHeight="1">
      <c r="A57" s="46" t="n">
        <v>5</v>
      </c>
      <c r="B57" s="47">
        <f>CONCATENATE(Teilnehmer!B25,", ",Teilnehmer!C25)</f>
        <v/>
      </c>
      <c r="C57" s="48">
        <f>IF(Teilnehmer!D25,Teilnehmer!D25,"")</f>
        <v/>
      </c>
      <c r="D57" s="49" t="n"/>
    </row>
    <row r="58" ht="39.75" customHeight="1">
      <c r="A58" s="46" t="n">
        <v>6</v>
      </c>
      <c r="B58" s="47">
        <f>CONCATENATE(Teilnehmer!B26,", ",Teilnehmer!C26)</f>
        <v/>
      </c>
      <c r="C58" s="48">
        <f>IF(Teilnehmer!D26,Teilnehmer!D26,"")</f>
        <v/>
      </c>
      <c r="D58" s="49" t="n"/>
    </row>
    <row r="59" ht="40.5" customHeight="1">
      <c r="A59" s="46" t="n">
        <v>7</v>
      </c>
      <c r="B59" s="47">
        <f>CONCATENATE(Teilnehmer!B27,", ",Teilnehmer!C27)</f>
        <v/>
      </c>
      <c r="C59" s="48">
        <f>IF(Teilnehmer!D27,Teilnehmer!D27,"")</f>
        <v/>
      </c>
      <c r="D59" s="49" t="n"/>
    </row>
    <row r="60" ht="39" customHeight="1">
      <c r="A60" s="46" t="n">
        <v>8</v>
      </c>
      <c r="B60" s="47">
        <f>CONCATENATE(Teilnehmer!B28,", ",Teilnehmer!C28)</f>
        <v/>
      </c>
      <c r="C60" s="48">
        <f>IF(Teilnehmer!D28,Teilnehmer!D28,"")</f>
        <v/>
      </c>
      <c r="D60" s="49" t="n"/>
    </row>
    <row r="61" ht="39.75" customHeight="1">
      <c r="A61" s="46" t="n">
        <v>9</v>
      </c>
      <c r="B61" s="47">
        <f>CONCATENATE(Teilnehmer!B29,", ",Teilnehmer!C29)</f>
        <v/>
      </c>
      <c r="C61" s="48">
        <f>IF(Teilnehmer!D29,Teilnehmer!D29,"")</f>
        <v/>
      </c>
      <c r="D61" s="51" t="n"/>
    </row>
    <row r="62" ht="39.75" customHeight="1">
      <c r="A62" s="46" t="n">
        <v>10</v>
      </c>
      <c r="B62" s="47">
        <f>CONCATENATE(Teilnehmer!B30,", ",Teilnehmer!C30)</f>
        <v/>
      </c>
      <c r="C62" s="48">
        <f>IF(Teilnehmer!D30,Teilnehmer!D30,"")</f>
        <v/>
      </c>
      <c r="D62" s="49" t="n"/>
    </row>
    <row r="63" ht="42" customHeight="1"/>
    <row r="64" ht="27.75" customHeight="1"/>
    <row r="65" ht="32.25" customHeight="1">
      <c r="B65" s="52" t="inlineStr">
        <is>
          <t>Dr. Schmidt, Sabine</t>
        </is>
      </c>
    </row>
    <row r="66" ht="32.25" customHeight="1">
      <c r="B66" s="52" t="inlineStr">
        <is>
          <t>07222/91-22111</t>
        </is>
      </c>
    </row>
    <row r="67" ht="32.25" customHeight="1">
      <c r="B67" s="59" t="inlineStr">
        <is>
          <t>sabine.m.schmidt@mercedes-benz.com</t>
        </is>
      </c>
      <c r="D67" s="54" t="n"/>
    </row>
    <row r="68" ht="30" customHeight="1">
      <c r="D68" s="55">
        <f>Teilnehmer!C3</f>
        <v/>
      </c>
    </row>
    <row r="69" ht="25.5" customHeight="1"/>
    <row r="70" ht="31.5" customHeight="1">
      <c r="C70" s="55" t="n"/>
    </row>
    <row r="71" ht="8.25" customHeight="1"/>
    <row r="72" ht="25.5" customHeight="1">
      <c r="C72" s="55">
        <f>Teilnehmer!C3</f>
        <v/>
      </c>
    </row>
    <row r="73" ht="16.5" customHeight="1"/>
    <row r="74" ht="25.5" customHeight="1">
      <c r="B74" s="56" t="inlineStr">
        <is>
          <t xml:space="preserve">  7.0103</t>
        </is>
      </c>
      <c r="C74" s="54">
        <f>Teilnehmer!C4</f>
        <v/>
      </c>
    </row>
    <row r="75" ht="21" customHeight="1">
      <c r="B75" s="57" t="n"/>
    </row>
    <row r="76" ht="26.25" customHeight="1">
      <c r="B76" s="58">
        <f>"  "&amp;Teilnehmer!C5</f>
        <v/>
      </c>
      <c r="C76" s="54" t="inlineStr">
        <is>
          <t>Mercedes Benz AG, PKW Werk</t>
        </is>
      </c>
    </row>
    <row r="77"/>
    <row r="78"/>
    <row r="79" ht="29.25" customHeight="1">
      <c r="C79" s="54" t="inlineStr">
        <is>
          <t>Mercedes Benz AG</t>
        </is>
      </c>
    </row>
    <row r="80" ht="29.25" customHeight="1">
      <c r="C80" s="54" t="inlineStr">
        <is>
          <t>Werksärztlicher Dienst</t>
        </is>
      </c>
    </row>
    <row r="81" ht="29.25" customHeight="1">
      <c r="C81" s="54" t="inlineStr">
        <is>
          <t>PKW-Werk Rastatt</t>
        </is>
      </c>
    </row>
    <row r="82" ht="29.25" customHeight="1">
      <c r="C82" s="54" t="inlineStr">
        <is>
          <t>Mercedesstraße 1</t>
        </is>
      </c>
    </row>
    <row r="83" ht="29.25" customHeight="1">
      <c r="B83" s="55">
        <f>Teilnehmer!C3</f>
        <v/>
      </c>
      <c r="C83" s="54" t="inlineStr">
        <is>
          <t>76437 Rastatt</t>
        </is>
      </c>
    </row>
    <row r="84" ht="21" customHeight="1"/>
    <row r="85" ht="9" customHeight="1"/>
    <row r="86" ht="9" customHeight="1"/>
  </sheetData>
  <mergeCells count="16">
    <mergeCell ref="C83:D83"/>
    <mergeCell ref="C29:D29"/>
    <mergeCell ref="C38:D38"/>
    <mergeCell ref="C80:D80"/>
    <mergeCell ref="C72:D72"/>
    <mergeCell ref="C82:D82"/>
    <mergeCell ref="C33:D33"/>
    <mergeCell ref="C81:D81"/>
    <mergeCell ref="C76:D76"/>
    <mergeCell ref="C37:D37"/>
    <mergeCell ref="C36:D36"/>
    <mergeCell ref="C74:D74"/>
    <mergeCell ref="C40:D40"/>
    <mergeCell ref="C31:D31"/>
    <mergeCell ref="C79:D79"/>
    <mergeCell ref="C39:D39"/>
  </mergeCells>
  <pageMargins left="0.1968503937007874" right="0.07874015748031496" top="0.3937007874015748" bottom="0.3937007874015748" header="0" footer="0"/>
  <pageSetup orientation="portrait" paperSize="9"/>
  <rowBreaks count="1" manualBreakCount="1">
    <brk id="43" min="0" max="16383" man="1"/>
  </rowBreaks>
  <drawing r:id="rId1"/>
</worksheet>
</file>

<file path=xl/worksheets/sheet4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A1:G50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4" customWidth="1" min="4" max="4"/>
    <col width="18" customWidth="1" min="5" max="5"/>
    <col width="22" customWidth="1" min="6" max="6"/>
    <col width="4" customWidth="1" min="7" max="7"/>
  </cols>
  <sheetData>
    <row r="1" ht="30" customHeight="1">
      <c r="A1" s="60" t="inlineStr">
        <is>
          <t>Lehrgangsdokumentation</t>
        </is>
      </c>
    </row>
    <row r="2" ht="18" customHeight="1">
      <c r="A2" s="61" t="inlineStr">
        <is>
          <t>gem. Abschnitt 2.4.6 DGUV Grundsatz 304-001</t>
        </is>
      </c>
    </row>
    <row r="4" ht="22" customHeight="1">
      <c r="B4" s="62" t="inlineStr">
        <is>
          <t>Angaben zur Ausbildungsstelle</t>
        </is>
      </c>
    </row>
    <row r="5" ht="14" customHeight="1">
      <c r="B5" s="63" t="inlineStr">
        <is>
          <t>Bezeichnung</t>
        </is>
      </c>
    </row>
    <row r="6" ht="20" customHeight="1">
      <c r="B6" s="64" t="inlineStr">
        <is>
          <t>Mercedes-Benz AG</t>
        </is>
      </c>
      <c r="E6" s="65" t="inlineStr">
        <is>
          <t>QSEH-Kennziffer:</t>
        </is>
      </c>
      <c r="F6" s="64">
        <f>Teilnehmer!F5</f>
        <v/>
      </c>
    </row>
    <row r="8" ht="14" customHeight="1">
      <c r="B8" s="63" t="inlineStr">
        <is>
          <t>Straße / Hausnr.</t>
        </is>
      </c>
    </row>
    <row r="9" ht="20" customHeight="1">
      <c r="B9" s="64" t="inlineStr">
        <is>
          <t>Mercedesstr. 1</t>
        </is>
      </c>
    </row>
    <row r="11" ht="14" customHeight="1">
      <c r="B11" s="63" t="inlineStr">
        <is>
          <t>PLZ / Ort</t>
        </is>
      </c>
    </row>
    <row r="12" ht="20" customHeight="1">
      <c r="B12" s="64" t="inlineStr">
        <is>
          <t>76437 Rastatt</t>
        </is>
      </c>
    </row>
    <row r="14" ht="22" customHeight="1">
      <c r="B14" s="62" t="inlineStr">
        <is>
          <t>Angaben zum Seminar</t>
        </is>
      </c>
    </row>
    <row r="15" ht="20" customHeight="1">
      <c r="B15" s="66">
        <f>IF(Teilnehmer!F4="EH-Ausbildung","X","  ")&amp;" EH-Ausbildung       "&amp;IF(Teilnehmer!F4="EH-Fortbildung","X","  ")&amp;" EH-Fortbildung       "&amp;IF(Teilnehmer!F4="EH-Schulung","X","  ")&amp;" EH-Schulung"</f>
        <v/>
      </c>
    </row>
    <row r="17" ht="20" customHeight="1">
      <c r="B17" s="65" t="inlineStr">
        <is>
          <t>Registriernummer:</t>
        </is>
      </c>
      <c r="C17" s="64">
        <f>Teilnehmer!C5</f>
        <v/>
      </c>
      <c r="E17" s="65" t="inlineStr">
        <is>
          <t>Lehrgangsort:</t>
        </is>
      </c>
      <c r="F17" s="64" t="inlineStr">
        <is>
          <t>Mercedes-Benz AG, PKW-Werk Rastatt</t>
        </is>
      </c>
    </row>
    <row r="18" ht="14" customHeight="1">
      <c r="B18" s="63" t="inlineStr">
        <is>
          <t>(aus dem QSEH-Portal)</t>
        </is>
      </c>
      <c r="F18" s="63" t="inlineStr">
        <is>
          <t>Gebäude 39, Gesundheitszentrum 1.OG</t>
        </is>
      </c>
    </row>
    <row r="20" ht="20" customHeight="1">
      <c r="B20" s="65" t="inlineStr">
        <is>
          <t>Lehrgangsdatum:</t>
        </is>
      </c>
      <c r="C20" s="67">
        <f>Teilnehmer!C3</f>
        <v/>
      </c>
      <c r="E20" s="65" t="inlineStr">
        <is>
          <t>Uhrzeit:</t>
        </is>
      </c>
      <c r="F20" s="64">
        <f>"von "&amp;TEXT(Teilnehmer!F3,"HH:MM")&amp;" Uhr bis "&amp;TEXT(Teilnehmer!H3,"HH:MM")&amp;" Uhr"</f>
        <v/>
      </c>
    </row>
    <row r="22" ht="20" customHeight="1">
      <c r="B22" s="65" t="inlineStr">
        <is>
          <t>Name der Lehrkraft:</t>
        </is>
      </c>
      <c r="C22" s="64">
        <f>Teilnehmer!C4</f>
        <v/>
      </c>
    </row>
    <row r="24" ht="20" customHeight="1">
      <c r="B24" s="65" t="inlineStr">
        <is>
          <t>Verantwortlicher Arzt:</t>
        </is>
      </c>
      <c r="C24" s="64">
        <f>Teilnehmer!C7</f>
        <v/>
      </c>
    </row>
    <row r="26" ht="20" customHeight="1">
      <c r="B26" s="65" t="inlineStr">
        <is>
          <t>Masken-Charge:</t>
        </is>
      </c>
      <c r="C26" s="68">
        <f>Teilnehmer!C8</f>
        <v/>
      </c>
    </row>
    <row r="28" ht="22" customHeight="1">
      <c r="B28" s="62" t="inlineStr">
        <is>
          <t>Anzahl der Teilnehmenden</t>
        </is>
      </c>
    </row>
    <row r="30" ht="20" customHeight="1">
      <c r="B30" s="65" t="inlineStr">
        <is>
          <t>Gesamtanzahl der Teilnehmenden:</t>
        </is>
      </c>
      <c r="E30" s="69">
        <f>Teilnehmer!C32</f>
        <v/>
      </c>
    </row>
    <row r="31" ht="14" customHeight="1">
      <c r="B31" s="63" t="inlineStr">
        <is>
          <t>(entspricht der Anzahl der Teilnehmerdatenblätter)</t>
        </is>
      </c>
    </row>
    <row r="33" ht="20" customHeight="1">
      <c r="B33" s="65" t="inlineStr">
        <is>
          <t>davon betriebliche Ersthelfende:</t>
        </is>
      </c>
      <c r="E33" s="69">
        <f>Teilnehmer!E32</f>
        <v/>
      </c>
    </row>
    <row r="35" ht="22" customHeight="1">
      <c r="B35" s="62" t="inlineStr">
        <is>
          <t>Anlagen</t>
        </is>
      </c>
    </row>
    <row r="36" ht="16" customHeight="1">
      <c r="B36" s="66" t="inlineStr">
        <is>
          <t>Alle Teilnehmenden sind mit Namen, Vornamen, Geburtsdatum und Unterschrift zu erfassen. Für UVT-Teilnehmende sind zusätzlich der Name und die Anschrift des Arbeitgebers sowie der kostentragende UVT zu ergänzen. Dies kann durch einzelne Teilnehmerdatenblätter erfolgen.</t>
        </is>
      </c>
    </row>
    <row r="37" ht="16" customHeight="1"/>
    <row r="38" ht="16" customHeight="1"/>
    <row r="40" ht="16" customHeight="1">
      <c r="B40" s="66" t="inlineStr">
        <is>
          <t>Die Dokumentation ist fünf Jahre aufzubewahren und auf Anforderung dem Unfallversicherungsträger vorzulegen.</t>
        </is>
      </c>
    </row>
    <row r="42" ht="18" customHeight="1">
      <c r="B42" s="65" t="inlineStr">
        <is>
          <t>Für die Richtigkeit der Angaben:</t>
        </is>
      </c>
    </row>
    <row r="47" ht="18" customHeight="1">
      <c r="B47" s="70">
        <f>"Rastatt, "&amp;TEXT(Teilnehmer!C3,"DD.MM.YYYY")</f>
        <v/>
      </c>
      <c r="E47" s="70">
        <f>"Rastatt, "&amp;TEXT(Teilnehmer!C3,"DD.MM.YYYY")</f>
        <v/>
      </c>
    </row>
    <row r="48" ht="14" customHeight="1">
      <c r="B48" s="63" t="inlineStr">
        <is>
          <t>Ort, Datum     Unterschrift Lehrgangsleitung</t>
        </is>
      </c>
      <c r="E48" s="63" t="inlineStr">
        <is>
          <t>Ort, Datum     Unterschrift Ausbildungsstelle</t>
        </is>
      </c>
    </row>
    <row r="50" ht="14" customHeight="1">
      <c r="B50" s="71" t="inlineStr">
        <is>
          <t>Stand: 2026</t>
        </is>
      </c>
    </row>
  </sheetData>
  <mergeCells count="15">
    <mergeCell ref="B4:F4"/>
    <mergeCell ref="B33:D33"/>
    <mergeCell ref="B47:C47"/>
    <mergeCell ref="B48:C48"/>
    <mergeCell ref="A1:G1"/>
    <mergeCell ref="B15:F15"/>
    <mergeCell ref="B28:F28"/>
    <mergeCell ref="A2:G2"/>
    <mergeCell ref="B36:F38"/>
    <mergeCell ref="B30:D30"/>
    <mergeCell ref="B14:F14"/>
    <mergeCell ref="E48:F48"/>
    <mergeCell ref="B40:F40"/>
    <mergeCell ref="E47:F47"/>
    <mergeCell ref="B35:F35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7" t="inlineStr">
        <is>
          <t>Lehrkräfte</t>
        </is>
      </c>
    </row>
    <row r="2">
      <c r="A2" s="72" t="inlineStr">
        <is>
          <t>Putschler, Walter</t>
        </is>
      </c>
    </row>
    <row r="3">
      <c r="A3" s="72" t="inlineStr">
        <is>
          <t>Kaya, Michelle</t>
        </is>
      </c>
    </row>
    <row r="4">
      <c r="A4" s="72" t="inlineStr">
        <is>
          <t>Krempl, Elke</t>
        </is>
      </c>
    </row>
    <row r="5">
      <c r="A5" s="72" t="inlineStr">
        <is>
          <t>Breig, Bernd</t>
        </is>
      </c>
    </row>
    <row r="6">
      <c r="A6" s="72" t="inlineStr">
        <is>
          <t>Zuber, Harry</t>
        </is>
      </c>
    </row>
    <row r="7">
      <c r="A7" s="72" t="inlineStr">
        <is>
          <t>Jochim, Benjamin</t>
        </is>
      </c>
    </row>
    <row r="8">
      <c r="A8" s="72" t="inlineStr">
        <is>
          <t>Siebert, Emanuel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2026-02-17T18:32:46Z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24dbb1d-991d-4bbd-aad5-33bac1d8ffaf_Enabled" fmtid="{D5CDD505-2E9C-101B-9397-08002B2CF9AE}" pid="2">
    <vt:lpwstr>true</vt:lpwstr>
  </property>
  <property name="MSIP_Label_924dbb1d-991d-4bbd-aad5-33bac1d8ffaf_SetDate" fmtid="{D5CDD505-2E9C-101B-9397-08002B2CF9AE}" pid="3">
    <vt:lpwstr>2023-06-20T06:01:55Z</vt:lpwstr>
  </property>
  <property name="MSIP_Label_924dbb1d-991d-4bbd-aad5-33bac1d8ffaf_Method" fmtid="{D5CDD505-2E9C-101B-9397-08002B2CF9AE}" pid="4">
    <vt:lpwstr>Standard</vt:lpwstr>
  </property>
  <property name="MSIP_Label_924dbb1d-991d-4bbd-aad5-33bac1d8ffaf_Name" fmtid="{D5CDD505-2E9C-101B-9397-08002B2CF9AE}" pid="5">
    <vt:lpwstr>924dbb1d-991d-4bbd-aad5-33bac1d8ffaf</vt:lpwstr>
  </property>
  <property name="MSIP_Label_924dbb1d-991d-4bbd-aad5-33bac1d8ffaf_SiteId" fmtid="{D5CDD505-2E9C-101B-9397-08002B2CF9AE}" pid="6">
    <vt:lpwstr>9652d7c2-1ccf-4940-8151-4a92bd474ed0</vt:lpwstr>
  </property>
  <property name="MSIP_Label_924dbb1d-991d-4bbd-aad5-33bac1d8ffaf_ActionId" fmtid="{D5CDD505-2E9C-101B-9397-08002B2CF9AE}" pid="7">
    <vt:lpwstr>341db71f-0fce-40e1-94dc-a638117d7d9a</vt:lpwstr>
  </property>
  <property name="MSIP_Label_924dbb1d-991d-4bbd-aad5-33bac1d8ffaf_ContentBits" fmtid="{D5CDD505-2E9C-101B-9397-08002B2CF9AE}" pid="8">
    <vt:lpwstr>1</vt:lpwstr>
  </property>
  <property name="ContentTypeId" fmtid="{D5CDD505-2E9C-101B-9397-08002B2CF9AE}" pid="9">
    <vt:lpwstr>0x010100FF98BB8107C5E64E980BF2F3A611F9C4</vt:lpwstr>
  </property>
  <property name="MediaServiceImageTags" fmtid="{D5CDD505-2E9C-101B-9397-08002B2CF9AE}" pid="10">
    <vt:lpwstr/>
  </property>
</Properties>
</file>