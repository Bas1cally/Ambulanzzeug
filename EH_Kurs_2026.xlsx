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ehmer" sheetId="1" state="visible" r:id="rId1"/>
    <sheet xmlns:r="http://schemas.openxmlformats.org/officeDocument/2006/relationships" name="Bescheinigungen" sheetId="2" state="visible" r:id="rId2"/>
    <sheet xmlns:r="http://schemas.openxmlformats.org/officeDocument/2006/relationships" name="BG-Liste" sheetId="3" state="visible" r:id="rId3"/>
    <sheet xmlns:r="http://schemas.openxmlformats.org/officeDocument/2006/relationships" name="Lehrgangsdoku" sheetId="4" state="visible" r:id="rId4"/>
    <sheet xmlns:r="http://schemas.openxmlformats.org/officeDocument/2006/relationships" name="Hilfslisten" sheetId="5" state="visible" r:id="rId5"/>
  </sheets>
  <definedNames>
    <definedName name="Lehrkraefte">Hilfslisten!$A$2:$A$20</definedName>
    <definedName name="_xlnm.Print_Area" localSheetId="2">'BG-Liste'!$A$1:$E$86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FFFFFF"/>
      <sz val="16"/>
    </font>
    <font>
      <name val="Calibri"/>
      <b val="1"/>
      <color rgb="00333333"/>
      <sz val="10"/>
    </font>
    <font>
      <name val="Calibri"/>
      <color rgb="000F3460"/>
      <sz val="11"/>
    </font>
    <font>
      <name val="Calibri"/>
      <b val="1"/>
      <color rgb="000F3460"/>
      <sz val="14"/>
    </font>
    <font>
      <name val="Calibri"/>
      <b val="1"/>
      <color rgb="00000000"/>
      <sz val="12"/>
    </font>
    <font>
      <name val="Calibri"/>
      <color rgb="00000000"/>
      <sz val="9"/>
    </font>
    <font>
      <name val="Calibri"/>
      <color rgb="00000000"/>
      <sz val="12"/>
    </font>
    <font>
      <name val="Calibri"/>
      <b val="1"/>
      <color rgb="00000000"/>
      <sz val="11"/>
    </font>
    <font>
      <name val="Calibri"/>
      <color rgb="00000000"/>
      <sz val="7"/>
    </font>
    <font>
      <name val="Calibri"/>
      <color rgb="00000000"/>
      <sz val="24"/>
    </font>
    <font>
      <name val="Calibri"/>
      <color rgb="00000000"/>
      <sz val="20"/>
    </font>
    <font>
      <name val="Calibri"/>
      <color rgb="00000000"/>
      <sz val="18"/>
    </font>
    <font>
      <name val="Calibri"/>
      <color rgb="00000000"/>
      <sz val="11"/>
    </font>
    <font>
      <name val="Calibri"/>
      <b val="1"/>
      <color rgb="00000000"/>
      <sz val="14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2"/>
    </font>
    <font>
      <name val="Arial"/>
      <color rgb="00000000"/>
      <sz val="8"/>
    </font>
    <font>
      <name val="Arial"/>
      <color rgb="00000000"/>
      <sz val="12"/>
    </font>
    <font>
      <name val="Arial"/>
      <color rgb="00000000"/>
      <sz val="12"/>
      <u val="single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FFF9C4"/>
        <bgColor rgb="00FFF9C4"/>
      </patternFill>
    </fill>
    <fill>
      <patternFill patternType="solid">
        <fgColor rgb="00E8EAF6"/>
        <bgColor rgb="00E8EA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70D2A6"/>
      </right>
      <top style="medium">
        <color rgb="0070D2A6"/>
      </top>
      <bottom style="medium">
        <color rgb="0070D2A6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4" fontId="9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center"/>
    </xf>
    <xf numFmtId="0" fontId="13" fillId="0" borderId="0" pivotButton="0" quotePrefix="0" xfId="0"/>
    <xf numFmtId="49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4" fontId="13" fillId="0" borderId="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center" vertical="center"/>
    </xf>
    <xf numFmtId="49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74437" cy="204816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514422" cy="4277322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601481" cy="314369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810003" cy="2181529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401429" cy="238157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438211" cy="2486372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544324" cy="304843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410955" cy="47631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336332" cy="1086002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33474" cy="6049219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409897" cy="5296639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355385" cy="771633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381318" cy="2734057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6763694" cy="666843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00053" cy="1943371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90685" cy="314369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3877216" cy="876422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504895" cy="2162477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279174" cy="760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458493" cy="4727593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0470280" cy="255763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52421" cy="4242233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0918018" cy="258657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0813228" cy="275661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0565543" cy="550839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4316" cy="4196409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24000" cy="266737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374437" cy="2048161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14422" cy="4277322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601481" cy="314369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810003" cy="2181529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401429" cy="238157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438211" cy="2486372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5544324" cy="304843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5410955" cy="47631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336332" cy="1086002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33474" cy="6049219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409897" cy="5296639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355385" cy="771633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381318" cy="2734057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6763694" cy="666843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00053" cy="1943371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790685" cy="314369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3877216" cy="876422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504895" cy="2162477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279174" cy="760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458493" cy="4727593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0470280" cy="255763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152421" cy="4242233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0918018" cy="258657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0813228" cy="275661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0565543" cy="550839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4316" cy="4196409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724000" cy="266737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H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6" customWidth="1" min="4" max="4"/>
    <col width="18" customWidth="1" min="5" max="5"/>
    <col width="22" customWidth="1" min="6" max="6"/>
    <col width="8" customWidth="1" min="7" max="7"/>
    <col width="12" customWidth="1" min="8" max="8"/>
  </cols>
  <sheetData>
    <row r="1" ht="38" customHeight="1">
      <c r="A1" s="1" t="inlineStr">
        <is>
          <t>EH-Kurs – Teilnehmerliste 2026</t>
        </is>
      </c>
    </row>
    <row r="3" ht="22" customHeight="1">
      <c r="B3" s="2" t="inlineStr">
        <is>
          <t>Datum:</t>
        </is>
      </c>
      <c r="C3" s="3" t="n"/>
      <c r="E3" s="2" t="inlineStr">
        <is>
          <t>Beginn:</t>
        </is>
      </c>
      <c r="F3" s="4" t="n"/>
      <c r="G3" s="2" t="inlineStr">
        <is>
          <t>Ende:</t>
        </is>
      </c>
      <c r="H3" s="4" t="n"/>
    </row>
    <row r="4" ht="22" customHeight="1">
      <c r="B4" s="2" t="inlineStr">
        <is>
          <t>Lehrkraft:</t>
        </is>
      </c>
      <c r="C4" s="5" t="n"/>
      <c r="E4" s="2" t="inlineStr">
        <is>
          <t>Kursart:</t>
        </is>
      </c>
      <c r="F4" s="5" t="n"/>
    </row>
    <row r="5" ht="22" customHeight="1">
      <c r="B5" s="2" t="inlineStr">
        <is>
          <t>Registriernr.:</t>
        </is>
      </c>
      <c r="C5" s="5" t="n"/>
      <c r="E5" s="2" t="inlineStr">
        <is>
          <t>QSEH-Kennziffer:</t>
        </is>
      </c>
      <c r="F5" s="6" t="inlineStr">
        <is>
          <t>7.0103</t>
        </is>
      </c>
    </row>
    <row r="6" ht="22" customHeight="1">
      <c r="B6" s="2" t="inlineStr">
        <is>
          <t>Lehrgangsort:</t>
        </is>
      </c>
      <c r="C6" s="5" t="inlineStr">
        <is>
          <t>Mercedes-Benz AG, PKW-Werk Rastatt</t>
        </is>
      </c>
    </row>
    <row r="7" ht="22" customHeight="1">
      <c r="B7" s="2" t="inlineStr">
        <is>
          <t>Verantw. Arzt:</t>
        </is>
      </c>
      <c r="C7" s="6" t="inlineStr">
        <is>
          <t>Dr. Schmidt, Sabine</t>
        </is>
      </c>
      <c r="E7" s="2" t="inlineStr">
        <is>
          <t>Tel.:</t>
        </is>
      </c>
      <c r="F7" s="6" t="inlineStr">
        <is>
          <t>07222/91-22111</t>
        </is>
      </c>
    </row>
    <row r="8" ht="22" customHeight="1">
      <c r="B8" s="2" t="inlineStr">
        <is>
          <t>Masken-Charge:</t>
        </is>
      </c>
      <c r="C8" s="5" t="n"/>
    </row>
    <row r="10" ht="25" customHeight="1">
      <c r="A10" s="7" t="inlineStr">
        <is>
          <t>Nr</t>
        </is>
      </c>
      <c r="B10" s="7" t="inlineStr">
        <is>
          <t>Nachname</t>
        </is>
      </c>
      <c r="C10" s="7" t="inlineStr">
        <is>
          <t>Vorname</t>
        </is>
      </c>
      <c r="D10" s="7" t="inlineStr">
        <is>
          <t>Geburtsdatum</t>
        </is>
      </c>
      <c r="E10" s="7" t="inlineStr">
        <is>
          <t>Ersthelfer (x)</t>
        </is>
      </c>
    </row>
    <row r="11" ht="22" customHeight="1">
      <c r="A11" s="8" t="n">
        <v>1</v>
      </c>
      <c r="B11" s="9" t="n"/>
      <c r="C11" s="9" t="n"/>
      <c r="D11" s="10" t="n"/>
      <c r="E11" s="11" t="n"/>
    </row>
    <row r="12" ht="22" customHeight="1">
      <c r="A12" s="12" t="n">
        <v>2</v>
      </c>
      <c r="B12" s="13" t="n"/>
      <c r="C12" s="13" t="n"/>
      <c r="D12" s="14" t="n"/>
      <c r="E12" s="15" t="n"/>
    </row>
    <row r="13" ht="22" customHeight="1">
      <c r="A13" s="8" t="n">
        <v>3</v>
      </c>
      <c r="B13" s="9" t="n"/>
      <c r="C13" s="9" t="n"/>
      <c r="D13" s="10" t="n"/>
      <c r="E13" s="11" t="n"/>
    </row>
    <row r="14" ht="22" customHeight="1">
      <c r="A14" s="12" t="n">
        <v>4</v>
      </c>
      <c r="B14" s="13" t="n"/>
      <c r="C14" s="13" t="n"/>
      <c r="D14" s="14" t="n"/>
      <c r="E14" s="15" t="n"/>
    </row>
    <row r="15" ht="22" customHeight="1">
      <c r="A15" s="8" t="n">
        <v>5</v>
      </c>
      <c r="B15" s="9" t="n"/>
      <c r="C15" s="9" t="n"/>
      <c r="D15" s="10" t="n"/>
      <c r="E15" s="11" t="n"/>
    </row>
    <row r="16" ht="22" customHeight="1">
      <c r="A16" s="12" t="n">
        <v>6</v>
      </c>
      <c r="B16" s="13" t="n"/>
      <c r="C16" s="13" t="n"/>
      <c r="D16" s="14" t="n"/>
      <c r="E16" s="15" t="n"/>
    </row>
    <row r="17" ht="22" customHeight="1">
      <c r="A17" s="8" t="n">
        <v>7</v>
      </c>
      <c r="B17" s="9" t="n"/>
      <c r="C17" s="9" t="n"/>
      <c r="D17" s="10" t="n"/>
      <c r="E17" s="11" t="n"/>
    </row>
    <row r="18" ht="22" customHeight="1">
      <c r="A18" s="12" t="n">
        <v>8</v>
      </c>
      <c r="B18" s="13" t="n"/>
      <c r="C18" s="13" t="n"/>
      <c r="D18" s="14" t="n"/>
      <c r="E18" s="15" t="n"/>
    </row>
    <row r="19" ht="22" customHeight="1">
      <c r="A19" s="8" t="n">
        <v>9</v>
      </c>
      <c r="B19" s="9" t="n"/>
      <c r="C19" s="9" t="n"/>
      <c r="D19" s="10" t="n"/>
      <c r="E19" s="11" t="n"/>
    </row>
    <row r="20" ht="22" customHeight="1">
      <c r="A20" s="12" t="n">
        <v>10</v>
      </c>
      <c r="B20" s="13" t="n"/>
      <c r="C20" s="13" t="n"/>
      <c r="D20" s="14" t="n"/>
      <c r="E20" s="15" t="n"/>
    </row>
    <row r="21" ht="22" customHeight="1">
      <c r="A21" s="8" t="n">
        <v>11</v>
      </c>
      <c r="B21" s="9" t="n"/>
      <c r="C21" s="9" t="n"/>
      <c r="D21" s="10" t="n"/>
      <c r="E21" s="11" t="n"/>
    </row>
    <row r="22" ht="22" customHeight="1">
      <c r="A22" s="12" t="n">
        <v>12</v>
      </c>
      <c r="B22" s="13" t="n"/>
      <c r="C22" s="13" t="n"/>
      <c r="D22" s="14" t="n"/>
      <c r="E22" s="15" t="n"/>
    </row>
    <row r="23" ht="22" customHeight="1">
      <c r="A23" s="8" t="n">
        <v>13</v>
      </c>
      <c r="B23" s="9" t="n"/>
      <c r="C23" s="9" t="n"/>
      <c r="D23" s="10" t="n"/>
      <c r="E23" s="11" t="n"/>
    </row>
    <row r="24" ht="22" customHeight="1">
      <c r="A24" s="12" t="n">
        <v>14</v>
      </c>
      <c r="B24" s="13" t="n"/>
      <c r="C24" s="13" t="n"/>
      <c r="D24" s="14" t="n"/>
      <c r="E24" s="15" t="n"/>
    </row>
    <row r="25" ht="22" customHeight="1">
      <c r="A25" s="8" t="n">
        <v>15</v>
      </c>
      <c r="B25" s="9" t="n"/>
      <c r="C25" s="9" t="n"/>
      <c r="D25" s="10" t="n"/>
      <c r="E25" s="11" t="n"/>
    </row>
    <row r="26" ht="22" customHeight="1">
      <c r="A26" s="12" t="n">
        <v>16</v>
      </c>
      <c r="B26" s="13" t="n"/>
      <c r="C26" s="13" t="n"/>
      <c r="D26" s="14" t="n"/>
      <c r="E26" s="15" t="n"/>
    </row>
    <row r="27" ht="22" customHeight="1">
      <c r="A27" s="8" t="n">
        <v>17</v>
      </c>
      <c r="B27" s="9" t="n"/>
      <c r="C27" s="9" t="n"/>
      <c r="D27" s="10" t="n"/>
      <c r="E27" s="11" t="n"/>
    </row>
    <row r="28" ht="22" customHeight="1">
      <c r="A28" s="12" t="n">
        <v>18</v>
      </c>
      <c r="B28" s="13" t="n"/>
      <c r="C28" s="13" t="n"/>
      <c r="D28" s="14" t="n"/>
      <c r="E28" s="15" t="n"/>
    </row>
    <row r="29" ht="22" customHeight="1">
      <c r="A29" s="8" t="n">
        <v>19</v>
      </c>
      <c r="B29" s="9" t="n"/>
      <c r="C29" s="9" t="n"/>
      <c r="D29" s="10" t="n"/>
      <c r="E29" s="11" t="n"/>
    </row>
    <row r="30" ht="22" customHeight="1">
      <c r="A30" s="12" t="n">
        <v>20</v>
      </c>
      <c r="B30" s="13" t="n"/>
      <c r="C30" s="13" t="n"/>
      <c r="D30" s="14" t="n"/>
      <c r="E30" s="15" t="n"/>
    </row>
    <row r="32" ht="25" customHeight="1">
      <c r="B32" s="2" t="inlineStr">
        <is>
          <t>Gesamtanzahl:</t>
        </is>
      </c>
      <c r="C32" s="16">
        <f>COUNTA(B11:B30)</f>
        <v/>
      </c>
      <c r="D32" s="2" t="inlineStr">
        <is>
          <t>davon Ersthelfer:</t>
        </is>
      </c>
      <c r="E32" s="16">
        <f>COUNTIF(E11:E30,"x")</f>
        <v/>
      </c>
    </row>
  </sheetData>
  <mergeCells count="2">
    <mergeCell ref="C6:E6"/>
    <mergeCell ref="A1:H1"/>
  </mergeCells>
  <conditionalFormatting sqref="B11:B30">
    <cfRule type="expression" priority="1" dxfId="0">
      <formula>AND($B11="",$C11&lt;&gt;"")</formula>
    </cfRule>
  </conditionalFormatting>
  <conditionalFormatting sqref="C11:C30">
    <cfRule type="expression" priority="2" dxfId="0">
      <formula>AND($C11="",$B11&lt;&gt;"")</formula>
    </cfRule>
  </conditionalFormatting>
  <dataValidations count="3">
    <dataValidation sqref="C4" showDropDown="0" showInputMessage="0" showErrorMessage="0" allowBlank="1" type="list">
      <formula1>=Lehrkraefte</formula1>
    </dataValidation>
    <dataValidation sqref="F4" showDropDown="0" showInputMessage="0" showErrorMessage="0" allowBlank="1" type="list">
      <formula1>"EH-Ausbildung,EH-Fortbildung,EH-Schulung"</formula1>
    </dataValidation>
    <dataValidation sqref="E11:E30" showDropDown="0" showInputMessage="0" showErrorMessage="0" allowBlank="1" type="list">
      <formula1>"x"</formula1>
    </dataValidation>
  </dataValidations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2:O29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4" customWidth="1" min="5" max="5"/>
    <col width="16" customWidth="1" min="6" max="6"/>
    <col width="16" customWidth="1" min="7" max="7"/>
    <col width="3" customWidth="1" min="8" max="8"/>
    <col width="18" customWidth="1" min="9" max="9"/>
    <col width="16" customWidth="1" min="10" max="10"/>
    <col width="16" customWidth="1" min="11" max="11"/>
    <col width="10" customWidth="1" min="12" max="12"/>
    <col width="14" customWidth="1" min="13" max="13"/>
    <col width="16" customWidth="1" min="14" max="14"/>
    <col width="16" customWidth="1" min="15" max="15"/>
  </cols>
  <sheetData>
    <row r="1" ht="14.25" customHeight="1"/>
    <row r="2" ht="14.25" customHeight="1">
      <c r="A2" s="17">
        <f>IF(Teilnehmer!B11&lt;&gt;"",Teilnehmer!B11,"")</f>
        <v/>
      </c>
      <c r="C2" s="17">
        <f>IF(Teilnehmer!B11&lt;&gt;"",Teilnehmer!C11,"")</f>
        <v/>
      </c>
      <c r="E2" s="18" t="inlineStr">
        <is>
          <t>geb. am:</t>
        </is>
      </c>
      <c r="F2" s="19">
        <f>IF(Teilnehmer!B11&lt;&gt;"",Teilnehmer!D11,"")</f>
        <v/>
      </c>
      <c r="I2" s="17">
        <f>IF(Teilnehmer!B12&lt;&gt;"",Teilnehmer!B12,"")</f>
        <v/>
      </c>
      <c r="K2" s="17">
        <f>IF(Teilnehmer!B12&lt;&gt;"",Teilnehmer!C12,"")</f>
        <v/>
      </c>
      <c r="M2" s="18" t="inlineStr">
        <is>
          <t>geb. am:</t>
        </is>
      </c>
      <c r="N2" s="19">
        <f>IF(Teilnehmer!B12&lt;&gt;"",Teilnehmer!D12,"")</f>
        <v/>
      </c>
    </row>
    <row r="3" ht="14.25" customHeight="1">
      <c r="A3" s="20" t="inlineStr">
        <is>
          <t>Name</t>
        </is>
      </c>
      <c r="C3" s="20" t="inlineStr">
        <is>
          <t>Vorname</t>
        </is>
      </c>
      <c r="I3" s="20" t="inlineStr">
        <is>
          <t>Name</t>
        </is>
      </c>
      <c r="K3" s="20" t="inlineStr">
        <is>
          <t>Vorname</t>
        </is>
      </c>
    </row>
    <row r="4" ht="14.25" customHeight="1"/>
    <row r="5" ht="14.25" customHeight="1">
      <c r="A5" s="21" t="inlineStr">
        <is>
          <t>hat an dem 9 Unterrichtseinheiten (Nettounterrichtszeit 9 x 45 Minuten) umfassenden Lehrgang</t>
        </is>
      </c>
      <c r="I5" s="21" t="inlineStr">
        <is>
          <t>hat an dem 9 Unterrichtseinheiten (Nettounterrichtszeit 9 x 45 Minuten) umfassenden Lehrgang</t>
        </is>
      </c>
    </row>
    <row r="6" ht="14.25" customHeight="1"/>
    <row r="7" ht="14.25" customHeight="1">
      <c r="A7" s="22" t="inlineStr">
        <is>
          <t>am</t>
        </is>
      </c>
      <c r="B7" s="19">
        <f>Teilnehmer!C3</f>
        <v/>
      </c>
      <c r="C7" s="23" t="inlineStr">
        <is>
          <t>in der Zeit von</t>
        </is>
      </c>
      <c r="D7" s="24">
        <f>Teilnehmer!F3</f>
        <v/>
      </c>
      <c r="E7" s="23" t="inlineStr">
        <is>
          <t>Uhr bis</t>
        </is>
      </c>
      <c r="F7" s="24">
        <f>Teilnehmer!H3</f>
        <v/>
      </c>
      <c r="G7" s="22" t="inlineStr">
        <is>
          <t>Uhr</t>
        </is>
      </c>
      <c r="I7" s="22" t="inlineStr">
        <is>
          <t>am</t>
        </is>
      </c>
      <c r="J7" s="19">
        <f>Teilnehmer!C3</f>
        <v/>
      </c>
      <c r="K7" s="23" t="inlineStr">
        <is>
          <t>in der Zeit von</t>
        </is>
      </c>
      <c r="L7" s="24">
        <f>Teilnehmer!F3</f>
        <v/>
      </c>
      <c r="M7" s="23" t="inlineStr">
        <is>
          <t>Uhr bis</t>
        </is>
      </c>
      <c r="N7" s="24">
        <f>Teilnehmer!H3</f>
        <v/>
      </c>
      <c r="O7" s="22" t="inlineStr">
        <is>
          <t>Uhr</t>
        </is>
      </c>
    </row>
    <row r="8" ht="14.25" customHeight="1"/>
    <row r="9" ht="14.25" customHeight="1">
      <c r="A9" s="22" t="inlineStr">
        <is>
          <t>unter der Leitung von</t>
        </is>
      </c>
      <c r="C9" s="25">
        <f>Teilnehmer!C4</f>
        <v/>
      </c>
      <c r="F9" s="22" t="inlineStr">
        <is>
          <t>erfolgreich teilgenommen.</t>
        </is>
      </c>
      <c r="I9" s="22" t="inlineStr">
        <is>
          <t>unter der Leitung von</t>
        </is>
      </c>
      <c r="K9" s="25">
        <f>Teilnehmer!C4</f>
        <v/>
      </c>
      <c r="N9" s="22" t="inlineStr">
        <is>
          <t>erfolgreich teilgenommen.</t>
        </is>
      </c>
    </row>
    <row r="10" ht="14.25" customHeight="1"/>
    <row r="11" ht="14.25" customHeight="1">
      <c r="A11" s="22" t="inlineStr">
        <is>
          <t>Teilnehmerunterlagen ausgehändigt:</t>
        </is>
      </c>
      <c r="E11" s="26" t="inlineStr">
        <is>
          <t>X</t>
        </is>
      </c>
      <c r="F11" s="22" t="inlineStr">
        <is>
          <t>ja</t>
        </is>
      </c>
      <c r="G11" s="22" t="inlineStr">
        <is>
          <t>nein</t>
        </is>
      </c>
      <c r="I11" s="22" t="inlineStr">
        <is>
          <t>Teilnehmerunterlagen ausgehändigt:</t>
        </is>
      </c>
      <c r="M11" s="26" t="inlineStr">
        <is>
          <t>X</t>
        </is>
      </c>
      <c r="N11" s="22" t="inlineStr">
        <is>
          <t>ja</t>
        </is>
      </c>
      <c r="O11" s="22" t="inlineStr">
        <is>
          <t>nein</t>
        </is>
      </c>
    </row>
    <row r="12" ht="14.25" customHeight="1"/>
    <row r="13" ht="14.25" customHeight="1"/>
    <row r="14" ht="14.25" customHeight="1">
      <c r="A14" s="27" t="inlineStr">
        <is>
          <t>Rastatt</t>
        </is>
      </c>
      <c r="B14" s="22" t="inlineStr">
        <is>
          <t>, den</t>
        </is>
      </c>
      <c r="C14" s="19">
        <f>Teilnehmer!C3</f>
        <v/>
      </c>
      <c r="I14" s="27" t="inlineStr">
        <is>
          <t>Rastatt</t>
        </is>
      </c>
      <c r="J14" s="22" t="inlineStr">
        <is>
          <t>, den</t>
        </is>
      </c>
      <c r="K14" s="19">
        <f>Teilnehmer!C3</f>
        <v/>
      </c>
    </row>
    <row r="15" ht="14.25" customHeight="1">
      <c r="A15" s="20" t="inlineStr">
        <is>
          <t>Ort</t>
        </is>
      </c>
      <c r="C15" s="20" t="inlineStr">
        <is>
          <t>Datum</t>
        </is>
      </c>
      <c r="E15" s="20" t="inlineStr">
        <is>
          <t>Unterschrift der Lehrkraft</t>
        </is>
      </c>
      <c r="I15" s="20" t="inlineStr">
        <is>
          <t>Ort</t>
        </is>
      </c>
      <c r="K15" s="20" t="inlineStr">
        <is>
          <t>Datum</t>
        </is>
      </c>
      <c r="M15" s="20" t="inlineStr">
        <is>
          <t>Unterschrift der Lehrkraft</t>
        </is>
      </c>
    </row>
    <row r="16" ht="14.25" customHeight="1"/>
    <row r="17" ht="14.25" customHeight="1"/>
    <row r="18" ht="14.25" customHeight="1">
      <c r="E18" s="20" t="inlineStr">
        <is>
          <t>Ausbildungsverantwortlicher</t>
        </is>
      </c>
      <c r="M18" s="20" t="inlineStr">
        <is>
          <t>Ausbildungsverantwortlicher</t>
        </is>
      </c>
    </row>
    <row r="19" ht="14.25" customHeight="1"/>
    <row r="20" ht="14.25" customHeight="1">
      <c r="A20" s="22" t="inlineStr">
        <is>
          <t>Name der ermächtigten Stelle:</t>
        </is>
      </c>
      <c r="D20" s="27" t="inlineStr">
        <is>
          <t>Mercedes-Benz AG, Werk Rastatt</t>
        </is>
      </c>
      <c r="I20" s="22" t="inlineStr">
        <is>
          <t>Name der ermächtigten Stelle:</t>
        </is>
      </c>
      <c r="L20" s="27" t="inlineStr">
        <is>
          <t>Mercedes-Benz AG, Werk Rastatt</t>
        </is>
      </c>
    </row>
    <row r="21" ht="14.25" customHeight="1"/>
    <row r="22" ht="14.25" customHeight="1">
      <c r="A22" s="22" t="inlineStr">
        <is>
          <t>Kennziffer der ermächtigten Stelle</t>
        </is>
      </c>
      <c r="I22" s="22" t="inlineStr">
        <is>
          <t>Kennziffer der ermächtigten Stelle</t>
        </is>
      </c>
    </row>
    <row r="23" ht="14.25" customHeight="1">
      <c r="A23" s="22" t="inlineStr">
        <is>
          <t>gemäß § 26 DGUV Vorschrift:</t>
        </is>
      </c>
      <c r="E23" s="27" t="inlineStr">
        <is>
          <t>7.0103</t>
        </is>
      </c>
      <c r="I23" s="22" t="inlineStr">
        <is>
          <t>gemäß § 26 DGUV Vorschrift:</t>
        </is>
      </c>
      <c r="M23" s="27" t="inlineStr">
        <is>
          <t>7.0103</t>
        </is>
      </c>
    </row>
    <row r="24" ht="14.25" customHeight="1"/>
    <row r="25" ht="14.25" customHeight="1">
      <c r="A25" s="22" t="inlineStr">
        <is>
          <t>Registriernummer der Schulung:</t>
        </is>
      </c>
      <c r="E25" s="27">
        <f>Teilnehmer!C5</f>
        <v/>
      </c>
      <c r="I25" s="22" t="inlineStr">
        <is>
          <t>Registriernummer der Schulung:</t>
        </is>
      </c>
      <c r="M25" s="27">
        <f>Teilnehmer!C5</f>
        <v/>
      </c>
    </row>
    <row r="26" ht="14.25" customHeight="1"/>
    <row r="27" ht="14.25" customHeight="1">
      <c r="A27" s="28" t="inlineStr">
        <is>
          <t>* Die Teilnahme an der Ausbildung in betrieblicher Erster Hilfe gilt als Schulung in Erster Hilfe gem. § 19 Fahrerlaubnis-</t>
        </is>
      </c>
      <c r="I27" s="28" t="inlineStr">
        <is>
          <t>* Die Teilnahme an der Ausbildung in betrieblicher Erster Hilfe gilt als Schulung in Erster Hilfe gem. § 19 Fahrerlaubnis-</t>
        </is>
      </c>
    </row>
    <row r="28" ht="14.25" customHeight="1">
      <c r="A28" s="28" t="inlineStr">
        <is>
          <t xml:space="preserve">   Verordnung (FeV).</t>
        </is>
      </c>
      <c r="I28" s="28" t="inlineStr">
        <is>
          <t xml:space="preserve">   Verordnung (FeV).</t>
        </is>
      </c>
    </row>
    <row r="29" ht="14.25" customHeight="1"/>
    <row r="30" ht="14.25" customHeight="1"/>
    <row r="31" ht="14.25" customHeight="1"/>
    <row r="32" ht="14.25" customHeight="1">
      <c r="A32" s="17">
        <f>IF(Teilnehmer!B13&lt;&gt;"",Teilnehmer!B13,"")</f>
        <v/>
      </c>
      <c r="C32" s="17">
        <f>IF(Teilnehmer!B13&lt;&gt;"",Teilnehmer!C13,"")</f>
        <v/>
      </c>
      <c r="E32" s="18" t="inlineStr">
        <is>
          <t>geb. am:</t>
        </is>
      </c>
      <c r="F32" s="19">
        <f>IF(Teilnehmer!B13&lt;&gt;"",Teilnehmer!D13,"")</f>
        <v/>
      </c>
      <c r="I32" s="17">
        <f>IF(Teilnehmer!B14&lt;&gt;"",Teilnehmer!B14,"")</f>
        <v/>
      </c>
      <c r="K32" s="17">
        <f>IF(Teilnehmer!B14&lt;&gt;"",Teilnehmer!C14,"")</f>
        <v/>
      </c>
      <c r="M32" s="18" t="inlineStr">
        <is>
          <t>geb. am:</t>
        </is>
      </c>
      <c r="N32" s="19">
        <f>IF(Teilnehmer!B14&lt;&gt;"",Teilnehmer!D14,"")</f>
        <v/>
      </c>
    </row>
    <row r="33" ht="14.25" customHeight="1">
      <c r="A33" s="20" t="inlineStr">
        <is>
          <t>Name</t>
        </is>
      </c>
      <c r="C33" s="20" t="inlineStr">
        <is>
          <t>Vorname</t>
        </is>
      </c>
      <c r="I33" s="20" t="inlineStr">
        <is>
          <t>Name</t>
        </is>
      </c>
      <c r="K33" s="20" t="inlineStr">
        <is>
          <t>Vorname</t>
        </is>
      </c>
    </row>
    <row r="34" ht="14.25" customHeight="1"/>
    <row r="35" ht="14.25" customHeight="1">
      <c r="A35" s="21" t="inlineStr">
        <is>
          <t>hat an dem 9 Unterrichtseinheiten (Nettounterrichtszeit 9 x 45 Minuten) umfassenden Lehrgang</t>
        </is>
      </c>
      <c r="I35" s="21" t="inlineStr">
        <is>
          <t>hat an dem 9 Unterrichtseinheiten (Nettounterrichtszeit 9 x 45 Minuten) umfassenden Lehrgang</t>
        </is>
      </c>
    </row>
    <row r="36" ht="14.25" customHeight="1"/>
    <row r="37" ht="14.25" customHeight="1">
      <c r="A37" s="22" t="inlineStr">
        <is>
          <t>am</t>
        </is>
      </c>
      <c r="B37" s="19">
        <f>Teilnehmer!C3</f>
        <v/>
      </c>
      <c r="C37" s="23" t="inlineStr">
        <is>
          <t>in der Zeit von</t>
        </is>
      </c>
      <c r="D37" s="24">
        <f>Teilnehmer!F3</f>
        <v/>
      </c>
      <c r="E37" s="23" t="inlineStr">
        <is>
          <t>Uhr bis</t>
        </is>
      </c>
      <c r="F37" s="24">
        <f>Teilnehmer!H3</f>
        <v/>
      </c>
      <c r="G37" s="22" t="inlineStr">
        <is>
          <t>Uhr</t>
        </is>
      </c>
      <c r="I37" s="22" t="inlineStr">
        <is>
          <t>am</t>
        </is>
      </c>
      <c r="J37" s="19">
        <f>Teilnehmer!C3</f>
        <v/>
      </c>
      <c r="K37" s="23" t="inlineStr">
        <is>
          <t>in der Zeit von</t>
        </is>
      </c>
      <c r="L37" s="24">
        <f>Teilnehmer!F3</f>
        <v/>
      </c>
      <c r="M37" s="23" t="inlineStr">
        <is>
          <t>Uhr bis</t>
        </is>
      </c>
      <c r="N37" s="24">
        <f>Teilnehmer!H3</f>
        <v/>
      </c>
      <c r="O37" s="22" t="inlineStr">
        <is>
          <t>Uhr</t>
        </is>
      </c>
    </row>
    <row r="38" ht="14.25" customHeight="1"/>
    <row r="39" ht="14.25" customHeight="1">
      <c r="A39" s="22" t="inlineStr">
        <is>
          <t>unter der Leitung von</t>
        </is>
      </c>
      <c r="C39" s="25">
        <f>Teilnehmer!C4</f>
        <v/>
      </c>
      <c r="F39" s="22" t="inlineStr">
        <is>
          <t>erfolgreich teilgenommen.</t>
        </is>
      </c>
      <c r="I39" s="22" t="inlineStr">
        <is>
          <t>unter der Leitung von</t>
        </is>
      </c>
      <c r="K39" s="25">
        <f>Teilnehmer!C4</f>
        <v/>
      </c>
      <c r="N39" s="22" t="inlineStr">
        <is>
          <t>erfolgreich teilgenommen.</t>
        </is>
      </c>
    </row>
    <row r="40" ht="14.25" customHeight="1"/>
    <row r="41" ht="14.25" customHeight="1">
      <c r="A41" s="22" t="inlineStr">
        <is>
          <t>Teilnehmerunterlagen ausgehändigt:</t>
        </is>
      </c>
      <c r="E41" s="26" t="inlineStr">
        <is>
          <t>X</t>
        </is>
      </c>
      <c r="F41" s="22" t="inlineStr">
        <is>
          <t>ja</t>
        </is>
      </c>
      <c r="G41" s="22" t="inlineStr">
        <is>
          <t>nein</t>
        </is>
      </c>
      <c r="I41" s="22" t="inlineStr">
        <is>
          <t>Teilnehmerunterlagen ausgehändigt:</t>
        </is>
      </c>
      <c r="M41" s="26" t="inlineStr">
        <is>
          <t>X</t>
        </is>
      </c>
      <c r="N41" s="22" t="inlineStr">
        <is>
          <t>ja</t>
        </is>
      </c>
      <c r="O41" s="22" t="inlineStr">
        <is>
          <t>nein</t>
        </is>
      </c>
    </row>
    <row r="42" ht="14.25" customHeight="1"/>
    <row r="43" ht="14.25" customHeight="1"/>
    <row r="44" ht="14.25" customHeight="1">
      <c r="A44" s="27" t="inlineStr">
        <is>
          <t>Rastatt</t>
        </is>
      </c>
      <c r="B44" s="22" t="inlineStr">
        <is>
          <t>, den</t>
        </is>
      </c>
      <c r="C44" s="19">
        <f>Teilnehmer!C3</f>
        <v/>
      </c>
      <c r="I44" s="27" t="inlineStr">
        <is>
          <t>Rastatt</t>
        </is>
      </c>
      <c r="J44" s="22" t="inlineStr">
        <is>
          <t>, den</t>
        </is>
      </c>
      <c r="K44" s="19">
        <f>Teilnehmer!C3</f>
        <v/>
      </c>
    </row>
    <row r="45" ht="14.25" customHeight="1">
      <c r="A45" s="20" t="inlineStr">
        <is>
          <t>Ort</t>
        </is>
      </c>
      <c r="C45" s="20" t="inlineStr">
        <is>
          <t>Datum</t>
        </is>
      </c>
      <c r="E45" s="20" t="inlineStr">
        <is>
          <t>Unterschrift der Lehrkraft</t>
        </is>
      </c>
      <c r="I45" s="20" t="inlineStr">
        <is>
          <t>Ort</t>
        </is>
      </c>
      <c r="K45" s="20" t="inlineStr">
        <is>
          <t>Datum</t>
        </is>
      </c>
      <c r="M45" s="20" t="inlineStr">
        <is>
          <t>Unterschrift der Lehrkraft</t>
        </is>
      </c>
    </row>
    <row r="46" ht="14.25" customHeight="1"/>
    <row r="47" ht="14.25" customHeight="1"/>
    <row r="48" ht="14.25" customHeight="1">
      <c r="E48" s="20" t="inlineStr">
        <is>
          <t>Ausbildungsverantwortlicher</t>
        </is>
      </c>
      <c r="M48" s="20" t="inlineStr">
        <is>
          <t>Ausbildungsverantwortlicher</t>
        </is>
      </c>
    </row>
    <row r="49" ht="14.25" customHeight="1"/>
    <row r="50" ht="14.25" customHeight="1">
      <c r="A50" s="22" t="inlineStr">
        <is>
          <t>Name der ermächtigten Stelle:</t>
        </is>
      </c>
      <c r="D50" s="27" t="inlineStr">
        <is>
          <t>Mercedes-Benz AG, Werk Rastatt</t>
        </is>
      </c>
      <c r="I50" s="22" t="inlineStr">
        <is>
          <t>Name der ermächtigten Stelle:</t>
        </is>
      </c>
      <c r="L50" s="27" t="inlineStr">
        <is>
          <t>Mercedes-Benz AG, Werk Rastatt</t>
        </is>
      </c>
    </row>
    <row r="51" ht="14.25" customHeight="1"/>
    <row r="52" ht="14.25" customHeight="1">
      <c r="A52" s="22" t="inlineStr">
        <is>
          <t>Kennziffer der ermächtigten Stelle</t>
        </is>
      </c>
      <c r="I52" s="22" t="inlineStr">
        <is>
          <t>Kennziffer der ermächtigten Stelle</t>
        </is>
      </c>
    </row>
    <row r="53" ht="14.25" customHeight="1">
      <c r="A53" s="22" t="inlineStr">
        <is>
          <t>gemäß § 26 DGUV Vorschrift:</t>
        </is>
      </c>
      <c r="E53" s="27" t="inlineStr">
        <is>
          <t>7.0103</t>
        </is>
      </c>
      <c r="I53" s="22" t="inlineStr">
        <is>
          <t>gemäß § 26 DGUV Vorschrift:</t>
        </is>
      </c>
      <c r="M53" s="27" t="inlineStr">
        <is>
          <t>7.0103</t>
        </is>
      </c>
    </row>
    <row r="54" ht="14.25" customHeight="1"/>
    <row r="55" ht="14.25" customHeight="1">
      <c r="A55" s="22" t="inlineStr">
        <is>
          <t>Registriernummer der Schulung:</t>
        </is>
      </c>
      <c r="E55" s="27">
        <f>Teilnehmer!C5</f>
        <v/>
      </c>
      <c r="I55" s="22" t="inlineStr">
        <is>
          <t>Registriernummer der Schulung:</t>
        </is>
      </c>
      <c r="M55" s="27">
        <f>Teilnehmer!C5</f>
        <v/>
      </c>
    </row>
    <row r="56" ht="14.25" customHeight="1"/>
    <row r="57" ht="14.25" customHeight="1">
      <c r="A57" s="28" t="inlineStr">
        <is>
          <t>* Die Teilnahme an der Ausbildung in betrieblicher Erster Hilfe gilt als Schulung in Erster Hilfe gem. § 19 Fahrerlaubnis-</t>
        </is>
      </c>
      <c r="I57" s="28" t="inlineStr">
        <is>
          <t>* Die Teilnahme an der Ausbildung in betrieblicher Erster Hilfe gilt als Schulung in Erster Hilfe gem. § 19 Fahrerlaubnis-</t>
        </is>
      </c>
    </row>
    <row r="58" ht="14.25" customHeight="1">
      <c r="A58" s="28" t="inlineStr">
        <is>
          <t xml:space="preserve">   Verordnung (FeV).</t>
        </is>
      </c>
      <c r="I58" s="28" t="inlineStr">
        <is>
          <t xml:space="preserve">   Verordnung (FeV).</t>
        </is>
      </c>
    </row>
    <row r="59" ht="14.25" customHeight="1"/>
    <row r="60" ht="14.25" customHeight="1"/>
    <row r="61" ht="14.25" customHeight="1"/>
    <row r="62" ht="14.25" customHeight="1">
      <c r="A62" s="17">
        <f>IF(Teilnehmer!B15&lt;&gt;"",Teilnehmer!B15,"")</f>
        <v/>
      </c>
      <c r="C62" s="17">
        <f>IF(Teilnehmer!B15&lt;&gt;"",Teilnehmer!C15,"")</f>
        <v/>
      </c>
      <c r="E62" s="18" t="inlineStr">
        <is>
          <t>geb. am:</t>
        </is>
      </c>
      <c r="F62" s="19">
        <f>IF(Teilnehmer!B15&lt;&gt;"",Teilnehmer!D15,"")</f>
        <v/>
      </c>
      <c r="I62" s="17">
        <f>IF(Teilnehmer!B16&lt;&gt;"",Teilnehmer!B16,"")</f>
        <v/>
      </c>
      <c r="K62" s="17">
        <f>IF(Teilnehmer!B16&lt;&gt;"",Teilnehmer!C16,"")</f>
        <v/>
      </c>
      <c r="M62" s="18" t="inlineStr">
        <is>
          <t>geb. am:</t>
        </is>
      </c>
      <c r="N62" s="19">
        <f>IF(Teilnehmer!B16&lt;&gt;"",Teilnehmer!D16,"")</f>
        <v/>
      </c>
    </row>
    <row r="63" ht="14.25" customHeight="1">
      <c r="A63" s="20" t="inlineStr">
        <is>
          <t>Name</t>
        </is>
      </c>
      <c r="C63" s="20" t="inlineStr">
        <is>
          <t>Vorname</t>
        </is>
      </c>
      <c r="I63" s="20" t="inlineStr">
        <is>
          <t>Name</t>
        </is>
      </c>
      <c r="K63" s="20" t="inlineStr">
        <is>
          <t>Vorname</t>
        </is>
      </c>
    </row>
    <row r="64" ht="14.25" customHeight="1"/>
    <row r="65" ht="14.25" customHeight="1">
      <c r="A65" s="21" t="inlineStr">
        <is>
          <t>hat an dem 9 Unterrichtseinheiten (Nettounterrichtszeit 9 x 45 Minuten) umfassenden Lehrgang</t>
        </is>
      </c>
      <c r="I65" s="21" t="inlineStr">
        <is>
          <t>hat an dem 9 Unterrichtseinheiten (Nettounterrichtszeit 9 x 45 Minuten) umfassenden Lehrgang</t>
        </is>
      </c>
    </row>
    <row r="66" ht="14.25" customHeight="1"/>
    <row r="67" ht="14.25" customHeight="1">
      <c r="A67" s="22" t="inlineStr">
        <is>
          <t>am</t>
        </is>
      </c>
      <c r="B67" s="19">
        <f>Teilnehmer!C3</f>
        <v/>
      </c>
      <c r="C67" s="23" t="inlineStr">
        <is>
          <t>in der Zeit von</t>
        </is>
      </c>
      <c r="D67" s="24">
        <f>Teilnehmer!F3</f>
        <v/>
      </c>
      <c r="E67" s="23" t="inlineStr">
        <is>
          <t>Uhr bis</t>
        </is>
      </c>
      <c r="F67" s="24">
        <f>Teilnehmer!H3</f>
        <v/>
      </c>
      <c r="G67" s="22" t="inlineStr">
        <is>
          <t>Uhr</t>
        </is>
      </c>
      <c r="I67" s="22" t="inlineStr">
        <is>
          <t>am</t>
        </is>
      </c>
      <c r="J67" s="19">
        <f>Teilnehmer!C3</f>
        <v/>
      </c>
      <c r="K67" s="23" t="inlineStr">
        <is>
          <t>in der Zeit von</t>
        </is>
      </c>
      <c r="L67" s="24">
        <f>Teilnehmer!F3</f>
        <v/>
      </c>
      <c r="M67" s="23" t="inlineStr">
        <is>
          <t>Uhr bis</t>
        </is>
      </c>
      <c r="N67" s="24">
        <f>Teilnehmer!H3</f>
        <v/>
      </c>
      <c r="O67" s="22" t="inlineStr">
        <is>
          <t>Uhr</t>
        </is>
      </c>
    </row>
    <row r="68" ht="14.25" customHeight="1"/>
    <row r="69" ht="14.25" customHeight="1">
      <c r="A69" s="22" t="inlineStr">
        <is>
          <t>unter der Leitung von</t>
        </is>
      </c>
      <c r="C69" s="25">
        <f>Teilnehmer!C4</f>
        <v/>
      </c>
      <c r="F69" s="22" t="inlineStr">
        <is>
          <t>erfolgreich teilgenommen.</t>
        </is>
      </c>
      <c r="I69" s="22" t="inlineStr">
        <is>
          <t>unter der Leitung von</t>
        </is>
      </c>
      <c r="K69" s="25">
        <f>Teilnehmer!C4</f>
        <v/>
      </c>
      <c r="N69" s="22" t="inlineStr">
        <is>
          <t>erfolgreich teilgenommen.</t>
        </is>
      </c>
    </row>
    <row r="70" ht="14.25" customHeight="1"/>
    <row r="71" ht="14.25" customHeight="1">
      <c r="A71" s="22" t="inlineStr">
        <is>
          <t>Teilnehmerunterlagen ausgehändigt:</t>
        </is>
      </c>
      <c r="E71" s="26" t="inlineStr">
        <is>
          <t>X</t>
        </is>
      </c>
      <c r="F71" s="22" t="inlineStr">
        <is>
          <t>ja</t>
        </is>
      </c>
      <c r="G71" s="22" t="inlineStr">
        <is>
          <t>nein</t>
        </is>
      </c>
      <c r="I71" s="22" t="inlineStr">
        <is>
          <t>Teilnehmerunterlagen ausgehändigt:</t>
        </is>
      </c>
      <c r="M71" s="26" t="inlineStr">
        <is>
          <t>X</t>
        </is>
      </c>
      <c r="N71" s="22" t="inlineStr">
        <is>
          <t>ja</t>
        </is>
      </c>
      <c r="O71" s="22" t="inlineStr">
        <is>
          <t>nein</t>
        </is>
      </c>
    </row>
    <row r="72" ht="14.25" customHeight="1"/>
    <row r="73" ht="14.25" customHeight="1"/>
    <row r="74" ht="14.25" customHeight="1">
      <c r="A74" s="27" t="inlineStr">
        <is>
          <t>Rastatt</t>
        </is>
      </c>
      <c r="B74" s="22" t="inlineStr">
        <is>
          <t>, den</t>
        </is>
      </c>
      <c r="C74" s="19">
        <f>Teilnehmer!C3</f>
        <v/>
      </c>
      <c r="I74" s="27" t="inlineStr">
        <is>
          <t>Rastatt</t>
        </is>
      </c>
      <c r="J74" s="22" t="inlineStr">
        <is>
          <t>, den</t>
        </is>
      </c>
      <c r="K74" s="19">
        <f>Teilnehmer!C3</f>
        <v/>
      </c>
    </row>
    <row r="75" ht="14.25" customHeight="1">
      <c r="A75" s="20" t="inlineStr">
        <is>
          <t>Ort</t>
        </is>
      </c>
      <c r="C75" s="20" t="inlineStr">
        <is>
          <t>Datum</t>
        </is>
      </c>
      <c r="E75" s="20" t="inlineStr">
        <is>
          <t>Unterschrift der Lehrkraft</t>
        </is>
      </c>
      <c r="I75" s="20" t="inlineStr">
        <is>
          <t>Ort</t>
        </is>
      </c>
      <c r="K75" s="20" t="inlineStr">
        <is>
          <t>Datum</t>
        </is>
      </c>
      <c r="M75" s="20" t="inlineStr">
        <is>
          <t>Unterschrift der Lehrkraft</t>
        </is>
      </c>
    </row>
    <row r="76" ht="14.25" customHeight="1"/>
    <row r="77" ht="14.25" customHeight="1"/>
    <row r="78" ht="14.25" customHeight="1">
      <c r="E78" s="20" t="inlineStr">
        <is>
          <t>Ausbildungsverantwortlicher</t>
        </is>
      </c>
      <c r="M78" s="20" t="inlineStr">
        <is>
          <t>Ausbildungsverantwortlicher</t>
        </is>
      </c>
    </row>
    <row r="79" ht="14.25" customHeight="1"/>
    <row r="80" ht="14.25" customHeight="1">
      <c r="A80" s="22" t="inlineStr">
        <is>
          <t>Name der ermächtigten Stelle:</t>
        </is>
      </c>
      <c r="D80" s="27" t="inlineStr">
        <is>
          <t>Mercedes-Benz AG, Werk Rastatt</t>
        </is>
      </c>
      <c r="I80" s="22" t="inlineStr">
        <is>
          <t>Name der ermächtigten Stelle:</t>
        </is>
      </c>
      <c r="L80" s="27" t="inlineStr">
        <is>
          <t>Mercedes-Benz AG, Werk Rastatt</t>
        </is>
      </c>
    </row>
    <row r="81" ht="14.25" customHeight="1"/>
    <row r="82" ht="14.25" customHeight="1">
      <c r="A82" s="22" t="inlineStr">
        <is>
          <t>Kennziffer der ermächtigten Stelle</t>
        </is>
      </c>
      <c r="I82" s="22" t="inlineStr">
        <is>
          <t>Kennziffer der ermächtigten Stelle</t>
        </is>
      </c>
    </row>
    <row r="83" ht="14.25" customHeight="1">
      <c r="A83" s="22" t="inlineStr">
        <is>
          <t>gemäß § 26 DGUV Vorschrift:</t>
        </is>
      </c>
      <c r="E83" s="27" t="inlineStr">
        <is>
          <t>7.0103</t>
        </is>
      </c>
      <c r="I83" s="22" t="inlineStr">
        <is>
          <t>gemäß § 26 DGUV Vorschrift:</t>
        </is>
      </c>
      <c r="M83" s="27" t="inlineStr">
        <is>
          <t>7.0103</t>
        </is>
      </c>
    </row>
    <row r="84" ht="14.25" customHeight="1"/>
    <row r="85" ht="14.25" customHeight="1">
      <c r="A85" s="22" t="inlineStr">
        <is>
          <t>Registriernummer der Schulung:</t>
        </is>
      </c>
      <c r="E85" s="27">
        <f>Teilnehmer!C5</f>
        <v/>
      </c>
      <c r="I85" s="22" t="inlineStr">
        <is>
          <t>Registriernummer der Schulung:</t>
        </is>
      </c>
      <c r="M85" s="27">
        <f>Teilnehmer!C5</f>
        <v/>
      </c>
    </row>
    <row r="86" ht="14.25" customHeight="1"/>
    <row r="87" ht="14.25" customHeight="1">
      <c r="A87" s="28" t="inlineStr">
        <is>
          <t>* Die Teilnahme an der Ausbildung in betrieblicher Erster Hilfe gilt als Schulung in Erster Hilfe gem. § 19 Fahrerlaubnis-</t>
        </is>
      </c>
      <c r="I87" s="28" t="inlineStr">
        <is>
          <t>* Die Teilnahme an der Ausbildung in betrieblicher Erster Hilfe gilt als Schulung in Erster Hilfe gem. § 19 Fahrerlaubnis-</t>
        </is>
      </c>
    </row>
    <row r="88" ht="14.25" customHeight="1">
      <c r="A88" s="28" t="inlineStr">
        <is>
          <t xml:space="preserve">   Verordnung (FeV).</t>
        </is>
      </c>
      <c r="I88" s="28" t="inlineStr">
        <is>
          <t xml:space="preserve">   Verordnung (FeV).</t>
        </is>
      </c>
    </row>
    <row r="89" ht="14.25" customHeight="1"/>
    <row r="90" ht="14.25" customHeight="1"/>
    <row r="91" ht="14.25" customHeight="1"/>
    <row r="92" ht="14.25" customHeight="1">
      <c r="A92" s="17">
        <f>IF(Teilnehmer!B17&lt;&gt;"",Teilnehmer!B17,"")</f>
        <v/>
      </c>
      <c r="C92" s="17">
        <f>IF(Teilnehmer!B17&lt;&gt;"",Teilnehmer!C17,"")</f>
        <v/>
      </c>
      <c r="E92" s="18" t="inlineStr">
        <is>
          <t>geb. am:</t>
        </is>
      </c>
      <c r="F92" s="19">
        <f>IF(Teilnehmer!B17&lt;&gt;"",Teilnehmer!D17,"")</f>
        <v/>
      </c>
      <c r="I92" s="17">
        <f>IF(Teilnehmer!B18&lt;&gt;"",Teilnehmer!B18,"")</f>
        <v/>
      </c>
      <c r="K92" s="17">
        <f>IF(Teilnehmer!B18&lt;&gt;"",Teilnehmer!C18,"")</f>
        <v/>
      </c>
      <c r="M92" s="18" t="inlineStr">
        <is>
          <t>geb. am:</t>
        </is>
      </c>
      <c r="N92" s="19">
        <f>IF(Teilnehmer!B18&lt;&gt;"",Teilnehmer!D18,"")</f>
        <v/>
      </c>
    </row>
    <row r="93" ht="14.25" customHeight="1">
      <c r="A93" s="20" t="inlineStr">
        <is>
          <t>Name</t>
        </is>
      </c>
      <c r="C93" s="20" t="inlineStr">
        <is>
          <t>Vorname</t>
        </is>
      </c>
      <c r="I93" s="20" t="inlineStr">
        <is>
          <t>Name</t>
        </is>
      </c>
      <c r="K93" s="20" t="inlineStr">
        <is>
          <t>Vorname</t>
        </is>
      </c>
    </row>
    <row r="94" ht="14.25" customHeight="1"/>
    <row r="95" ht="14.25" customHeight="1">
      <c r="A95" s="21" t="inlineStr">
        <is>
          <t>hat an dem 9 Unterrichtseinheiten (Nettounterrichtszeit 9 x 45 Minuten) umfassenden Lehrgang</t>
        </is>
      </c>
      <c r="I95" s="21" t="inlineStr">
        <is>
          <t>hat an dem 9 Unterrichtseinheiten (Nettounterrichtszeit 9 x 45 Minuten) umfassenden Lehrgang</t>
        </is>
      </c>
    </row>
    <row r="96" ht="14.25" customHeight="1"/>
    <row r="97" ht="14.25" customHeight="1">
      <c r="A97" s="22" t="inlineStr">
        <is>
          <t>am</t>
        </is>
      </c>
      <c r="B97" s="19">
        <f>Teilnehmer!C3</f>
        <v/>
      </c>
      <c r="C97" s="23" t="inlineStr">
        <is>
          <t>in der Zeit von</t>
        </is>
      </c>
      <c r="D97" s="24">
        <f>Teilnehmer!F3</f>
        <v/>
      </c>
      <c r="E97" s="23" t="inlineStr">
        <is>
          <t>Uhr bis</t>
        </is>
      </c>
      <c r="F97" s="24">
        <f>Teilnehmer!H3</f>
        <v/>
      </c>
      <c r="G97" s="22" t="inlineStr">
        <is>
          <t>Uhr</t>
        </is>
      </c>
      <c r="I97" s="22" t="inlineStr">
        <is>
          <t>am</t>
        </is>
      </c>
      <c r="J97" s="19">
        <f>Teilnehmer!C3</f>
        <v/>
      </c>
      <c r="K97" s="23" t="inlineStr">
        <is>
          <t>in der Zeit von</t>
        </is>
      </c>
      <c r="L97" s="24">
        <f>Teilnehmer!F3</f>
        <v/>
      </c>
      <c r="M97" s="23" t="inlineStr">
        <is>
          <t>Uhr bis</t>
        </is>
      </c>
      <c r="N97" s="24">
        <f>Teilnehmer!H3</f>
        <v/>
      </c>
      <c r="O97" s="22" t="inlineStr">
        <is>
          <t>Uhr</t>
        </is>
      </c>
    </row>
    <row r="98" ht="14.25" customHeight="1"/>
    <row r="99" ht="14.25" customHeight="1">
      <c r="A99" s="22" t="inlineStr">
        <is>
          <t>unter der Leitung von</t>
        </is>
      </c>
      <c r="C99" s="25">
        <f>Teilnehmer!C4</f>
        <v/>
      </c>
      <c r="F99" s="22" t="inlineStr">
        <is>
          <t>erfolgreich teilgenommen.</t>
        </is>
      </c>
      <c r="I99" s="22" t="inlineStr">
        <is>
          <t>unter der Leitung von</t>
        </is>
      </c>
      <c r="K99" s="25">
        <f>Teilnehmer!C4</f>
        <v/>
      </c>
      <c r="N99" s="22" t="inlineStr">
        <is>
          <t>erfolgreich teilgenommen.</t>
        </is>
      </c>
    </row>
    <row r="100" ht="14.25" customHeight="1"/>
    <row r="101" ht="14.25" customHeight="1">
      <c r="A101" s="22" t="inlineStr">
        <is>
          <t>Teilnehmerunterlagen ausgehändigt:</t>
        </is>
      </c>
      <c r="E101" s="26" t="inlineStr">
        <is>
          <t>X</t>
        </is>
      </c>
      <c r="F101" s="22" t="inlineStr">
        <is>
          <t>ja</t>
        </is>
      </c>
      <c r="G101" s="22" t="inlineStr">
        <is>
          <t>nein</t>
        </is>
      </c>
      <c r="I101" s="22" t="inlineStr">
        <is>
          <t>Teilnehmerunterlagen ausgehändigt:</t>
        </is>
      </c>
      <c r="M101" s="26" t="inlineStr">
        <is>
          <t>X</t>
        </is>
      </c>
      <c r="N101" s="22" t="inlineStr">
        <is>
          <t>ja</t>
        </is>
      </c>
      <c r="O101" s="22" t="inlineStr">
        <is>
          <t>nein</t>
        </is>
      </c>
    </row>
    <row r="102" ht="14.25" customHeight="1"/>
    <row r="103" ht="14.25" customHeight="1"/>
    <row r="104" ht="14.25" customHeight="1">
      <c r="A104" s="27" t="inlineStr">
        <is>
          <t>Rastatt</t>
        </is>
      </c>
      <c r="B104" s="22" t="inlineStr">
        <is>
          <t>, den</t>
        </is>
      </c>
      <c r="C104" s="19">
        <f>Teilnehmer!C3</f>
        <v/>
      </c>
      <c r="I104" s="27" t="inlineStr">
        <is>
          <t>Rastatt</t>
        </is>
      </c>
      <c r="J104" s="22" t="inlineStr">
        <is>
          <t>, den</t>
        </is>
      </c>
      <c r="K104" s="19">
        <f>Teilnehmer!C3</f>
        <v/>
      </c>
    </row>
    <row r="105" ht="14.25" customHeight="1">
      <c r="A105" s="20" t="inlineStr">
        <is>
          <t>Ort</t>
        </is>
      </c>
      <c r="C105" s="20" t="inlineStr">
        <is>
          <t>Datum</t>
        </is>
      </c>
      <c r="E105" s="20" t="inlineStr">
        <is>
          <t>Unterschrift der Lehrkraft</t>
        </is>
      </c>
      <c r="I105" s="20" t="inlineStr">
        <is>
          <t>Ort</t>
        </is>
      </c>
      <c r="K105" s="20" t="inlineStr">
        <is>
          <t>Datum</t>
        </is>
      </c>
      <c r="M105" s="20" t="inlineStr">
        <is>
          <t>Unterschrift der Lehrkraft</t>
        </is>
      </c>
    </row>
    <row r="106" ht="14.25" customHeight="1"/>
    <row r="107" ht="14.25" customHeight="1"/>
    <row r="108" ht="14.25" customHeight="1">
      <c r="E108" s="20" t="inlineStr">
        <is>
          <t>Ausbildungsverantwortlicher</t>
        </is>
      </c>
      <c r="M108" s="20" t="inlineStr">
        <is>
          <t>Ausbildungsverantwortlicher</t>
        </is>
      </c>
    </row>
    <row r="109" ht="14.25" customHeight="1"/>
    <row r="110" ht="14.25" customHeight="1">
      <c r="A110" s="22" t="inlineStr">
        <is>
          <t>Name der ermächtigten Stelle:</t>
        </is>
      </c>
      <c r="D110" s="27" t="inlineStr">
        <is>
          <t>Mercedes-Benz AG, Werk Rastatt</t>
        </is>
      </c>
      <c r="I110" s="22" t="inlineStr">
        <is>
          <t>Name der ermächtigten Stelle:</t>
        </is>
      </c>
      <c r="L110" s="27" t="inlineStr">
        <is>
          <t>Mercedes-Benz AG, Werk Rastatt</t>
        </is>
      </c>
    </row>
    <row r="111" ht="14.25" customHeight="1"/>
    <row r="112" ht="14.25" customHeight="1">
      <c r="A112" s="22" t="inlineStr">
        <is>
          <t>Kennziffer der ermächtigten Stelle</t>
        </is>
      </c>
      <c r="I112" s="22" t="inlineStr">
        <is>
          <t>Kennziffer der ermächtigten Stelle</t>
        </is>
      </c>
    </row>
    <row r="113" ht="14.25" customHeight="1">
      <c r="A113" s="22" t="inlineStr">
        <is>
          <t>gemäß § 26 DGUV Vorschrift:</t>
        </is>
      </c>
      <c r="E113" s="27" t="inlineStr">
        <is>
          <t>7.0103</t>
        </is>
      </c>
      <c r="I113" s="22" t="inlineStr">
        <is>
          <t>gemäß § 26 DGUV Vorschrift:</t>
        </is>
      </c>
      <c r="M113" s="27" t="inlineStr">
        <is>
          <t>7.0103</t>
        </is>
      </c>
    </row>
    <row r="114" ht="14.25" customHeight="1"/>
    <row r="115" ht="14.25" customHeight="1">
      <c r="A115" s="22" t="inlineStr">
        <is>
          <t>Registriernummer der Schulung:</t>
        </is>
      </c>
      <c r="E115" s="27">
        <f>Teilnehmer!C5</f>
        <v/>
      </c>
      <c r="I115" s="22" t="inlineStr">
        <is>
          <t>Registriernummer der Schulung:</t>
        </is>
      </c>
      <c r="M115" s="27">
        <f>Teilnehmer!C5</f>
        <v/>
      </c>
    </row>
    <row r="116" ht="14.25" customHeight="1"/>
    <row r="117" ht="14.25" customHeight="1">
      <c r="A117" s="28" t="inlineStr">
        <is>
          <t>* Die Teilnahme an der Ausbildung in betrieblicher Erster Hilfe gilt als Schulung in Erster Hilfe gem. § 19 Fahrerlaubnis-</t>
        </is>
      </c>
      <c r="I117" s="28" t="inlineStr">
        <is>
          <t>* Die Teilnahme an der Ausbildung in betrieblicher Erster Hilfe gilt als Schulung in Erster Hilfe gem. § 19 Fahrerlaubnis-</t>
        </is>
      </c>
    </row>
    <row r="118" ht="14.25" customHeight="1">
      <c r="A118" s="28" t="inlineStr">
        <is>
          <t xml:space="preserve">   Verordnung (FeV).</t>
        </is>
      </c>
      <c r="I118" s="28" t="inlineStr">
        <is>
          <t xml:space="preserve">   Verordnung (FeV).</t>
        </is>
      </c>
    </row>
    <row r="119" ht="14.25" customHeight="1"/>
    <row r="120" ht="14.25" customHeight="1"/>
    <row r="121" ht="14.25" customHeight="1"/>
    <row r="122" ht="14.25" customHeight="1">
      <c r="A122" s="17">
        <f>IF(Teilnehmer!B19&lt;&gt;"",Teilnehmer!B19,"")</f>
        <v/>
      </c>
      <c r="C122" s="17">
        <f>IF(Teilnehmer!B19&lt;&gt;"",Teilnehmer!C19,"")</f>
        <v/>
      </c>
      <c r="E122" s="18" t="inlineStr">
        <is>
          <t>geb. am:</t>
        </is>
      </c>
      <c r="F122" s="19">
        <f>IF(Teilnehmer!B19&lt;&gt;"",Teilnehmer!D19,"")</f>
        <v/>
      </c>
      <c r="I122" s="17">
        <f>IF(Teilnehmer!B20&lt;&gt;"",Teilnehmer!B20,"")</f>
        <v/>
      </c>
      <c r="K122" s="17">
        <f>IF(Teilnehmer!B20&lt;&gt;"",Teilnehmer!C20,"")</f>
        <v/>
      </c>
      <c r="M122" s="18" t="inlineStr">
        <is>
          <t>geb. am:</t>
        </is>
      </c>
      <c r="N122" s="19">
        <f>IF(Teilnehmer!B20&lt;&gt;"",Teilnehmer!D20,"")</f>
        <v/>
      </c>
    </row>
    <row r="123" ht="14.25" customHeight="1">
      <c r="A123" s="20" t="inlineStr">
        <is>
          <t>Name</t>
        </is>
      </c>
      <c r="C123" s="20" t="inlineStr">
        <is>
          <t>Vorname</t>
        </is>
      </c>
      <c r="I123" s="20" t="inlineStr">
        <is>
          <t>Name</t>
        </is>
      </c>
      <c r="K123" s="20" t="inlineStr">
        <is>
          <t>Vorname</t>
        </is>
      </c>
    </row>
    <row r="124" ht="14.25" customHeight="1"/>
    <row r="125" ht="14.25" customHeight="1">
      <c r="A125" s="21" t="inlineStr">
        <is>
          <t>hat an dem 9 Unterrichtseinheiten (Nettounterrichtszeit 9 x 45 Minuten) umfassenden Lehrgang</t>
        </is>
      </c>
      <c r="I125" s="21" t="inlineStr">
        <is>
          <t>hat an dem 9 Unterrichtseinheiten (Nettounterrichtszeit 9 x 45 Minuten) umfassenden Lehrgang</t>
        </is>
      </c>
    </row>
    <row r="126" ht="14.25" customHeight="1"/>
    <row r="127" ht="14.25" customHeight="1">
      <c r="A127" s="22" t="inlineStr">
        <is>
          <t>am</t>
        </is>
      </c>
      <c r="B127" s="19">
        <f>Teilnehmer!C3</f>
        <v/>
      </c>
      <c r="C127" s="23" t="inlineStr">
        <is>
          <t>in der Zeit von</t>
        </is>
      </c>
      <c r="D127" s="24">
        <f>Teilnehmer!F3</f>
        <v/>
      </c>
      <c r="E127" s="23" t="inlineStr">
        <is>
          <t>Uhr bis</t>
        </is>
      </c>
      <c r="F127" s="24">
        <f>Teilnehmer!H3</f>
        <v/>
      </c>
      <c r="G127" s="22" t="inlineStr">
        <is>
          <t>Uhr</t>
        </is>
      </c>
      <c r="I127" s="22" t="inlineStr">
        <is>
          <t>am</t>
        </is>
      </c>
      <c r="J127" s="19">
        <f>Teilnehmer!C3</f>
        <v/>
      </c>
      <c r="K127" s="23" t="inlineStr">
        <is>
          <t>in der Zeit von</t>
        </is>
      </c>
      <c r="L127" s="24">
        <f>Teilnehmer!F3</f>
        <v/>
      </c>
      <c r="M127" s="23" t="inlineStr">
        <is>
          <t>Uhr bis</t>
        </is>
      </c>
      <c r="N127" s="24">
        <f>Teilnehmer!H3</f>
        <v/>
      </c>
      <c r="O127" s="22" t="inlineStr">
        <is>
          <t>Uhr</t>
        </is>
      </c>
    </row>
    <row r="128" ht="14.25" customHeight="1"/>
    <row r="129" ht="14.25" customHeight="1">
      <c r="A129" s="22" t="inlineStr">
        <is>
          <t>unter der Leitung von</t>
        </is>
      </c>
      <c r="C129" s="25">
        <f>Teilnehmer!C4</f>
        <v/>
      </c>
      <c r="F129" s="22" t="inlineStr">
        <is>
          <t>erfolgreich teilgenommen.</t>
        </is>
      </c>
      <c r="I129" s="22" t="inlineStr">
        <is>
          <t>unter der Leitung von</t>
        </is>
      </c>
      <c r="K129" s="25">
        <f>Teilnehmer!C4</f>
        <v/>
      </c>
      <c r="N129" s="22" t="inlineStr">
        <is>
          <t>erfolgreich teilgenommen.</t>
        </is>
      </c>
    </row>
    <row r="130" ht="14.25" customHeight="1"/>
    <row r="131" ht="14.25" customHeight="1">
      <c r="A131" s="22" t="inlineStr">
        <is>
          <t>Teilnehmerunterlagen ausgehändigt:</t>
        </is>
      </c>
      <c r="E131" s="26" t="inlineStr">
        <is>
          <t>X</t>
        </is>
      </c>
      <c r="F131" s="22" t="inlineStr">
        <is>
          <t>ja</t>
        </is>
      </c>
      <c r="G131" s="22" t="inlineStr">
        <is>
          <t>nein</t>
        </is>
      </c>
      <c r="I131" s="22" t="inlineStr">
        <is>
          <t>Teilnehmerunterlagen ausgehändigt:</t>
        </is>
      </c>
      <c r="M131" s="26" t="inlineStr">
        <is>
          <t>X</t>
        </is>
      </c>
      <c r="N131" s="22" t="inlineStr">
        <is>
          <t>ja</t>
        </is>
      </c>
      <c r="O131" s="22" t="inlineStr">
        <is>
          <t>nein</t>
        </is>
      </c>
    </row>
    <row r="132" ht="14.25" customHeight="1"/>
    <row r="133" ht="14.25" customHeight="1"/>
    <row r="134" ht="14.25" customHeight="1">
      <c r="A134" s="27" t="inlineStr">
        <is>
          <t>Rastatt</t>
        </is>
      </c>
      <c r="B134" s="22" t="inlineStr">
        <is>
          <t>, den</t>
        </is>
      </c>
      <c r="C134" s="19">
        <f>Teilnehmer!C3</f>
        <v/>
      </c>
      <c r="I134" s="27" t="inlineStr">
        <is>
          <t>Rastatt</t>
        </is>
      </c>
      <c r="J134" s="22" t="inlineStr">
        <is>
          <t>, den</t>
        </is>
      </c>
      <c r="K134" s="19">
        <f>Teilnehmer!C3</f>
        <v/>
      </c>
    </row>
    <row r="135" ht="14.25" customHeight="1">
      <c r="A135" s="20" t="inlineStr">
        <is>
          <t>Ort</t>
        </is>
      </c>
      <c r="C135" s="20" t="inlineStr">
        <is>
          <t>Datum</t>
        </is>
      </c>
      <c r="E135" s="20" t="inlineStr">
        <is>
          <t>Unterschrift der Lehrkraft</t>
        </is>
      </c>
      <c r="I135" s="20" t="inlineStr">
        <is>
          <t>Ort</t>
        </is>
      </c>
      <c r="K135" s="20" t="inlineStr">
        <is>
          <t>Datum</t>
        </is>
      </c>
      <c r="M135" s="20" t="inlineStr">
        <is>
          <t>Unterschrift der Lehrkraft</t>
        </is>
      </c>
    </row>
    <row r="136" ht="14.25" customHeight="1"/>
    <row r="137" ht="14.25" customHeight="1"/>
    <row r="138" ht="14.25" customHeight="1">
      <c r="E138" s="20" t="inlineStr">
        <is>
          <t>Ausbildungsverantwortlicher</t>
        </is>
      </c>
      <c r="M138" s="20" t="inlineStr">
        <is>
          <t>Ausbildungsverantwortlicher</t>
        </is>
      </c>
    </row>
    <row r="139" ht="14.25" customHeight="1"/>
    <row r="140" ht="14.25" customHeight="1">
      <c r="A140" s="22" t="inlineStr">
        <is>
          <t>Name der ermächtigten Stelle:</t>
        </is>
      </c>
      <c r="D140" s="27" t="inlineStr">
        <is>
          <t>Mercedes-Benz AG, Werk Rastatt</t>
        </is>
      </c>
      <c r="I140" s="22" t="inlineStr">
        <is>
          <t>Name der ermächtigten Stelle:</t>
        </is>
      </c>
      <c r="L140" s="27" t="inlineStr">
        <is>
          <t>Mercedes-Benz AG, Werk Rastatt</t>
        </is>
      </c>
    </row>
    <row r="141" ht="14.25" customHeight="1"/>
    <row r="142" ht="14.25" customHeight="1">
      <c r="A142" s="22" t="inlineStr">
        <is>
          <t>Kennziffer der ermächtigten Stelle</t>
        </is>
      </c>
      <c r="I142" s="22" t="inlineStr">
        <is>
          <t>Kennziffer der ermächtigten Stelle</t>
        </is>
      </c>
    </row>
    <row r="143" ht="14.25" customHeight="1">
      <c r="A143" s="22" t="inlineStr">
        <is>
          <t>gemäß § 26 DGUV Vorschrift:</t>
        </is>
      </c>
      <c r="E143" s="27" t="inlineStr">
        <is>
          <t>7.0103</t>
        </is>
      </c>
      <c r="I143" s="22" t="inlineStr">
        <is>
          <t>gemäß § 26 DGUV Vorschrift:</t>
        </is>
      </c>
      <c r="M143" s="27" t="inlineStr">
        <is>
          <t>7.0103</t>
        </is>
      </c>
    </row>
    <row r="144" ht="14.25" customHeight="1"/>
    <row r="145" ht="14.25" customHeight="1">
      <c r="A145" s="22" t="inlineStr">
        <is>
          <t>Registriernummer der Schulung:</t>
        </is>
      </c>
      <c r="E145" s="27">
        <f>Teilnehmer!C5</f>
        <v/>
      </c>
      <c r="I145" s="22" t="inlineStr">
        <is>
          <t>Registriernummer der Schulung:</t>
        </is>
      </c>
      <c r="M145" s="27">
        <f>Teilnehmer!C5</f>
        <v/>
      </c>
    </row>
    <row r="146" ht="14.25" customHeight="1"/>
    <row r="147" ht="14.25" customHeight="1">
      <c r="A147" s="28" t="inlineStr">
        <is>
          <t>* Die Teilnahme an der Ausbildung in betrieblicher Erster Hilfe gilt als Schulung in Erster Hilfe gem. § 19 Fahrerlaubnis-</t>
        </is>
      </c>
      <c r="I147" s="28" t="inlineStr">
        <is>
          <t>* Die Teilnahme an der Ausbildung in betrieblicher Erster Hilfe gilt als Schulung in Erster Hilfe gem. § 19 Fahrerlaubnis-</t>
        </is>
      </c>
    </row>
    <row r="148" ht="14.25" customHeight="1">
      <c r="A148" s="28" t="inlineStr">
        <is>
          <t xml:space="preserve">   Verordnung (FeV).</t>
        </is>
      </c>
      <c r="I148" s="28" t="inlineStr">
        <is>
          <t xml:space="preserve">   Verordnung (FeV).</t>
        </is>
      </c>
    </row>
    <row r="149" ht="14.25" customHeight="1"/>
    <row r="150" ht="14.25" customHeight="1"/>
    <row r="151" ht="14.25" customHeight="1"/>
    <row r="152" ht="14.25" customHeight="1">
      <c r="A152" s="17">
        <f>IF(Teilnehmer!B21&lt;&gt;"",Teilnehmer!B21,"")</f>
        <v/>
      </c>
      <c r="C152" s="17">
        <f>IF(Teilnehmer!B21&lt;&gt;"",Teilnehmer!C21,"")</f>
        <v/>
      </c>
      <c r="E152" s="18" t="inlineStr">
        <is>
          <t>geb. am:</t>
        </is>
      </c>
      <c r="F152" s="19">
        <f>IF(Teilnehmer!B21&lt;&gt;"",Teilnehmer!D21,"")</f>
        <v/>
      </c>
      <c r="I152" s="17">
        <f>IF(Teilnehmer!B22&lt;&gt;"",Teilnehmer!B22,"")</f>
        <v/>
      </c>
      <c r="K152" s="17">
        <f>IF(Teilnehmer!B22&lt;&gt;"",Teilnehmer!C22,"")</f>
        <v/>
      </c>
      <c r="M152" s="18" t="inlineStr">
        <is>
          <t>geb. am:</t>
        </is>
      </c>
      <c r="N152" s="19">
        <f>IF(Teilnehmer!B22&lt;&gt;"",Teilnehmer!D22,"")</f>
        <v/>
      </c>
    </row>
    <row r="153" ht="14.25" customHeight="1">
      <c r="A153" s="20" t="inlineStr">
        <is>
          <t>Name</t>
        </is>
      </c>
      <c r="C153" s="20" t="inlineStr">
        <is>
          <t>Vorname</t>
        </is>
      </c>
      <c r="I153" s="20" t="inlineStr">
        <is>
          <t>Name</t>
        </is>
      </c>
      <c r="K153" s="20" t="inlineStr">
        <is>
          <t>Vorname</t>
        </is>
      </c>
    </row>
    <row r="154" ht="14.25" customHeight="1"/>
    <row r="155" ht="14.25" customHeight="1">
      <c r="A155" s="21" t="inlineStr">
        <is>
          <t>hat an dem 9 Unterrichtseinheiten (Nettounterrichtszeit 9 x 45 Minuten) umfassenden Lehrgang</t>
        </is>
      </c>
      <c r="I155" s="21" t="inlineStr">
        <is>
          <t>hat an dem 9 Unterrichtseinheiten (Nettounterrichtszeit 9 x 45 Minuten) umfassenden Lehrgang</t>
        </is>
      </c>
    </row>
    <row r="156" ht="14.25" customHeight="1"/>
    <row r="157" ht="14.25" customHeight="1">
      <c r="A157" s="22" t="inlineStr">
        <is>
          <t>am</t>
        </is>
      </c>
      <c r="B157" s="19">
        <f>Teilnehmer!C3</f>
        <v/>
      </c>
      <c r="C157" s="23" t="inlineStr">
        <is>
          <t>in der Zeit von</t>
        </is>
      </c>
      <c r="D157" s="24">
        <f>Teilnehmer!F3</f>
        <v/>
      </c>
      <c r="E157" s="23" t="inlineStr">
        <is>
          <t>Uhr bis</t>
        </is>
      </c>
      <c r="F157" s="24">
        <f>Teilnehmer!H3</f>
        <v/>
      </c>
      <c r="G157" s="22" t="inlineStr">
        <is>
          <t>Uhr</t>
        </is>
      </c>
      <c r="I157" s="22" t="inlineStr">
        <is>
          <t>am</t>
        </is>
      </c>
      <c r="J157" s="19">
        <f>Teilnehmer!C3</f>
        <v/>
      </c>
      <c r="K157" s="23" t="inlineStr">
        <is>
          <t>in der Zeit von</t>
        </is>
      </c>
      <c r="L157" s="24">
        <f>Teilnehmer!F3</f>
        <v/>
      </c>
      <c r="M157" s="23" t="inlineStr">
        <is>
          <t>Uhr bis</t>
        </is>
      </c>
      <c r="N157" s="24">
        <f>Teilnehmer!H3</f>
        <v/>
      </c>
      <c r="O157" s="22" t="inlineStr">
        <is>
          <t>Uhr</t>
        </is>
      </c>
    </row>
    <row r="158" ht="14.25" customHeight="1"/>
    <row r="159" ht="14.25" customHeight="1">
      <c r="A159" s="22" t="inlineStr">
        <is>
          <t>unter der Leitung von</t>
        </is>
      </c>
      <c r="C159" s="25">
        <f>Teilnehmer!C4</f>
        <v/>
      </c>
      <c r="F159" s="22" t="inlineStr">
        <is>
          <t>erfolgreich teilgenommen.</t>
        </is>
      </c>
      <c r="I159" s="22" t="inlineStr">
        <is>
          <t>unter der Leitung von</t>
        </is>
      </c>
      <c r="K159" s="25">
        <f>Teilnehmer!C4</f>
        <v/>
      </c>
      <c r="N159" s="22" t="inlineStr">
        <is>
          <t>erfolgreich teilgenommen.</t>
        </is>
      </c>
    </row>
    <row r="160" ht="14.25" customHeight="1"/>
    <row r="161" ht="14.25" customHeight="1">
      <c r="A161" s="22" t="inlineStr">
        <is>
          <t>Teilnehmerunterlagen ausgehändigt:</t>
        </is>
      </c>
      <c r="E161" s="26" t="inlineStr">
        <is>
          <t>X</t>
        </is>
      </c>
      <c r="F161" s="22" t="inlineStr">
        <is>
          <t>ja</t>
        </is>
      </c>
      <c r="G161" s="22" t="inlineStr">
        <is>
          <t>nein</t>
        </is>
      </c>
      <c r="I161" s="22" t="inlineStr">
        <is>
          <t>Teilnehmerunterlagen ausgehändigt:</t>
        </is>
      </c>
      <c r="M161" s="26" t="inlineStr">
        <is>
          <t>X</t>
        </is>
      </c>
      <c r="N161" s="22" t="inlineStr">
        <is>
          <t>ja</t>
        </is>
      </c>
      <c r="O161" s="22" t="inlineStr">
        <is>
          <t>nein</t>
        </is>
      </c>
    </row>
    <row r="162" ht="14.25" customHeight="1"/>
    <row r="163" ht="14.25" customHeight="1"/>
    <row r="164" ht="14.25" customHeight="1">
      <c r="A164" s="27" t="inlineStr">
        <is>
          <t>Rastatt</t>
        </is>
      </c>
      <c r="B164" s="22" t="inlineStr">
        <is>
          <t>, den</t>
        </is>
      </c>
      <c r="C164" s="19">
        <f>Teilnehmer!C3</f>
        <v/>
      </c>
      <c r="I164" s="27" t="inlineStr">
        <is>
          <t>Rastatt</t>
        </is>
      </c>
      <c r="J164" s="22" t="inlineStr">
        <is>
          <t>, den</t>
        </is>
      </c>
      <c r="K164" s="19">
        <f>Teilnehmer!C3</f>
        <v/>
      </c>
    </row>
    <row r="165" ht="14.25" customHeight="1">
      <c r="A165" s="20" t="inlineStr">
        <is>
          <t>Ort</t>
        </is>
      </c>
      <c r="C165" s="20" t="inlineStr">
        <is>
          <t>Datum</t>
        </is>
      </c>
      <c r="E165" s="20" t="inlineStr">
        <is>
          <t>Unterschrift der Lehrkraft</t>
        </is>
      </c>
      <c r="I165" s="20" t="inlineStr">
        <is>
          <t>Ort</t>
        </is>
      </c>
      <c r="K165" s="20" t="inlineStr">
        <is>
          <t>Datum</t>
        </is>
      </c>
      <c r="M165" s="20" t="inlineStr">
        <is>
          <t>Unterschrift der Lehrkraft</t>
        </is>
      </c>
    </row>
    <row r="166" ht="14.25" customHeight="1"/>
    <row r="167" ht="14.25" customHeight="1"/>
    <row r="168" ht="14.25" customHeight="1">
      <c r="E168" s="20" t="inlineStr">
        <is>
          <t>Ausbildungsverantwortlicher</t>
        </is>
      </c>
      <c r="M168" s="20" t="inlineStr">
        <is>
          <t>Ausbildungsverantwortlicher</t>
        </is>
      </c>
    </row>
    <row r="169" ht="14.25" customHeight="1"/>
    <row r="170" ht="14.25" customHeight="1">
      <c r="A170" s="22" t="inlineStr">
        <is>
          <t>Name der ermächtigten Stelle:</t>
        </is>
      </c>
      <c r="D170" s="27" t="inlineStr">
        <is>
          <t>Mercedes-Benz AG, Werk Rastatt</t>
        </is>
      </c>
      <c r="I170" s="22" t="inlineStr">
        <is>
          <t>Name der ermächtigten Stelle:</t>
        </is>
      </c>
      <c r="L170" s="27" t="inlineStr">
        <is>
          <t>Mercedes-Benz AG, Werk Rastatt</t>
        </is>
      </c>
    </row>
    <row r="171" ht="14.25" customHeight="1"/>
    <row r="172" ht="14.25" customHeight="1">
      <c r="A172" s="22" t="inlineStr">
        <is>
          <t>Kennziffer der ermächtigten Stelle</t>
        </is>
      </c>
      <c r="I172" s="22" t="inlineStr">
        <is>
          <t>Kennziffer der ermächtigten Stelle</t>
        </is>
      </c>
    </row>
    <row r="173" ht="14.25" customHeight="1">
      <c r="A173" s="22" t="inlineStr">
        <is>
          <t>gemäß § 26 DGUV Vorschrift:</t>
        </is>
      </c>
      <c r="E173" s="27" t="inlineStr">
        <is>
          <t>7.0103</t>
        </is>
      </c>
      <c r="I173" s="22" t="inlineStr">
        <is>
          <t>gemäß § 26 DGUV Vorschrift:</t>
        </is>
      </c>
      <c r="M173" s="27" t="inlineStr">
        <is>
          <t>7.0103</t>
        </is>
      </c>
    </row>
    <row r="174" ht="14.25" customHeight="1"/>
    <row r="175" ht="14.25" customHeight="1">
      <c r="A175" s="22" t="inlineStr">
        <is>
          <t>Registriernummer der Schulung:</t>
        </is>
      </c>
      <c r="E175" s="27">
        <f>Teilnehmer!C5</f>
        <v/>
      </c>
      <c r="I175" s="22" t="inlineStr">
        <is>
          <t>Registriernummer der Schulung:</t>
        </is>
      </c>
      <c r="M175" s="27">
        <f>Teilnehmer!C5</f>
        <v/>
      </c>
    </row>
    <row r="176" ht="14.25" customHeight="1"/>
    <row r="177" ht="14.25" customHeight="1">
      <c r="A177" s="28" t="inlineStr">
        <is>
          <t>* Die Teilnahme an der Ausbildung in betrieblicher Erster Hilfe gilt als Schulung in Erster Hilfe gem. § 19 Fahrerlaubnis-</t>
        </is>
      </c>
      <c r="I177" s="28" t="inlineStr">
        <is>
          <t>* Die Teilnahme an der Ausbildung in betrieblicher Erster Hilfe gilt als Schulung in Erster Hilfe gem. § 19 Fahrerlaubnis-</t>
        </is>
      </c>
    </row>
    <row r="178" ht="14.25" customHeight="1">
      <c r="A178" s="28" t="inlineStr">
        <is>
          <t xml:space="preserve">   Verordnung (FeV).</t>
        </is>
      </c>
      <c r="I178" s="28" t="inlineStr">
        <is>
          <t xml:space="preserve">   Verordnung (FeV).</t>
        </is>
      </c>
    </row>
    <row r="179" ht="14.25" customHeight="1"/>
    <row r="180" ht="14.25" customHeight="1"/>
    <row r="181" ht="14.25" customHeight="1"/>
    <row r="182" ht="14.25" customHeight="1">
      <c r="A182" s="17">
        <f>IF(Teilnehmer!B23&lt;&gt;"",Teilnehmer!B23,"")</f>
        <v/>
      </c>
      <c r="C182" s="17">
        <f>IF(Teilnehmer!B23&lt;&gt;"",Teilnehmer!C23,"")</f>
        <v/>
      </c>
      <c r="E182" s="18" t="inlineStr">
        <is>
          <t>geb. am:</t>
        </is>
      </c>
      <c r="F182" s="19">
        <f>IF(Teilnehmer!B23&lt;&gt;"",Teilnehmer!D23,"")</f>
        <v/>
      </c>
      <c r="I182" s="17">
        <f>IF(Teilnehmer!B24&lt;&gt;"",Teilnehmer!B24,"")</f>
        <v/>
      </c>
      <c r="K182" s="17">
        <f>IF(Teilnehmer!B24&lt;&gt;"",Teilnehmer!C24,"")</f>
        <v/>
      </c>
      <c r="M182" s="18" t="inlineStr">
        <is>
          <t>geb. am:</t>
        </is>
      </c>
      <c r="N182" s="19">
        <f>IF(Teilnehmer!B24&lt;&gt;"",Teilnehmer!D24,"")</f>
        <v/>
      </c>
    </row>
    <row r="183" ht="14.25" customHeight="1">
      <c r="A183" s="20" t="inlineStr">
        <is>
          <t>Name</t>
        </is>
      </c>
      <c r="C183" s="20" t="inlineStr">
        <is>
          <t>Vorname</t>
        </is>
      </c>
      <c r="I183" s="20" t="inlineStr">
        <is>
          <t>Name</t>
        </is>
      </c>
      <c r="K183" s="20" t="inlineStr">
        <is>
          <t>Vorname</t>
        </is>
      </c>
    </row>
    <row r="184" ht="14.25" customHeight="1"/>
    <row r="185" ht="14.25" customHeight="1">
      <c r="A185" s="21" t="inlineStr">
        <is>
          <t>hat an dem 9 Unterrichtseinheiten (Nettounterrichtszeit 9 x 45 Minuten) umfassenden Lehrgang</t>
        </is>
      </c>
      <c r="I185" s="21" t="inlineStr">
        <is>
          <t>hat an dem 9 Unterrichtseinheiten (Nettounterrichtszeit 9 x 45 Minuten) umfassenden Lehrgang</t>
        </is>
      </c>
    </row>
    <row r="186" ht="14.25" customHeight="1"/>
    <row r="187" ht="14.25" customHeight="1">
      <c r="A187" s="22" t="inlineStr">
        <is>
          <t>am</t>
        </is>
      </c>
      <c r="B187" s="19">
        <f>Teilnehmer!C3</f>
        <v/>
      </c>
      <c r="C187" s="23" t="inlineStr">
        <is>
          <t>in der Zeit von</t>
        </is>
      </c>
      <c r="D187" s="24">
        <f>Teilnehmer!F3</f>
        <v/>
      </c>
      <c r="E187" s="23" t="inlineStr">
        <is>
          <t>Uhr bis</t>
        </is>
      </c>
      <c r="F187" s="24">
        <f>Teilnehmer!H3</f>
        <v/>
      </c>
      <c r="G187" s="22" t="inlineStr">
        <is>
          <t>Uhr</t>
        </is>
      </c>
      <c r="I187" s="22" t="inlineStr">
        <is>
          <t>am</t>
        </is>
      </c>
      <c r="J187" s="19">
        <f>Teilnehmer!C3</f>
        <v/>
      </c>
      <c r="K187" s="23" t="inlineStr">
        <is>
          <t>in der Zeit von</t>
        </is>
      </c>
      <c r="L187" s="24">
        <f>Teilnehmer!F3</f>
        <v/>
      </c>
      <c r="M187" s="23" t="inlineStr">
        <is>
          <t>Uhr bis</t>
        </is>
      </c>
      <c r="N187" s="24">
        <f>Teilnehmer!H3</f>
        <v/>
      </c>
      <c r="O187" s="22" t="inlineStr">
        <is>
          <t>Uhr</t>
        </is>
      </c>
    </row>
    <row r="188" ht="14.25" customHeight="1"/>
    <row r="189" ht="14.25" customHeight="1">
      <c r="A189" s="22" t="inlineStr">
        <is>
          <t>unter der Leitung von</t>
        </is>
      </c>
      <c r="C189" s="25">
        <f>Teilnehmer!C4</f>
        <v/>
      </c>
      <c r="F189" s="22" t="inlineStr">
        <is>
          <t>erfolgreich teilgenommen.</t>
        </is>
      </c>
      <c r="I189" s="22" t="inlineStr">
        <is>
          <t>unter der Leitung von</t>
        </is>
      </c>
      <c r="K189" s="25">
        <f>Teilnehmer!C4</f>
        <v/>
      </c>
      <c r="N189" s="22" t="inlineStr">
        <is>
          <t>erfolgreich teilgenommen.</t>
        </is>
      </c>
    </row>
    <row r="190" ht="14.25" customHeight="1"/>
    <row r="191" ht="14.25" customHeight="1">
      <c r="A191" s="22" t="inlineStr">
        <is>
          <t>Teilnehmerunterlagen ausgehändigt:</t>
        </is>
      </c>
      <c r="E191" s="26" t="inlineStr">
        <is>
          <t>X</t>
        </is>
      </c>
      <c r="F191" s="22" t="inlineStr">
        <is>
          <t>ja</t>
        </is>
      </c>
      <c r="G191" s="22" t="inlineStr">
        <is>
          <t>nein</t>
        </is>
      </c>
      <c r="I191" s="22" t="inlineStr">
        <is>
          <t>Teilnehmerunterlagen ausgehändigt:</t>
        </is>
      </c>
      <c r="M191" s="26" t="inlineStr">
        <is>
          <t>X</t>
        </is>
      </c>
      <c r="N191" s="22" t="inlineStr">
        <is>
          <t>ja</t>
        </is>
      </c>
      <c r="O191" s="22" t="inlineStr">
        <is>
          <t>nein</t>
        </is>
      </c>
    </row>
    <row r="192" ht="14.25" customHeight="1"/>
    <row r="193" ht="14.25" customHeight="1"/>
    <row r="194" ht="14.25" customHeight="1">
      <c r="A194" s="27" t="inlineStr">
        <is>
          <t>Rastatt</t>
        </is>
      </c>
      <c r="B194" s="22" t="inlineStr">
        <is>
          <t>, den</t>
        </is>
      </c>
      <c r="C194" s="19">
        <f>Teilnehmer!C3</f>
        <v/>
      </c>
      <c r="I194" s="27" t="inlineStr">
        <is>
          <t>Rastatt</t>
        </is>
      </c>
      <c r="J194" s="22" t="inlineStr">
        <is>
          <t>, den</t>
        </is>
      </c>
      <c r="K194" s="19">
        <f>Teilnehmer!C3</f>
        <v/>
      </c>
    </row>
    <row r="195" ht="14.25" customHeight="1">
      <c r="A195" s="20" t="inlineStr">
        <is>
          <t>Ort</t>
        </is>
      </c>
      <c r="C195" s="20" t="inlineStr">
        <is>
          <t>Datum</t>
        </is>
      </c>
      <c r="E195" s="20" t="inlineStr">
        <is>
          <t>Unterschrift der Lehrkraft</t>
        </is>
      </c>
      <c r="I195" s="20" t="inlineStr">
        <is>
          <t>Ort</t>
        </is>
      </c>
      <c r="K195" s="20" t="inlineStr">
        <is>
          <t>Datum</t>
        </is>
      </c>
      <c r="M195" s="20" t="inlineStr">
        <is>
          <t>Unterschrift der Lehrkraft</t>
        </is>
      </c>
    </row>
    <row r="196" ht="14.25" customHeight="1"/>
    <row r="197" ht="14.25" customHeight="1"/>
    <row r="198" ht="14.25" customHeight="1">
      <c r="E198" s="20" t="inlineStr">
        <is>
          <t>Ausbildungsverantwortlicher</t>
        </is>
      </c>
      <c r="M198" s="20" t="inlineStr">
        <is>
          <t>Ausbildungsverantwortlicher</t>
        </is>
      </c>
    </row>
    <row r="199" ht="14.25" customHeight="1"/>
    <row r="200" ht="14.25" customHeight="1">
      <c r="A200" s="22" t="inlineStr">
        <is>
          <t>Name der ermächtigten Stelle:</t>
        </is>
      </c>
      <c r="D200" s="27" t="inlineStr">
        <is>
          <t>Mercedes-Benz AG, Werk Rastatt</t>
        </is>
      </c>
      <c r="I200" s="22" t="inlineStr">
        <is>
          <t>Name der ermächtigten Stelle:</t>
        </is>
      </c>
      <c r="L200" s="27" t="inlineStr">
        <is>
          <t>Mercedes-Benz AG, Werk Rastatt</t>
        </is>
      </c>
    </row>
    <row r="201" ht="14.25" customHeight="1"/>
    <row r="202" ht="14.25" customHeight="1">
      <c r="A202" s="22" t="inlineStr">
        <is>
          <t>Kennziffer der ermächtigten Stelle</t>
        </is>
      </c>
      <c r="I202" s="22" t="inlineStr">
        <is>
          <t>Kennziffer der ermächtigten Stelle</t>
        </is>
      </c>
    </row>
    <row r="203" ht="14.25" customHeight="1">
      <c r="A203" s="22" t="inlineStr">
        <is>
          <t>gemäß § 26 DGUV Vorschrift:</t>
        </is>
      </c>
      <c r="E203" s="27" t="inlineStr">
        <is>
          <t>7.0103</t>
        </is>
      </c>
      <c r="I203" s="22" t="inlineStr">
        <is>
          <t>gemäß § 26 DGUV Vorschrift:</t>
        </is>
      </c>
      <c r="M203" s="27" t="inlineStr">
        <is>
          <t>7.0103</t>
        </is>
      </c>
    </row>
    <row r="204" ht="14.25" customHeight="1"/>
    <row r="205" ht="14.25" customHeight="1">
      <c r="A205" s="22" t="inlineStr">
        <is>
          <t>Registriernummer der Schulung:</t>
        </is>
      </c>
      <c r="E205" s="27">
        <f>Teilnehmer!C5</f>
        <v/>
      </c>
      <c r="I205" s="22" t="inlineStr">
        <is>
          <t>Registriernummer der Schulung:</t>
        </is>
      </c>
      <c r="M205" s="27">
        <f>Teilnehmer!C5</f>
        <v/>
      </c>
    </row>
    <row r="206" ht="14.25" customHeight="1"/>
    <row r="207" ht="14.25" customHeight="1">
      <c r="A207" s="28" t="inlineStr">
        <is>
          <t>* Die Teilnahme an der Ausbildung in betrieblicher Erster Hilfe gilt als Schulung in Erster Hilfe gem. § 19 Fahrerlaubnis-</t>
        </is>
      </c>
      <c r="I207" s="28" t="inlineStr">
        <is>
          <t>* Die Teilnahme an der Ausbildung in betrieblicher Erster Hilfe gilt als Schulung in Erster Hilfe gem. § 19 Fahrerlaubnis-</t>
        </is>
      </c>
    </row>
    <row r="208" ht="14.25" customHeight="1">
      <c r="A208" s="28" t="inlineStr">
        <is>
          <t xml:space="preserve">   Verordnung (FeV).</t>
        </is>
      </c>
      <c r="I208" s="28" t="inlineStr">
        <is>
          <t xml:space="preserve">   Verordnung (FeV).</t>
        </is>
      </c>
    </row>
    <row r="209" ht="14.25" customHeight="1"/>
    <row r="210" ht="14.25" customHeight="1"/>
    <row r="211" ht="14.25" customHeight="1"/>
    <row r="212" ht="14.25" customHeight="1">
      <c r="A212" s="17">
        <f>IF(Teilnehmer!B25&lt;&gt;"",Teilnehmer!B25,"")</f>
        <v/>
      </c>
      <c r="C212" s="17">
        <f>IF(Teilnehmer!B25&lt;&gt;"",Teilnehmer!C25,"")</f>
        <v/>
      </c>
      <c r="E212" s="18" t="inlineStr">
        <is>
          <t>geb. am:</t>
        </is>
      </c>
      <c r="F212" s="19">
        <f>IF(Teilnehmer!B25&lt;&gt;"",Teilnehmer!D25,"")</f>
        <v/>
      </c>
      <c r="I212" s="17">
        <f>IF(Teilnehmer!B26&lt;&gt;"",Teilnehmer!B26,"")</f>
        <v/>
      </c>
      <c r="K212" s="17">
        <f>IF(Teilnehmer!B26&lt;&gt;"",Teilnehmer!C26,"")</f>
        <v/>
      </c>
      <c r="M212" s="18" t="inlineStr">
        <is>
          <t>geb. am:</t>
        </is>
      </c>
      <c r="N212" s="19">
        <f>IF(Teilnehmer!B26&lt;&gt;"",Teilnehmer!D26,"")</f>
        <v/>
      </c>
    </row>
    <row r="213" ht="14.25" customHeight="1">
      <c r="A213" s="20" t="inlineStr">
        <is>
          <t>Name</t>
        </is>
      </c>
      <c r="C213" s="20" t="inlineStr">
        <is>
          <t>Vorname</t>
        </is>
      </c>
      <c r="I213" s="20" t="inlineStr">
        <is>
          <t>Name</t>
        </is>
      </c>
      <c r="K213" s="20" t="inlineStr">
        <is>
          <t>Vorname</t>
        </is>
      </c>
    </row>
    <row r="214" ht="14.25" customHeight="1"/>
    <row r="215" ht="14.25" customHeight="1">
      <c r="A215" s="21" t="inlineStr">
        <is>
          <t>hat an dem 9 Unterrichtseinheiten (Nettounterrichtszeit 9 x 45 Minuten) umfassenden Lehrgang</t>
        </is>
      </c>
      <c r="I215" s="21" t="inlineStr">
        <is>
          <t>hat an dem 9 Unterrichtseinheiten (Nettounterrichtszeit 9 x 45 Minuten) umfassenden Lehrgang</t>
        </is>
      </c>
    </row>
    <row r="216" ht="14.25" customHeight="1"/>
    <row r="217" ht="14.25" customHeight="1">
      <c r="A217" s="22" t="inlineStr">
        <is>
          <t>am</t>
        </is>
      </c>
      <c r="B217" s="19">
        <f>Teilnehmer!C3</f>
        <v/>
      </c>
      <c r="C217" s="23" t="inlineStr">
        <is>
          <t>in der Zeit von</t>
        </is>
      </c>
      <c r="D217" s="24">
        <f>Teilnehmer!F3</f>
        <v/>
      </c>
      <c r="E217" s="23" t="inlineStr">
        <is>
          <t>Uhr bis</t>
        </is>
      </c>
      <c r="F217" s="24">
        <f>Teilnehmer!H3</f>
        <v/>
      </c>
      <c r="G217" s="22" t="inlineStr">
        <is>
          <t>Uhr</t>
        </is>
      </c>
      <c r="I217" s="22" t="inlineStr">
        <is>
          <t>am</t>
        </is>
      </c>
      <c r="J217" s="19">
        <f>Teilnehmer!C3</f>
        <v/>
      </c>
      <c r="K217" s="23" t="inlineStr">
        <is>
          <t>in der Zeit von</t>
        </is>
      </c>
      <c r="L217" s="24">
        <f>Teilnehmer!F3</f>
        <v/>
      </c>
      <c r="M217" s="23" t="inlineStr">
        <is>
          <t>Uhr bis</t>
        </is>
      </c>
      <c r="N217" s="24">
        <f>Teilnehmer!H3</f>
        <v/>
      </c>
      <c r="O217" s="22" t="inlineStr">
        <is>
          <t>Uhr</t>
        </is>
      </c>
    </row>
    <row r="218" ht="14.25" customHeight="1"/>
    <row r="219" ht="14.25" customHeight="1">
      <c r="A219" s="22" t="inlineStr">
        <is>
          <t>unter der Leitung von</t>
        </is>
      </c>
      <c r="C219" s="25">
        <f>Teilnehmer!C4</f>
        <v/>
      </c>
      <c r="F219" s="22" t="inlineStr">
        <is>
          <t>erfolgreich teilgenommen.</t>
        </is>
      </c>
      <c r="I219" s="22" t="inlineStr">
        <is>
          <t>unter der Leitung von</t>
        </is>
      </c>
      <c r="K219" s="25">
        <f>Teilnehmer!C4</f>
        <v/>
      </c>
      <c r="N219" s="22" t="inlineStr">
        <is>
          <t>erfolgreich teilgenommen.</t>
        </is>
      </c>
    </row>
    <row r="220" ht="14.25" customHeight="1"/>
    <row r="221" ht="14.25" customHeight="1">
      <c r="A221" s="22" t="inlineStr">
        <is>
          <t>Teilnehmerunterlagen ausgehändigt:</t>
        </is>
      </c>
      <c r="E221" s="26" t="inlineStr">
        <is>
          <t>X</t>
        </is>
      </c>
      <c r="F221" s="22" t="inlineStr">
        <is>
          <t>ja</t>
        </is>
      </c>
      <c r="G221" s="22" t="inlineStr">
        <is>
          <t>nein</t>
        </is>
      </c>
      <c r="I221" s="22" t="inlineStr">
        <is>
          <t>Teilnehmerunterlagen ausgehändigt:</t>
        </is>
      </c>
      <c r="M221" s="26" t="inlineStr">
        <is>
          <t>X</t>
        </is>
      </c>
      <c r="N221" s="22" t="inlineStr">
        <is>
          <t>ja</t>
        </is>
      </c>
      <c r="O221" s="22" t="inlineStr">
        <is>
          <t>nein</t>
        </is>
      </c>
    </row>
    <row r="222" ht="14.25" customHeight="1"/>
    <row r="223" ht="14.25" customHeight="1"/>
    <row r="224" ht="14.25" customHeight="1">
      <c r="A224" s="27" t="inlineStr">
        <is>
          <t>Rastatt</t>
        </is>
      </c>
      <c r="B224" s="22" t="inlineStr">
        <is>
          <t>, den</t>
        </is>
      </c>
      <c r="C224" s="19">
        <f>Teilnehmer!C3</f>
        <v/>
      </c>
      <c r="I224" s="27" t="inlineStr">
        <is>
          <t>Rastatt</t>
        </is>
      </c>
      <c r="J224" s="22" t="inlineStr">
        <is>
          <t>, den</t>
        </is>
      </c>
      <c r="K224" s="19">
        <f>Teilnehmer!C3</f>
        <v/>
      </c>
    </row>
    <row r="225" ht="14.25" customHeight="1">
      <c r="A225" s="20" t="inlineStr">
        <is>
          <t>Ort</t>
        </is>
      </c>
      <c r="C225" s="20" t="inlineStr">
        <is>
          <t>Datum</t>
        </is>
      </c>
      <c r="E225" s="20" t="inlineStr">
        <is>
          <t>Unterschrift der Lehrkraft</t>
        </is>
      </c>
      <c r="I225" s="20" t="inlineStr">
        <is>
          <t>Ort</t>
        </is>
      </c>
      <c r="K225" s="20" t="inlineStr">
        <is>
          <t>Datum</t>
        </is>
      </c>
      <c r="M225" s="20" t="inlineStr">
        <is>
          <t>Unterschrift der Lehrkraft</t>
        </is>
      </c>
    </row>
    <row r="226" ht="14.25" customHeight="1"/>
    <row r="227" ht="14.25" customHeight="1"/>
    <row r="228" ht="14.25" customHeight="1">
      <c r="E228" s="20" t="inlineStr">
        <is>
          <t>Ausbildungsverantwortlicher</t>
        </is>
      </c>
      <c r="M228" s="20" t="inlineStr">
        <is>
          <t>Ausbildungsverantwortlicher</t>
        </is>
      </c>
    </row>
    <row r="229" ht="14.25" customHeight="1"/>
    <row r="230" ht="14.25" customHeight="1">
      <c r="A230" s="22" t="inlineStr">
        <is>
          <t>Name der ermächtigten Stelle:</t>
        </is>
      </c>
      <c r="D230" s="27" t="inlineStr">
        <is>
          <t>Mercedes-Benz AG, Werk Rastatt</t>
        </is>
      </c>
      <c r="I230" s="22" t="inlineStr">
        <is>
          <t>Name der ermächtigten Stelle:</t>
        </is>
      </c>
      <c r="L230" s="27" t="inlineStr">
        <is>
          <t>Mercedes-Benz AG, Werk Rastatt</t>
        </is>
      </c>
    </row>
    <row r="231" ht="14.25" customHeight="1"/>
    <row r="232" ht="14.25" customHeight="1">
      <c r="A232" s="22" t="inlineStr">
        <is>
          <t>Kennziffer der ermächtigten Stelle</t>
        </is>
      </c>
      <c r="I232" s="22" t="inlineStr">
        <is>
          <t>Kennziffer der ermächtigten Stelle</t>
        </is>
      </c>
    </row>
    <row r="233" ht="14.25" customHeight="1">
      <c r="A233" s="22" t="inlineStr">
        <is>
          <t>gemäß § 26 DGUV Vorschrift:</t>
        </is>
      </c>
      <c r="E233" s="27" t="inlineStr">
        <is>
          <t>7.0103</t>
        </is>
      </c>
      <c r="I233" s="22" t="inlineStr">
        <is>
          <t>gemäß § 26 DGUV Vorschrift:</t>
        </is>
      </c>
      <c r="M233" s="27" t="inlineStr">
        <is>
          <t>7.0103</t>
        </is>
      </c>
    </row>
    <row r="234" ht="14.25" customHeight="1"/>
    <row r="235" ht="14.25" customHeight="1">
      <c r="A235" s="22" t="inlineStr">
        <is>
          <t>Registriernummer der Schulung:</t>
        </is>
      </c>
      <c r="E235" s="27">
        <f>Teilnehmer!C5</f>
        <v/>
      </c>
      <c r="I235" s="22" t="inlineStr">
        <is>
          <t>Registriernummer der Schulung:</t>
        </is>
      </c>
      <c r="M235" s="27">
        <f>Teilnehmer!C5</f>
        <v/>
      </c>
    </row>
    <row r="236" ht="14.25" customHeight="1"/>
    <row r="237" ht="14.25" customHeight="1">
      <c r="A237" s="28" t="inlineStr">
        <is>
          <t>* Die Teilnahme an der Ausbildung in betrieblicher Erster Hilfe gilt als Schulung in Erster Hilfe gem. § 19 Fahrerlaubnis-</t>
        </is>
      </c>
      <c r="I237" s="28" t="inlineStr">
        <is>
          <t>* Die Teilnahme an der Ausbildung in betrieblicher Erster Hilfe gilt als Schulung in Erster Hilfe gem. § 19 Fahrerlaubnis-</t>
        </is>
      </c>
    </row>
    <row r="238" ht="14.25" customHeight="1">
      <c r="A238" s="28" t="inlineStr">
        <is>
          <t xml:space="preserve">   Verordnung (FeV).</t>
        </is>
      </c>
      <c r="I238" s="28" t="inlineStr">
        <is>
          <t xml:space="preserve">   Verordnung (FeV).</t>
        </is>
      </c>
    </row>
    <row r="239" ht="14.25" customHeight="1"/>
    <row r="240" ht="14.25" customHeight="1"/>
    <row r="241" ht="14.25" customHeight="1"/>
    <row r="242" ht="14.25" customHeight="1">
      <c r="A242" s="17">
        <f>IF(Teilnehmer!B27&lt;&gt;"",Teilnehmer!B27,"")</f>
        <v/>
      </c>
      <c r="C242" s="17">
        <f>IF(Teilnehmer!B27&lt;&gt;"",Teilnehmer!C27,"")</f>
        <v/>
      </c>
      <c r="E242" s="18" t="inlineStr">
        <is>
          <t>geb. am:</t>
        </is>
      </c>
      <c r="F242" s="19">
        <f>IF(Teilnehmer!B27&lt;&gt;"",Teilnehmer!D27,"")</f>
        <v/>
      </c>
      <c r="I242" s="17">
        <f>IF(Teilnehmer!B28&lt;&gt;"",Teilnehmer!B28,"")</f>
        <v/>
      </c>
      <c r="K242" s="17">
        <f>IF(Teilnehmer!B28&lt;&gt;"",Teilnehmer!C28,"")</f>
        <v/>
      </c>
      <c r="M242" s="18" t="inlineStr">
        <is>
          <t>geb. am:</t>
        </is>
      </c>
      <c r="N242" s="19">
        <f>IF(Teilnehmer!B28&lt;&gt;"",Teilnehmer!D28,"")</f>
        <v/>
      </c>
    </row>
    <row r="243" ht="14.25" customHeight="1">
      <c r="A243" s="20" t="inlineStr">
        <is>
          <t>Name</t>
        </is>
      </c>
      <c r="C243" s="20" t="inlineStr">
        <is>
          <t>Vorname</t>
        </is>
      </c>
      <c r="I243" s="20" t="inlineStr">
        <is>
          <t>Name</t>
        </is>
      </c>
      <c r="K243" s="20" t="inlineStr">
        <is>
          <t>Vorname</t>
        </is>
      </c>
    </row>
    <row r="244" ht="14.25" customHeight="1"/>
    <row r="245" ht="14.25" customHeight="1">
      <c r="A245" s="21" t="inlineStr">
        <is>
          <t>hat an dem 9 Unterrichtseinheiten (Nettounterrichtszeit 9 x 45 Minuten) umfassenden Lehrgang</t>
        </is>
      </c>
      <c r="I245" s="21" t="inlineStr">
        <is>
          <t>hat an dem 9 Unterrichtseinheiten (Nettounterrichtszeit 9 x 45 Minuten) umfassenden Lehrgang</t>
        </is>
      </c>
    </row>
    <row r="246" ht="14.25" customHeight="1"/>
    <row r="247" ht="14.25" customHeight="1">
      <c r="A247" s="22" t="inlineStr">
        <is>
          <t>am</t>
        </is>
      </c>
      <c r="B247" s="19">
        <f>Teilnehmer!C3</f>
        <v/>
      </c>
      <c r="C247" s="23" t="inlineStr">
        <is>
          <t>in der Zeit von</t>
        </is>
      </c>
      <c r="D247" s="24">
        <f>Teilnehmer!F3</f>
        <v/>
      </c>
      <c r="E247" s="23" t="inlineStr">
        <is>
          <t>Uhr bis</t>
        </is>
      </c>
      <c r="F247" s="24">
        <f>Teilnehmer!H3</f>
        <v/>
      </c>
      <c r="G247" s="22" t="inlineStr">
        <is>
          <t>Uhr</t>
        </is>
      </c>
      <c r="I247" s="22" t="inlineStr">
        <is>
          <t>am</t>
        </is>
      </c>
      <c r="J247" s="19">
        <f>Teilnehmer!C3</f>
        <v/>
      </c>
      <c r="K247" s="23" t="inlineStr">
        <is>
          <t>in der Zeit von</t>
        </is>
      </c>
      <c r="L247" s="24">
        <f>Teilnehmer!F3</f>
        <v/>
      </c>
      <c r="M247" s="23" t="inlineStr">
        <is>
          <t>Uhr bis</t>
        </is>
      </c>
      <c r="N247" s="24">
        <f>Teilnehmer!H3</f>
        <v/>
      </c>
      <c r="O247" s="22" t="inlineStr">
        <is>
          <t>Uhr</t>
        </is>
      </c>
    </row>
    <row r="248" ht="14.25" customHeight="1"/>
    <row r="249" ht="14.25" customHeight="1">
      <c r="A249" s="22" t="inlineStr">
        <is>
          <t>unter der Leitung von</t>
        </is>
      </c>
      <c r="C249" s="25">
        <f>Teilnehmer!C4</f>
        <v/>
      </c>
      <c r="F249" s="22" t="inlineStr">
        <is>
          <t>erfolgreich teilgenommen.</t>
        </is>
      </c>
      <c r="I249" s="22" t="inlineStr">
        <is>
          <t>unter der Leitung von</t>
        </is>
      </c>
      <c r="K249" s="25">
        <f>Teilnehmer!C4</f>
        <v/>
      </c>
      <c r="N249" s="22" t="inlineStr">
        <is>
          <t>erfolgreich teilgenommen.</t>
        </is>
      </c>
    </row>
    <row r="250" ht="14.25" customHeight="1"/>
    <row r="251" ht="14.25" customHeight="1">
      <c r="A251" s="22" t="inlineStr">
        <is>
          <t>Teilnehmerunterlagen ausgehändigt:</t>
        </is>
      </c>
      <c r="E251" s="26" t="inlineStr">
        <is>
          <t>X</t>
        </is>
      </c>
      <c r="F251" s="22" t="inlineStr">
        <is>
          <t>ja</t>
        </is>
      </c>
      <c r="G251" s="22" t="inlineStr">
        <is>
          <t>nein</t>
        </is>
      </c>
      <c r="I251" s="22" t="inlineStr">
        <is>
          <t>Teilnehmerunterlagen ausgehändigt:</t>
        </is>
      </c>
      <c r="M251" s="26" t="inlineStr">
        <is>
          <t>X</t>
        </is>
      </c>
      <c r="N251" s="22" t="inlineStr">
        <is>
          <t>ja</t>
        </is>
      </c>
      <c r="O251" s="22" t="inlineStr">
        <is>
          <t>nein</t>
        </is>
      </c>
    </row>
    <row r="252" ht="14.25" customHeight="1"/>
    <row r="253" ht="14.25" customHeight="1"/>
    <row r="254" ht="14.25" customHeight="1">
      <c r="A254" s="27" t="inlineStr">
        <is>
          <t>Rastatt</t>
        </is>
      </c>
      <c r="B254" s="22" t="inlineStr">
        <is>
          <t>, den</t>
        </is>
      </c>
      <c r="C254" s="19">
        <f>Teilnehmer!C3</f>
        <v/>
      </c>
      <c r="I254" s="27" t="inlineStr">
        <is>
          <t>Rastatt</t>
        </is>
      </c>
      <c r="J254" s="22" t="inlineStr">
        <is>
          <t>, den</t>
        </is>
      </c>
      <c r="K254" s="19">
        <f>Teilnehmer!C3</f>
        <v/>
      </c>
    </row>
    <row r="255" ht="14.25" customHeight="1">
      <c r="A255" s="20" t="inlineStr">
        <is>
          <t>Ort</t>
        </is>
      </c>
      <c r="C255" s="20" t="inlineStr">
        <is>
          <t>Datum</t>
        </is>
      </c>
      <c r="E255" s="20" t="inlineStr">
        <is>
          <t>Unterschrift der Lehrkraft</t>
        </is>
      </c>
      <c r="I255" s="20" t="inlineStr">
        <is>
          <t>Ort</t>
        </is>
      </c>
      <c r="K255" s="20" t="inlineStr">
        <is>
          <t>Datum</t>
        </is>
      </c>
      <c r="M255" s="20" t="inlineStr">
        <is>
          <t>Unterschrift der Lehrkraft</t>
        </is>
      </c>
    </row>
    <row r="256" ht="14.25" customHeight="1"/>
    <row r="257" ht="14.25" customHeight="1"/>
    <row r="258" ht="14.25" customHeight="1">
      <c r="E258" s="20" t="inlineStr">
        <is>
          <t>Ausbildungsverantwortlicher</t>
        </is>
      </c>
      <c r="M258" s="20" t="inlineStr">
        <is>
          <t>Ausbildungsverantwortlicher</t>
        </is>
      </c>
    </row>
    <row r="259" ht="14.25" customHeight="1"/>
    <row r="260" ht="14.25" customHeight="1">
      <c r="A260" s="22" t="inlineStr">
        <is>
          <t>Name der ermächtigten Stelle:</t>
        </is>
      </c>
      <c r="D260" s="27" t="inlineStr">
        <is>
          <t>Mercedes-Benz AG, Werk Rastatt</t>
        </is>
      </c>
      <c r="I260" s="22" t="inlineStr">
        <is>
          <t>Name der ermächtigten Stelle:</t>
        </is>
      </c>
      <c r="L260" s="27" t="inlineStr">
        <is>
          <t>Mercedes-Benz AG, Werk Rastatt</t>
        </is>
      </c>
    </row>
    <row r="261" ht="14.25" customHeight="1"/>
    <row r="262" ht="14.25" customHeight="1">
      <c r="A262" s="22" t="inlineStr">
        <is>
          <t>Kennziffer der ermächtigten Stelle</t>
        </is>
      </c>
      <c r="I262" s="22" t="inlineStr">
        <is>
          <t>Kennziffer der ermächtigten Stelle</t>
        </is>
      </c>
    </row>
    <row r="263" ht="14.25" customHeight="1">
      <c r="A263" s="22" t="inlineStr">
        <is>
          <t>gemäß § 26 DGUV Vorschrift:</t>
        </is>
      </c>
      <c r="E263" s="27" t="inlineStr">
        <is>
          <t>7.0103</t>
        </is>
      </c>
      <c r="I263" s="22" t="inlineStr">
        <is>
          <t>gemäß § 26 DGUV Vorschrift:</t>
        </is>
      </c>
      <c r="M263" s="27" t="inlineStr">
        <is>
          <t>7.0103</t>
        </is>
      </c>
    </row>
    <row r="264" ht="14.25" customHeight="1"/>
    <row r="265" ht="14.25" customHeight="1">
      <c r="A265" s="22" t="inlineStr">
        <is>
          <t>Registriernummer der Schulung:</t>
        </is>
      </c>
      <c r="E265" s="27">
        <f>Teilnehmer!C5</f>
        <v/>
      </c>
      <c r="I265" s="22" t="inlineStr">
        <is>
          <t>Registriernummer der Schulung:</t>
        </is>
      </c>
      <c r="M265" s="27">
        <f>Teilnehmer!C5</f>
        <v/>
      </c>
    </row>
    <row r="266" ht="14.25" customHeight="1"/>
    <row r="267" ht="14.25" customHeight="1">
      <c r="A267" s="28" t="inlineStr">
        <is>
          <t>* Die Teilnahme an der Ausbildung in betrieblicher Erster Hilfe gilt als Schulung in Erster Hilfe gem. § 19 Fahrerlaubnis-</t>
        </is>
      </c>
      <c r="I267" s="28" t="inlineStr">
        <is>
          <t>* Die Teilnahme an der Ausbildung in betrieblicher Erster Hilfe gilt als Schulung in Erster Hilfe gem. § 19 Fahrerlaubnis-</t>
        </is>
      </c>
    </row>
    <row r="268" ht="14.25" customHeight="1">
      <c r="A268" s="28" t="inlineStr">
        <is>
          <t xml:space="preserve">   Verordnung (FeV).</t>
        </is>
      </c>
      <c r="I268" s="28" t="inlineStr">
        <is>
          <t xml:space="preserve">   Verordnung (FeV).</t>
        </is>
      </c>
    </row>
    <row r="269" ht="14.25" customHeight="1"/>
    <row r="270" ht="14.25" customHeight="1"/>
    <row r="271" ht="14.25" customHeight="1"/>
    <row r="272" ht="14.25" customHeight="1">
      <c r="A272" s="17">
        <f>IF(Teilnehmer!B29&lt;&gt;"",Teilnehmer!B29,"")</f>
        <v/>
      </c>
      <c r="C272" s="17">
        <f>IF(Teilnehmer!B29&lt;&gt;"",Teilnehmer!C29,"")</f>
        <v/>
      </c>
      <c r="E272" s="18" t="inlineStr">
        <is>
          <t>geb. am:</t>
        </is>
      </c>
      <c r="F272" s="19">
        <f>IF(Teilnehmer!B29&lt;&gt;"",Teilnehmer!D29,"")</f>
        <v/>
      </c>
      <c r="I272" s="17">
        <f>IF(Teilnehmer!B30&lt;&gt;"",Teilnehmer!B30,"")</f>
        <v/>
      </c>
      <c r="K272" s="17">
        <f>IF(Teilnehmer!B30&lt;&gt;"",Teilnehmer!C30,"")</f>
        <v/>
      </c>
      <c r="M272" s="18" t="inlineStr">
        <is>
          <t>geb. am:</t>
        </is>
      </c>
      <c r="N272" s="19">
        <f>IF(Teilnehmer!B30&lt;&gt;"",Teilnehmer!D30,"")</f>
        <v/>
      </c>
    </row>
    <row r="273" ht="14.25" customHeight="1">
      <c r="A273" s="20" t="inlineStr">
        <is>
          <t>Name</t>
        </is>
      </c>
      <c r="C273" s="20" t="inlineStr">
        <is>
          <t>Vorname</t>
        </is>
      </c>
      <c r="I273" s="20" t="inlineStr">
        <is>
          <t>Name</t>
        </is>
      </c>
      <c r="K273" s="20" t="inlineStr">
        <is>
          <t>Vorname</t>
        </is>
      </c>
    </row>
    <row r="274" ht="14.25" customHeight="1"/>
    <row r="275" ht="14.25" customHeight="1">
      <c r="A275" s="21" t="inlineStr">
        <is>
          <t>hat an dem 9 Unterrichtseinheiten (Nettounterrichtszeit 9 x 45 Minuten) umfassenden Lehrgang</t>
        </is>
      </c>
      <c r="I275" s="21" t="inlineStr">
        <is>
          <t>hat an dem 9 Unterrichtseinheiten (Nettounterrichtszeit 9 x 45 Minuten) umfassenden Lehrgang</t>
        </is>
      </c>
    </row>
    <row r="276" ht="14.25" customHeight="1"/>
    <row r="277" ht="14.25" customHeight="1">
      <c r="A277" s="22" t="inlineStr">
        <is>
          <t>am</t>
        </is>
      </c>
      <c r="B277" s="19">
        <f>Teilnehmer!C3</f>
        <v/>
      </c>
      <c r="C277" s="23" t="inlineStr">
        <is>
          <t>in der Zeit von</t>
        </is>
      </c>
      <c r="D277" s="24">
        <f>Teilnehmer!F3</f>
        <v/>
      </c>
      <c r="E277" s="23" t="inlineStr">
        <is>
          <t>Uhr bis</t>
        </is>
      </c>
      <c r="F277" s="24">
        <f>Teilnehmer!H3</f>
        <v/>
      </c>
      <c r="G277" s="22" t="inlineStr">
        <is>
          <t>Uhr</t>
        </is>
      </c>
      <c r="I277" s="22" t="inlineStr">
        <is>
          <t>am</t>
        </is>
      </c>
      <c r="J277" s="19">
        <f>Teilnehmer!C3</f>
        <v/>
      </c>
      <c r="K277" s="23" t="inlineStr">
        <is>
          <t>in der Zeit von</t>
        </is>
      </c>
      <c r="L277" s="24">
        <f>Teilnehmer!F3</f>
        <v/>
      </c>
      <c r="M277" s="23" t="inlineStr">
        <is>
          <t>Uhr bis</t>
        </is>
      </c>
      <c r="N277" s="24">
        <f>Teilnehmer!H3</f>
        <v/>
      </c>
      <c r="O277" s="22" t="inlineStr">
        <is>
          <t>Uhr</t>
        </is>
      </c>
    </row>
    <row r="278" ht="14.25" customHeight="1"/>
    <row r="279" ht="14.25" customHeight="1">
      <c r="A279" s="22" t="inlineStr">
        <is>
          <t>unter der Leitung von</t>
        </is>
      </c>
      <c r="C279" s="25">
        <f>Teilnehmer!C4</f>
        <v/>
      </c>
      <c r="F279" s="22" t="inlineStr">
        <is>
          <t>erfolgreich teilgenommen.</t>
        </is>
      </c>
      <c r="I279" s="22" t="inlineStr">
        <is>
          <t>unter der Leitung von</t>
        </is>
      </c>
      <c r="K279" s="25">
        <f>Teilnehmer!C4</f>
        <v/>
      </c>
      <c r="N279" s="22" t="inlineStr">
        <is>
          <t>erfolgreich teilgenommen.</t>
        </is>
      </c>
    </row>
    <row r="280" ht="14.25" customHeight="1"/>
    <row r="281" ht="14.25" customHeight="1">
      <c r="A281" s="22" t="inlineStr">
        <is>
          <t>Teilnehmerunterlagen ausgehändigt:</t>
        </is>
      </c>
      <c r="E281" s="26" t="inlineStr">
        <is>
          <t>X</t>
        </is>
      </c>
      <c r="F281" s="22" t="inlineStr">
        <is>
          <t>ja</t>
        </is>
      </c>
      <c r="G281" s="22" t="inlineStr">
        <is>
          <t>nein</t>
        </is>
      </c>
      <c r="I281" s="22" t="inlineStr">
        <is>
          <t>Teilnehmerunterlagen ausgehändigt:</t>
        </is>
      </c>
      <c r="M281" s="26" t="inlineStr">
        <is>
          <t>X</t>
        </is>
      </c>
      <c r="N281" s="22" t="inlineStr">
        <is>
          <t>ja</t>
        </is>
      </c>
      <c r="O281" s="22" t="inlineStr">
        <is>
          <t>nein</t>
        </is>
      </c>
    </row>
    <row r="282" ht="14.25" customHeight="1"/>
    <row r="283" ht="14.25" customHeight="1"/>
    <row r="284" ht="14.25" customHeight="1">
      <c r="A284" s="27" t="inlineStr">
        <is>
          <t>Rastatt</t>
        </is>
      </c>
      <c r="B284" s="22" t="inlineStr">
        <is>
          <t>, den</t>
        </is>
      </c>
      <c r="C284" s="19">
        <f>Teilnehmer!C3</f>
        <v/>
      </c>
      <c r="I284" s="27" t="inlineStr">
        <is>
          <t>Rastatt</t>
        </is>
      </c>
      <c r="J284" s="22" t="inlineStr">
        <is>
          <t>, den</t>
        </is>
      </c>
      <c r="K284" s="19">
        <f>Teilnehmer!C3</f>
        <v/>
      </c>
    </row>
    <row r="285" ht="14.25" customHeight="1">
      <c r="A285" s="20" t="inlineStr">
        <is>
          <t>Ort</t>
        </is>
      </c>
      <c r="C285" s="20" t="inlineStr">
        <is>
          <t>Datum</t>
        </is>
      </c>
      <c r="E285" s="20" t="inlineStr">
        <is>
          <t>Unterschrift der Lehrkraft</t>
        </is>
      </c>
      <c r="I285" s="20" t="inlineStr">
        <is>
          <t>Ort</t>
        </is>
      </c>
      <c r="K285" s="20" t="inlineStr">
        <is>
          <t>Datum</t>
        </is>
      </c>
      <c r="M285" s="20" t="inlineStr">
        <is>
          <t>Unterschrift der Lehrkraft</t>
        </is>
      </c>
    </row>
    <row r="286" ht="14.25" customHeight="1"/>
    <row r="287" ht="14.25" customHeight="1"/>
    <row r="288" ht="14.25" customHeight="1">
      <c r="E288" s="20" t="inlineStr">
        <is>
          <t>Ausbildungsverantwortlicher</t>
        </is>
      </c>
      <c r="M288" s="20" t="inlineStr">
        <is>
          <t>Ausbildungsverantwortlicher</t>
        </is>
      </c>
    </row>
    <row r="289" ht="14.25" customHeight="1"/>
    <row r="290" ht="14.25" customHeight="1">
      <c r="A290" s="22" t="inlineStr">
        <is>
          <t>Name der ermächtigten Stelle:</t>
        </is>
      </c>
      <c r="D290" s="27" t="inlineStr">
        <is>
          <t>Mercedes-Benz AG, Werk Rastatt</t>
        </is>
      </c>
      <c r="I290" s="22" t="inlineStr">
        <is>
          <t>Name der ermächtigten Stelle:</t>
        </is>
      </c>
      <c r="L290" s="27" t="inlineStr">
        <is>
          <t>Mercedes-Benz AG, Werk Rastatt</t>
        </is>
      </c>
    </row>
    <row r="291" ht="14.25" customHeight="1"/>
    <row r="292" ht="14.25" customHeight="1">
      <c r="A292" s="22" t="inlineStr">
        <is>
          <t>Kennziffer der ermächtigten Stelle</t>
        </is>
      </c>
      <c r="I292" s="22" t="inlineStr">
        <is>
          <t>Kennziffer der ermächtigten Stelle</t>
        </is>
      </c>
    </row>
    <row r="293" ht="14.25" customHeight="1">
      <c r="A293" s="22" t="inlineStr">
        <is>
          <t>gemäß § 26 DGUV Vorschrift:</t>
        </is>
      </c>
      <c r="E293" s="27" t="inlineStr">
        <is>
          <t>7.0103</t>
        </is>
      </c>
      <c r="I293" s="22" t="inlineStr">
        <is>
          <t>gemäß § 26 DGUV Vorschrift:</t>
        </is>
      </c>
      <c r="M293" s="27" t="inlineStr">
        <is>
          <t>7.0103</t>
        </is>
      </c>
    </row>
    <row r="294" ht="14.25" customHeight="1"/>
    <row r="295" ht="14.25" customHeight="1">
      <c r="A295" s="22" t="inlineStr">
        <is>
          <t>Registriernummer der Schulung:</t>
        </is>
      </c>
      <c r="E295" s="27">
        <f>Teilnehmer!C5</f>
        <v/>
      </c>
      <c r="I295" s="22" t="inlineStr">
        <is>
          <t>Registriernummer der Schulung:</t>
        </is>
      </c>
      <c r="M295" s="27">
        <f>Teilnehmer!C5</f>
        <v/>
      </c>
    </row>
    <row r="296" ht="14.25" customHeight="1"/>
    <row r="297" ht="14.25" customHeight="1">
      <c r="A297" s="28" t="inlineStr">
        <is>
          <t>* Die Teilnahme an der Ausbildung in betrieblicher Erster Hilfe gilt als Schulung in Erster Hilfe gem. § 19 Fahrerlaubnis-</t>
        </is>
      </c>
      <c r="I297" s="28" t="inlineStr">
        <is>
          <t>* Die Teilnahme an der Ausbildung in betrieblicher Erster Hilfe gilt als Schulung in Erster Hilfe gem. § 19 Fahrerlaubnis-</t>
        </is>
      </c>
    </row>
    <row r="298" ht="14.25" customHeight="1">
      <c r="A298" s="28" t="inlineStr">
        <is>
          <t xml:space="preserve">   Verordnung (FeV).</t>
        </is>
      </c>
      <c r="I298" s="28" t="inlineStr">
        <is>
          <t xml:space="preserve">   Verordnung (FeV).</t>
        </is>
      </c>
    </row>
    <row r="299" ht="14.25" customHeight="1"/>
    <row r="300" ht="14.25" customHeight="1"/>
  </sheetData>
  <mergeCells count="420">
    <mergeCell ref="A263:D263"/>
    <mergeCell ref="L50:O50"/>
    <mergeCell ref="E288:G288"/>
    <mergeCell ref="A35:G35"/>
    <mergeCell ref="K33:L33"/>
    <mergeCell ref="I191:L191"/>
    <mergeCell ref="A265:D265"/>
    <mergeCell ref="I262:L262"/>
    <mergeCell ref="A28:G28"/>
    <mergeCell ref="I202:L202"/>
    <mergeCell ref="A202:D202"/>
    <mergeCell ref="A245:G245"/>
    <mergeCell ref="M145:O145"/>
    <mergeCell ref="E173:F173"/>
    <mergeCell ref="A33:B33"/>
    <mergeCell ref="E18:G18"/>
    <mergeCell ref="E285:G285"/>
    <mergeCell ref="I125:O125"/>
    <mergeCell ref="I185:O185"/>
    <mergeCell ref="A62:B62"/>
    <mergeCell ref="A110:C110"/>
    <mergeCell ref="A251:D251"/>
    <mergeCell ref="E53:F53"/>
    <mergeCell ref="C3:D3"/>
    <mergeCell ref="I173:L173"/>
    <mergeCell ref="E138:G138"/>
    <mergeCell ref="A39:B39"/>
    <mergeCell ref="K92:L92"/>
    <mergeCell ref="I52:L52"/>
    <mergeCell ref="K152:L152"/>
    <mergeCell ref="C92:D92"/>
    <mergeCell ref="E205:G205"/>
    <mergeCell ref="A53:D53"/>
    <mergeCell ref="I183:J183"/>
    <mergeCell ref="A153:B153"/>
    <mergeCell ref="E225:G225"/>
    <mergeCell ref="I178:O178"/>
    <mergeCell ref="I212:J212"/>
    <mergeCell ref="F189:G189"/>
    <mergeCell ref="I267:O267"/>
    <mergeCell ref="A142:D142"/>
    <mergeCell ref="C242:D242"/>
    <mergeCell ref="A200:C200"/>
    <mergeCell ref="I207:O207"/>
    <mergeCell ref="K243:L243"/>
    <mergeCell ref="D140:G140"/>
    <mergeCell ref="A129:B129"/>
    <mergeCell ref="C123:D123"/>
    <mergeCell ref="I293:L293"/>
    <mergeCell ref="E258:G258"/>
    <mergeCell ref="A65:G65"/>
    <mergeCell ref="I298:O298"/>
    <mergeCell ref="I292:L292"/>
    <mergeCell ref="A260:C260"/>
    <mergeCell ref="E195:G195"/>
    <mergeCell ref="I71:L71"/>
    <mergeCell ref="A145:D145"/>
    <mergeCell ref="K219:M219"/>
    <mergeCell ref="I9:J9"/>
    <mergeCell ref="A203:D203"/>
    <mergeCell ref="K183:L183"/>
    <mergeCell ref="M108:O108"/>
    <mergeCell ref="N32:O32"/>
    <mergeCell ref="A50:C50"/>
    <mergeCell ref="A58:G58"/>
    <mergeCell ref="M85:O85"/>
    <mergeCell ref="I65:O65"/>
    <mergeCell ref="I110:K110"/>
    <mergeCell ref="K39:M39"/>
    <mergeCell ref="I273:J273"/>
    <mergeCell ref="A273:B273"/>
    <mergeCell ref="K273:L273"/>
    <mergeCell ref="I251:L251"/>
    <mergeCell ref="I281:L281"/>
    <mergeCell ref="A281:D281"/>
    <mergeCell ref="I62:J62"/>
    <mergeCell ref="E235:G235"/>
    <mergeCell ref="F92:G92"/>
    <mergeCell ref="I153:J153"/>
    <mergeCell ref="N279:O279"/>
    <mergeCell ref="I142:L142"/>
    <mergeCell ref="K242:L242"/>
    <mergeCell ref="I200:K200"/>
    <mergeCell ref="K129:M129"/>
    <mergeCell ref="L230:O230"/>
    <mergeCell ref="F69:G69"/>
    <mergeCell ref="A215:G215"/>
    <mergeCell ref="M113:N113"/>
    <mergeCell ref="M173:N173"/>
    <mergeCell ref="K123:L123"/>
    <mergeCell ref="M258:O258"/>
    <mergeCell ref="M18:O18"/>
    <mergeCell ref="M45:O45"/>
    <mergeCell ref="A82:D82"/>
    <mergeCell ref="A140:C140"/>
    <mergeCell ref="F272:G272"/>
    <mergeCell ref="E25:G25"/>
    <mergeCell ref="E85:G85"/>
    <mergeCell ref="D80:G80"/>
    <mergeCell ref="A213:B213"/>
    <mergeCell ref="C213:D213"/>
    <mergeCell ref="C273:D273"/>
    <mergeCell ref="E198:G198"/>
    <mergeCell ref="I39:J39"/>
    <mergeCell ref="A268:G268"/>
    <mergeCell ref="C279:E279"/>
    <mergeCell ref="M205:O205"/>
    <mergeCell ref="I58:O58"/>
    <mergeCell ref="A152:B152"/>
    <mergeCell ref="D200:G200"/>
    <mergeCell ref="I55:L55"/>
    <mergeCell ref="E203:F203"/>
    <mergeCell ref="E15:G15"/>
    <mergeCell ref="A161:D161"/>
    <mergeCell ref="I129:J129"/>
    <mergeCell ref="M235:O235"/>
    <mergeCell ref="C63:D63"/>
    <mergeCell ref="D20:G20"/>
    <mergeCell ref="A243:B243"/>
    <mergeCell ref="A99:B99"/>
    <mergeCell ref="N219:O219"/>
    <mergeCell ref="F122:G122"/>
    <mergeCell ref="I145:L145"/>
    <mergeCell ref="K2:L2"/>
    <mergeCell ref="A87:G87"/>
    <mergeCell ref="A41:D41"/>
    <mergeCell ref="I203:L203"/>
    <mergeCell ref="M55:O55"/>
    <mergeCell ref="E135:G135"/>
    <mergeCell ref="A85:D85"/>
    <mergeCell ref="I177:O177"/>
    <mergeCell ref="C99:E99"/>
    <mergeCell ref="A22:D22"/>
    <mergeCell ref="N212:O212"/>
    <mergeCell ref="F212:G212"/>
    <mergeCell ref="I213:J213"/>
    <mergeCell ref="I35:O35"/>
    <mergeCell ref="N122:O122"/>
    <mergeCell ref="I265:L265"/>
    <mergeCell ref="K279:M279"/>
    <mergeCell ref="I242:J242"/>
    <mergeCell ref="A148:G148"/>
    <mergeCell ref="A232:D232"/>
    <mergeCell ref="C159:E159"/>
    <mergeCell ref="A290:C290"/>
    <mergeCell ref="C219:E219"/>
    <mergeCell ref="A11:D11"/>
    <mergeCell ref="N92:O92"/>
    <mergeCell ref="A242:B242"/>
    <mergeCell ref="I33:J33"/>
    <mergeCell ref="A249:B249"/>
    <mergeCell ref="M285:O285"/>
    <mergeCell ref="N69:O69"/>
    <mergeCell ref="F9:G9"/>
    <mergeCell ref="I28:O28"/>
    <mergeCell ref="I215:O215"/>
    <mergeCell ref="A95:G95"/>
    <mergeCell ref="L20:O20"/>
    <mergeCell ref="I99:J99"/>
    <mergeCell ref="A57:G57"/>
    <mergeCell ref="M53:N53"/>
    <mergeCell ref="K3:L3"/>
    <mergeCell ref="A5:G5"/>
    <mergeCell ref="M138:O138"/>
    <mergeCell ref="I82:L82"/>
    <mergeCell ref="E295:G295"/>
    <mergeCell ref="C9:E9"/>
    <mergeCell ref="M25:O25"/>
    <mergeCell ref="I245:O245"/>
    <mergeCell ref="L80:O80"/>
    <mergeCell ref="A293:D293"/>
    <mergeCell ref="K213:L213"/>
    <mergeCell ref="M198:O198"/>
    <mergeCell ref="E143:F143"/>
    <mergeCell ref="N189:O189"/>
    <mergeCell ref="M135:O135"/>
    <mergeCell ref="A3:B3"/>
    <mergeCell ref="I152:J152"/>
    <mergeCell ref="E115:G115"/>
    <mergeCell ref="L140:O140"/>
    <mergeCell ref="A237:G237"/>
    <mergeCell ref="C69:E69"/>
    <mergeCell ref="A32:B32"/>
    <mergeCell ref="A219:B219"/>
    <mergeCell ref="A233:D233"/>
    <mergeCell ref="A118:G118"/>
    <mergeCell ref="I260:K260"/>
    <mergeCell ref="M295:O295"/>
    <mergeCell ref="I238:O238"/>
    <mergeCell ref="A238:G238"/>
    <mergeCell ref="I161:L161"/>
    <mergeCell ref="A235:D235"/>
    <mergeCell ref="F182:G182"/>
    <mergeCell ref="A123:B123"/>
    <mergeCell ref="N159:O159"/>
    <mergeCell ref="E293:F293"/>
    <mergeCell ref="I95:O95"/>
    <mergeCell ref="A189:B189"/>
    <mergeCell ref="E75:G75"/>
    <mergeCell ref="C182:D182"/>
    <mergeCell ref="I85:L85"/>
    <mergeCell ref="A25:D25"/>
    <mergeCell ref="A177:G177"/>
    <mergeCell ref="I22:L22"/>
    <mergeCell ref="E175:G175"/>
    <mergeCell ref="I205:L205"/>
    <mergeCell ref="M78:O78"/>
    <mergeCell ref="C62:D62"/>
    <mergeCell ref="I230:K230"/>
    <mergeCell ref="K159:M159"/>
    <mergeCell ref="A112:D112"/>
    <mergeCell ref="A117:G117"/>
    <mergeCell ref="K153:L153"/>
    <mergeCell ref="M288:O288"/>
    <mergeCell ref="D110:G110"/>
    <mergeCell ref="C93:D93"/>
    <mergeCell ref="E228:G228"/>
    <mergeCell ref="M225:O225"/>
    <mergeCell ref="N272:O272"/>
    <mergeCell ref="I50:K50"/>
    <mergeCell ref="N182:O182"/>
    <mergeCell ref="I57:O57"/>
    <mergeCell ref="I123:J123"/>
    <mergeCell ref="F249:G249"/>
    <mergeCell ref="I268:O268"/>
    <mergeCell ref="A208:G208"/>
    <mergeCell ref="I53:L53"/>
    <mergeCell ref="K9:M9"/>
    <mergeCell ref="E165:G165"/>
    <mergeCell ref="K189:M189"/>
    <mergeCell ref="L200:O200"/>
    <mergeCell ref="I279:J279"/>
    <mergeCell ref="E233:F233"/>
    <mergeCell ref="M143:N143"/>
    <mergeCell ref="A262:D262"/>
    <mergeCell ref="E78:G78"/>
    <mergeCell ref="M75:O75"/>
    <mergeCell ref="M15:O15"/>
    <mergeCell ref="I32:J32"/>
    <mergeCell ref="K32:L32"/>
    <mergeCell ref="K63:L63"/>
    <mergeCell ref="I243:J243"/>
    <mergeCell ref="A272:B272"/>
    <mergeCell ref="F62:G62"/>
    <mergeCell ref="C249:E249"/>
    <mergeCell ref="I41:L41"/>
    <mergeCell ref="I112:L112"/>
    <mergeCell ref="F39:G39"/>
    <mergeCell ref="A63:B63"/>
    <mergeCell ref="K93:L93"/>
    <mergeCell ref="M228:O228"/>
    <mergeCell ref="A92:B92"/>
    <mergeCell ref="K99:M99"/>
    <mergeCell ref="A279:B279"/>
    <mergeCell ref="A131:D131"/>
    <mergeCell ref="I2:J2"/>
    <mergeCell ref="A52:D52"/>
    <mergeCell ref="I189:J189"/>
    <mergeCell ref="A147:G147"/>
    <mergeCell ref="E83:F83"/>
    <mergeCell ref="A69:B69"/>
    <mergeCell ref="I295:L295"/>
    <mergeCell ref="K182:L182"/>
    <mergeCell ref="A295:D295"/>
    <mergeCell ref="A183:B183"/>
    <mergeCell ref="A83:D83"/>
    <mergeCell ref="C183:D183"/>
    <mergeCell ref="A143:D143"/>
    <mergeCell ref="E168:G168"/>
    <mergeCell ref="I232:L232"/>
    <mergeCell ref="I290:K290"/>
    <mergeCell ref="A275:G275"/>
    <mergeCell ref="I11:L11"/>
    <mergeCell ref="M175:O175"/>
    <mergeCell ref="M233:N233"/>
    <mergeCell ref="E255:G255"/>
    <mergeCell ref="A205:D205"/>
    <mergeCell ref="I233:L233"/>
    <mergeCell ref="C272:D272"/>
    <mergeCell ref="N9:O9"/>
    <mergeCell ref="I117:O117"/>
    <mergeCell ref="I5:O5"/>
    <mergeCell ref="C33:D33"/>
    <mergeCell ref="K249:M249"/>
    <mergeCell ref="M105:O105"/>
    <mergeCell ref="E105:G105"/>
    <mergeCell ref="D290:G290"/>
    <mergeCell ref="N62:O62"/>
    <mergeCell ref="I208:O208"/>
    <mergeCell ref="I3:J3"/>
    <mergeCell ref="M165:O165"/>
    <mergeCell ref="F129:G129"/>
    <mergeCell ref="A88:G88"/>
    <mergeCell ref="A230:C230"/>
    <mergeCell ref="I92:J92"/>
    <mergeCell ref="M115:O115"/>
    <mergeCell ref="C189:E189"/>
    <mergeCell ref="I237:O237"/>
    <mergeCell ref="I140:K140"/>
    <mergeCell ref="K69:M69"/>
    <mergeCell ref="D170:G170"/>
    <mergeCell ref="I219:J219"/>
    <mergeCell ref="I147:O147"/>
    <mergeCell ref="A122:B122"/>
    <mergeCell ref="A159:B159"/>
    <mergeCell ref="C122:D122"/>
    <mergeCell ref="C153:D153"/>
    <mergeCell ref="A27:G27"/>
    <mergeCell ref="I143:L143"/>
    <mergeCell ref="K62:L62"/>
    <mergeCell ref="I235:L235"/>
    <mergeCell ref="A175:D175"/>
    <mergeCell ref="E265:G265"/>
    <mergeCell ref="E263:F263"/>
    <mergeCell ref="A80:C80"/>
    <mergeCell ref="C129:E129"/>
    <mergeCell ref="M255:O255"/>
    <mergeCell ref="E23:F23"/>
    <mergeCell ref="M168:O168"/>
    <mergeCell ref="E108:G108"/>
    <mergeCell ref="I272:J272"/>
    <mergeCell ref="K272:L272"/>
    <mergeCell ref="A212:B212"/>
    <mergeCell ref="C212:D212"/>
    <mergeCell ref="L170:O170"/>
    <mergeCell ref="M203:N203"/>
    <mergeCell ref="I122:J122"/>
    <mergeCell ref="A207:G207"/>
    <mergeCell ref="N39:O39"/>
    <mergeCell ref="A172:D172"/>
    <mergeCell ref="I25:L25"/>
    <mergeCell ref="A221:D221"/>
    <mergeCell ref="A292:D292"/>
    <mergeCell ref="E113:F113"/>
    <mergeCell ref="I131:L131"/>
    <mergeCell ref="L290:O290"/>
    <mergeCell ref="I87:O87"/>
    <mergeCell ref="A101:D101"/>
    <mergeCell ref="I69:J69"/>
    <mergeCell ref="A9:B9"/>
    <mergeCell ref="A298:G298"/>
    <mergeCell ref="I83:L83"/>
    <mergeCell ref="N129:O129"/>
    <mergeCell ref="I88:O88"/>
    <mergeCell ref="A182:B182"/>
    <mergeCell ref="I148:O148"/>
    <mergeCell ref="F99:G99"/>
    <mergeCell ref="D260:G260"/>
    <mergeCell ref="A155:G155"/>
    <mergeCell ref="K122:L122"/>
    <mergeCell ref="L110:O110"/>
    <mergeCell ref="D50:G50"/>
    <mergeCell ref="N2:O2"/>
    <mergeCell ref="C39:E39"/>
    <mergeCell ref="A191:D191"/>
    <mergeCell ref="A170:C170"/>
    <mergeCell ref="M265:O265"/>
    <mergeCell ref="E145:G145"/>
    <mergeCell ref="N249:O249"/>
    <mergeCell ref="F152:G152"/>
    <mergeCell ref="F279:G279"/>
    <mergeCell ref="A93:B93"/>
    <mergeCell ref="K212:L212"/>
    <mergeCell ref="I297:O297"/>
    <mergeCell ref="A71:D71"/>
    <mergeCell ref="A297:G297"/>
    <mergeCell ref="D230:G230"/>
    <mergeCell ref="A185:G185"/>
    <mergeCell ref="M83:N83"/>
    <mergeCell ref="A115:D115"/>
    <mergeCell ref="I172:L172"/>
    <mergeCell ref="A173:D173"/>
    <mergeCell ref="M195:O195"/>
    <mergeCell ref="E45:G45"/>
    <mergeCell ref="C152:D152"/>
    <mergeCell ref="F242:G242"/>
    <mergeCell ref="I159:J159"/>
    <mergeCell ref="I20:K20"/>
    <mergeCell ref="A20:C20"/>
    <mergeCell ref="I27:O27"/>
    <mergeCell ref="F2:G2"/>
    <mergeCell ref="I175:L175"/>
    <mergeCell ref="M263:N263"/>
    <mergeCell ref="I221:L221"/>
    <mergeCell ref="L260:O260"/>
    <mergeCell ref="I80:K80"/>
    <mergeCell ref="I249:J249"/>
    <mergeCell ref="C32:D32"/>
    <mergeCell ref="M23:N23"/>
    <mergeCell ref="C243:D243"/>
    <mergeCell ref="I263:L263"/>
    <mergeCell ref="I63:J63"/>
    <mergeCell ref="A113:D113"/>
    <mergeCell ref="I23:L23"/>
    <mergeCell ref="A23:D23"/>
    <mergeCell ref="I118:O118"/>
    <mergeCell ref="A125:G125"/>
    <mergeCell ref="N242:O242"/>
    <mergeCell ref="N152:O152"/>
    <mergeCell ref="I170:K170"/>
    <mergeCell ref="F32:G32"/>
    <mergeCell ref="I93:J93"/>
    <mergeCell ref="F159:G159"/>
    <mergeCell ref="F219:G219"/>
    <mergeCell ref="I275:O275"/>
    <mergeCell ref="M293:N293"/>
    <mergeCell ref="A178:G178"/>
    <mergeCell ref="A2:B2"/>
    <mergeCell ref="I101:L101"/>
    <mergeCell ref="C2:D2"/>
    <mergeCell ref="I113:L113"/>
    <mergeCell ref="E55:G55"/>
    <mergeCell ref="I115:L115"/>
    <mergeCell ref="I182:J182"/>
    <mergeCell ref="A267:G267"/>
    <mergeCell ref="N99:O99"/>
    <mergeCell ref="M48:O48"/>
    <mergeCell ref="A55:D55"/>
    <mergeCell ref="E48:G48"/>
    <mergeCell ref="I155:O155"/>
  </mergeCells>
  <pageMargins left="0.4" right="0.4" top="0.4" bottom="0.4" header="0.3" footer="0.3"/>
  <pageSetup orientation="landscape" paperSize="8" fitToHeight="0" fitToWidth="1"/>
  <headerFooter>
    <oddHeader>&amp;L&amp;1Internal</oddHeader>
    <oddFooter/>
    <evenHeader/>
    <evenFooter/>
    <firstHeader/>
    <firstFooter/>
  </headerFooter>
  <rowBreaks count="9" manualBreakCount="9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  <brk id="240" min="0" max="16383" man="1"/>
    <brk id="270" min="0" max="16383" man="1"/>
  </rowBreaks>
</worksheet>
</file>

<file path=xl/worksheets/sheet3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5:D83"/>
  <sheetViews>
    <sheetView workbookViewId="0">
      <selection activeCell="A1" sqref="A1"/>
    </sheetView>
  </sheetViews>
  <sheetFormatPr baseColWidth="8" defaultRowHeight="15"/>
  <cols>
    <col width="10.66" customWidth="1" min="1" max="1"/>
    <col width="62.44" customWidth="1" min="2" max="2"/>
    <col width="38.55" customWidth="1" min="3" max="3"/>
    <col width="40.66" customWidth="1" min="4" max="4"/>
    <col width="21.66" customWidth="1" min="5" max="5"/>
    <col width="4.33" customWidth="1" min="6" max="6"/>
  </cols>
  <sheetData>
    <row r="1" ht="42" customHeight="1"/>
    <row r="2" ht="41.25" customHeight="1"/>
    <row r="3" ht="38.25" customHeight="1"/>
    <row r="4" ht="38.25" customHeight="1"/>
    <row r="5" ht="42" customHeight="1">
      <c r="B5" s="29" t="inlineStr">
        <is>
          <t>Mercedes Benz AG</t>
        </is>
      </c>
      <c r="D5" s="30" t="inlineStr">
        <is>
          <t>BG-Metall Nord-Süd</t>
        </is>
      </c>
    </row>
    <row r="6" ht="41.25" customHeight="1">
      <c r="B6" s="31" t="inlineStr">
        <is>
          <t>Mercedesstr. 1</t>
        </is>
      </c>
    </row>
    <row r="7" ht="32.25" customHeight="1">
      <c r="B7" s="31" t="inlineStr">
        <is>
          <t>76437 Rastatt</t>
        </is>
      </c>
      <c r="D7" s="32" t="n"/>
    </row>
    <row r="8" ht="41.25" customHeight="1"/>
    <row r="9" ht="34.5" customHeight="1"/>
    <row r="10" ht="39.75" customHeight="1">
      <c r="A10" s="33" t="n">
        <v>1</v>
      </c>
      <c r="B10" s="34">
        <f>IF(Teilnehmer!B11&lt;&gt;"",Teilnehmer!B11&amp;", "&amp;Teilnehmer!C11,"")</f>
        <v/>
      </c>
      <c r="C10" s="35">
        <f>IF(Teilnehmer!D11&lt;&gt;"",Teilnehmer!D11,"")</f>
        <v/>
      </c>
    </row>
    <row r="11" ht="39.75" customHeight="1">
      <c r="A11" s="33" t="n">
        <v>2</v>
      </c>
      <c r="B11" s="34">
        <f>IF(Teilnehmer!B12&lt;&gt;"",Teilnehmer!B12&amp;", "&amp;Teilnehmer!C12,"")</f>
        <v/>
      </c>
      <c r="C11" s="35">
        <f>IF(Teilnehmer!D12&lt;&gt;"",Teilnehmer!D12,"")</f>
        <v/>
      </c>
    </row>
    <row r="12" ht="39.75" customHeight="1">
      <c r="A12" s="33" t="n">
        <v>3</v>
      </c>
      <c r="B12" s="34">
        <f>IF(Teilnehmer!B13&lt;&gt;"",Teilnehmer!B13&amp;", "&amp;Teilnehmer!C13,"")</f>
        <v/>
      </c>
      <c r="C12" s="35">
        <f>IF(Teilnehmer!D13&lt;&gt;"",Teilnehmer!D13,"")</f>
        <v/>
      </c>
    </row>
    <row r="13" ht="39.75" customHeight="1">
      <c r="A13" s="33" t="n">
        <v>4</v>
      </c>
      <c r="B13" s="34">
        <f>IF(Teilnehmer!B14&lt;&gt;"",Teilnehmer!B14&amp;", "&amp;Teilnehmer!C14,"")</f>
        <v/>
      </c>
      <c r="C13" s="35">
        <f>IF(Teilnehmer!D14&lt;&gt;"",Teilnehmer!D14,"")</f>
        <v/>
      </c>
    </row>
    <row r="14" ht="40.5" customHeight="1">
      <c r="A14" s="33" t="n">
        <v>5</v>
      </c>
      <c r="B14" s="34">
        <f>IF(Teilnehmer!B15&lt;&gt;"",Teilnehmer!B15&amp;", "&amp;Teilnehmer!C15,"")</f>
        <v/>
      </c>
      <c r="C14" s="35">
        <f>IF(Teilnehmer!D15&lt;&gt;"",Teilnehmer!D15,"")</f>
        <v/>
      </c>
    </row>
    <row r="15" ht="39.75" customHeight="1">
      <c r="A15" s="33" t="n">
        <v>6</v>
      </c>
      <c r="B15" s="34">
        <f>IF(Teilnehmer!B16&lt;&gt;"",Teilnehmer!B16&amp;", "&amp;Teilnehmer!C16,"")</f>
        <v/>
      </c>
      <c r="C15" s="35">
        <f>IF(Teilnehmer!D16&lt;&gt;"",Teilnehmer!D16,"")</f>
        <v/>
      </c>
    </row>
    <row r="16" ht="40.5" customHeight="1">
      <c r="A16" s="33" t="n">
        <v>7</v>
      </c>
      <c r="B16" s="34">
        <f>IF(Teilnehmer!B17&lt;&gt;"",Teilnehmer!B17&amp;", "&amp;Teilnehmer!C17,"")</f>
        <v/>
      </c>
      <c r="C16" s="35">
        <f>IF(Teilnehmer!D17&lt;&gt;"",Teilnehmer!D17,"")</f>
        <v/>
      </c>
    </row>
    <row r="17" ht="39" customHeight="1">
      <c r="A17" s="33" t="n">
        <v>8</v>
      </c>
      <c r="B17" s="34">
        <f>IF(Teilnehmer!B18&lt;&gt;"",Teilnehmer!B18&amp;", "&amp;Teilnehmer!C18,"")</f>
        <v/>
      </c>
      <c r="C17" s="35">
        <f>IF(Teilnehmer!D18&lt;&gt;"",Teilnehmer!D18,"")</f>
        <v/>
      </c>
    </row>
    <row r="18" ht="39.75" customHeight="1">
      <c r="A18" s="33" t="n">
        <v>9</v>
      </c>
      <c r="B18" s="34">
        <f>IF(Teilnehmer!B19&lt;&gt;"",Teilnehmer!B19&amp;", "&amp;Teilnehmer!C19,"")</f>
        <v/>
      </c>
      <c r="C18" s="35">
        <f>IF(Teilnehmer!D19&lt;&gt;"",Teilnehmer!D19,"")</f>
        <v/>
      </c>
    </row>
    <row r="19" ht="39.75" customHeight="1">
      <c r="A19" s="33" t="n">
        <v>10</v>
      </c>
      <c r="B19" s="34">
        <f>IF(Teilnehmer!B20&lt;&gt;"",Teilnehmer!B20&amp;", "&amp;Teilnehmer!C20,"")</f>
        <v/>
      </c>
      <c r="C19" s="35">
        <f>IF(Teilnehmer!D20&lt;&gt;"",Teilnehmer!D20,"")</f>
        <v/>
      </c>
    </row>
    <row r="20" ht="42" customHeight="1"/>
    <row r="21" ht="27.75" customHeight="1"/>
    <row r="22" ht="32.25" customHeight="1">
      <c r="B22" s="36" t="inlineStr">
        <is>
          <t>Dr. Schmidt, Sabine</t>
        </is>
      </c>
    </row>
    <row r="23" ht="32.25" customHeight="1">
      <c r="B23" s="36" t="inlineStr">
        <is>
          <t>07222/91-22111</t>
        </is>
      </c>
    </row>
    <row r="24" ht="32.25" customHeight="1">
      <c r="B24" s="37" t="inlineStr">
        <is>
          <t>sabine.m.schmidt@mercedes-benz.com</t>
        </is>
      </c>
    </row>
    <row r="25" ht="30" customHeight="1">
      <c r="D25" s="38">
        <f>Teilnehmer!C3</f>
        <v/>
      </c>
    </row>
    <row r="26" ht="25.5" customHeight="1"/>
    <row r="27" ht="31.5" customHeight="1"/>
    <row r="28" ht="8.25" customHeight="1"/>
    <row r="29" ht="25.5" customHeight="1">
      <c r="C29" s="38">
        <f>Teilnehmer!C3</f>
        <v/>
      </c>
    </row>
    <row r="30" ht="16.5" customHeight="1"/>
    <row r="31" ht="25.5" customHeight="1">
      <c r="B31" s="39" t="inlineStr">
        <is>
          <t xml:space="preserve">  7.0103</t>
        </is>
      </c>
      <c r="C31" s="40">
        <f>Teilnehmer!C4</f>
        <v/>
      </c>
    </row>
    <row r="32" ht="21" customHeight="1"/>
    <row r="33" ht="26.25" customHeight="1">
      <c r="B33" s="41">
        <f>"  "&amp;Teilnehmer!C5</f>
        <v/>
      </c>
      <c r="C33" s="40" t="inlineStr">
        <is>
          <t>Mercedes Benz AG, PKW Werk</t>
        </is>
      </c>
    </row>
    <row r="34" ht="15" customHeight="1"/>
    <row r="35" ht="15" customHeight="1"/>
    <row r="36" ht="29.25" customHeight="1">
      <c r="C36" s="40" t="inlineStr">
        <is>
          <t>Mercedes Benz AG</t>
        </is>
      </c>
    </row>
    <row r="37" ht="29.25" customHeight="1">
      <c r="C37" s="40" t="inlineStr">
        <is>
          <t>Werksärztlicher Dienst</t>
        </is>
      </c>
    </row>
    <row r="38" ht="29.25" customHeight="1">
      <c r="C38" s="40" t="inlineStr">
        <is>
          <t>PKW-Werk Rastatt</t>
        </is>
      </c>
    </row>
    <row r="39" ht="29.25" customHeight="1">
      <c r="C39" s="40" t="inlineStr">
        <is>
          <t>Mercedesstrasse 1</t>
        </is>
      </c>
    </row>
    <row r="40" ht="29.25" customHeight="1">
      <c r="B40" s="38">
        <f>Teilnehmer!C3</f>
        <v/>
      </c>
      <c r="C40" s="40" t="inlineStr">
        <is>
          <t>76437 Rastatt</t>
        </is>
      </c>
    </row>
    <row r="41" ht="21" customHeight="1"/>
    <row r="42" ht="9" customHeight="1"/>
    <row r="43" ht="9" customHeight="1"/>
    <row r="44" ht="42" customHeight="1"/>
    <row r="45" ht="41.25" customHeight="1"/>
    <row r="46" ht="38.25" customHeight="1"/>
    <row r="47" ht="38.25" customHeight="1"/>
    <row r="48" ht="42" customHeight="1">
      <c r="B48" s="29" t="inlineStr">
        <is>
          <t>Mercedes Benz AG</t>
        </is>
      </c>
      <c r="D48" s="30" t="inlineStr">
        <is>
          <t>BG-Metall Nord-Süd</t>
        </is>
      </c>
    </row>
    <row r="49" ht="41.25" customHeight="1">
      <c r="B49" s="31" t="inlineStr">
        <is>
          <t>Mercedesstr. 1</t>
        </is>
      </c>
    </row>
    <row r="50" ht="32.25" customHeight="1">
      <c r="B50" s="31" t="inlineStr">
        <is>
          <t>76437 Rastatt</t>
        </is>
      </c>
      <c r="D50" s="32" t="n"/>
    </row>
    <row r="51" ht="41.25" customHeight="1"/>
    <row r="52" ht="34.5" customHeight="1"/>
    <row r="53" ht="39.75" customHeight="1">
      <c r="A53" s="33" t="n">
        <v>1</v>
      </c>
      <c r="B53" s="34">
        <f>IF(Teilnehmer!B21&lt;&gt;"",Teilnehmer!B21&amp;", "&amp;Teilnehmer!C21,"")</f>
        <v/>
      </c>
      <c r="C53" s="35">
        <f>IF(Teilnehmer!D21&lt;&gt;"",Teilnehmer!D21,"")</f>
        <v/>
      </c>
    </row>
    <row r="54" ht="39.75" customHeight="1">
      <c r="A54" s="33" t="n">
        <v>2</v>
      </c>
      <c r="B54" s="34">
        <f>IF(Teilnehmer!B22&lt;&gt;"",Teilnehmer!B22&amp;", "&amp;Teilnehmer!C22,"")</f>
        <v/>
      </c>
      <c r="C54" s="35">
        <f>IF(Teilnehmer!D22&lt;&gt;"",Teilnehmer!D22,"")</f>
        <v/>
      </c>
    </row>
    <row r="55" ht="39.75" customHeight="1">
      <c r="A55" s="33" t="n">
        <v>3</v>
      </c>
      <c r="B55" s="34">
        <f>IF(Teilnehmer!B23&lt;&gt;"",Teilnehmer!B23&amp;", "&amp;Teilnehmer!C23,"")</f>
        <v/>
      </c>
      <c r="C55" s="35">
        <f>IF(Teilnehmer!D23&lt;&gt;"",Teilnehmer!D23,"")</f>
        <v/>
      </c>
    </row>
    <row r="56" ht="39.75" customHeight="1">
      <c r="A56" s="33" t="n">
        <v>4</v>
      </c>
      <c r="B56" s="34">
        <f>IF(Teilnehmer!B24&lt;&gt;"",Teilnehmer!B24&amp;", "&amp;Teilnehmer!C24,"")</f>
        <v/>
      </c>
      <c r="C56" s="35">
        <f>IF(Teilnehmer!D24&lt;&gt;"",Teilnehmer!D24,"")</f>
        <v/>
      </c>
    </row>
    <row r="57" ht="40.5" customHeight="1">
      <c r="A57" s="33" t="n">
        <v>5</v>
      </c>
      <c r="B57" s="34">
        <f>IF(Teilnehmer!B25&lt;&gt;"",Teilnehmer!B25&amp;", "&amp;Teilnehmer!C25,"")</f>
        <v/>
      </c>
      <c r="C57" s="35">
        <f>IF(Teilnehmer!D25&lt;&gt;"",Teilnehmer!D25,"")</f>
        <v/>
      </c>
    </row>
    <row r="58" ht="39.75" customHeight="1">
      <c r="A58" s="33" t="n">
        <v>6</v>
      </c>
      <c r="B58" s="34">
        <f>IF(Teilnehmer!B26&lt;&gt;"",Teilnehmer!B26&amp;", "&amp;Teilnehmer!C26,"")</f>
        <v/>
      </c>
      <c r="C58" s="35">
        <f>IF(Teilnehmer!D26&lt;&gt;"",Teilnehmer!D26,"")</f>
        <v/>
      </c>
    </row>
    <row r="59" ht="40.5" customHeight="1">
      <c r="A59" s="33" t="n">
        <v>7</v>
      </c>
      <c r="B59" s="34">
        <f>IF(Teilnehmer!B27&lt;&gt;"",Teilnehmer!B27&amp;", "&amp;Teilnehmer!C27,"")</f>
        <v/>
      </c>
      <c r="C59" s="35">
        <f>IF(Teilnehmer!D27&lt;&gt;"",Teilnehmer!D27,"")</f>
        <v/>
      </c>
    </row>
    <row r="60" ht="39" customHeight="1">
      <c r="A60" s="33" t="n">
        <v>8</v>
      </c>
      <c r="B60" s="34">
        <f>IF(Teilnehmer!B28&lt;&gt;"",Teilnehmer!B28&amp;", "&amp;Teilnehmer!C28,"")</f>
        <v/>
      </c>
      <c r="C60" s="35">
        <f>IF(Teilnehmer!D28&lt;&gt;"",Teilnehmer!D28,"")</f>
        <v/>
      </c>
    </row>
    <row r="61" ht="39.75" customHeight="1">
      <c r="A61" s="33" t="n">
        <v>9</v>
      </c>
      <c r="B61" s="34">
        <f>IF(Teilnehmer!B29&lt;&gt;"",Teilnehmer!B29&amp;", "&amp;Teilnehmer!C29,"")</f>
        <v/>
      </c>
      <c r="C61" s="35">
        <f>IF(Teilnehmer!D29&lt;&gt;"",Teilnehmer!D29,"")</f>
        <v/>
      </c>
    </row>
    <row r="62" ht="39.75" customHeight="1">
      <c r="A62" s="33" t="n">
        <v>10</v>
      </c>
      <c r="B62" s="34">
        <f>IF(Teilnehmer!B30&lt;&gt;"",Teilnehmer!B30&amp;", "&amp;Teilnehmer!C30,"")</f>
        <v/>
      </c>
      <c r="C62" s="35">
        <f>IF(Teilnehmer!D30&lt;&gt;"",Teilnehmer!D30,"")</f>
        <v/>
      </c>
    </row>
    <row r="63" ht="42" customHeight="1"/>
    <row r="64" ht="27.75" customHeight="1"/>
    <row r="65" ht="32.25" customHeight="1">
      <c r="B65" s="36" t="inlineStr">
        <is>
          <t>Dr. Schmidt, Sabine</t>
        </is>
      </c>
    </row>
    <row r="66" ht="32.25" customHeight="1">
      <c r="B66" s="36" t="inlineStr">
        <is>
          <t>07222/91-22111</t>
        </is>
      </c>
    </row>
    <row r="67" ht="32.25" customHeight="1">
      <c r="B67" s="37" t="inlineStr">
        <is>
          <t>sabine.m.schmidt@mercedes-benz.com</t>
        </is>
      </c>
    </row>
    <row r="68" ht="30" customHeight="1">
      <c r="D68" s="38">
        <f>Teilnehmer!C3</f>
        <v/>
      </c>
    </row>
    <row r="69" ht="25.5" customHeight="1"/>
    <row r="70" ht="31.5" customHeight="1"/>
    <row r="71" ht="8.25" customHeight="1"/>
    <row r="72" ht="25.5" customHeight="1">
      <c r="C72" s="38">
        <f>Teilnehmer!C3</f>
        <v/>
      </c>
    </row>
    <row r="73" ht="16.5" customHeight="1"/>
    <row r="74" ht="25.5" customHeight="1">
      <c r="B74" s="39" t="inlineStr">
        <is>
          <t xml:space="preserve">  7.0103</t>
        </is>
      </c>
      <c r="C74" s="40">
        <f>Teilnehmer!C4</f>
        <v/>
      </c>
    </row>
    <row r="75" ht="21" customHeight="1"/>
    <row r="76" ht="26.25" customHeight="1">
      <c r="B76" s="41">
        <f>"  "&amp;Teilnehmer!C5</f>
        <v/>
      </c>
      <c r="C76" s="40" t="inlineStr">
        <is>
          <t>Mercedes Benz AG, PKW Werk</t>
        </is>
      </c>
    </row>
    <row r="77" ht="15" customHeight="1"/>
    <row r="78" ht="15" customHeight="1"/>
    <row r="79" ht="29.25" customHeight="1">
      <c r="C79" s="40" t="inlineStr">
        <is>
          <t>Mercedes Benz AG</t>
        </is>
      </c>
    </row>
    <row r="80" ht="29.25" customHeight="1">
      <c r="C80" s="40" t="inlineStr">
        <is>
          <t>Werksärztlicher Dienst</t>
        </is>
      </c>
    </row>
    <row r="81" ht="29.25" customHeight="1">
      <c r="C81" s="40" t="inlineStr">
        <is>
          <t>PKW-Werk Rastatt</t>
        </is>
      </c>
    </row>
    <row r="82" ht="29.25" customHeight="1">
      <c r="C82" s="40" t="inlineStr">
        <is>
          <t>Mercedesstrasse 1</t>
        </is>
      </c>
    </row>
    <row r="83" ht="29.25" customHeight="1">
      <c r="B83" s="38">
        <f>Teilnehmer!C3</f>
        <v/>
      </c>
      <c r="C83" s="40" t="inlineStr">
        <is>
          <t>76437 Rastatt</t>
        </is>
      </c>
    </row>
    <row r="84" ht="21" customHeight="1"/>
    <row r="85" ht="9" customHeight="1"/>
    <row r="86" ht="9" customHeight="1"/>
  </sheetData>
  <mergeCells count="16">
    <mergeCell ref="C83:D83"/>
    <mergeCell ref="C29:D29"/>
    <mergeCell ref="C38:D38"/>
    <mergeCell ref="C80:D80"/>
    <mergeCell ref="C72:D72"/>
    <mergeCell ref="C82:D82"/>
    <mergeCell ref="C33:D33"/>
    <mergeCell ref="C81:D81"/>
    <mergeCell ref="C76:D76"/>
    <mergeCell ref="C37:D37"/>
    <mergeCell ref="C36:D36"/>
    <mergeCell ref="C74:D74"/>
    <mergeCell ref="C40:D40"/>
    <mergeCell ref="C31:D31"/>
    <mergeCell ref="C79:D79"/>
    <mergeCell ref="C39:D39"/>
  </mergeCells>
  <conditionalFormatting sqref="B10:B19">
    <cfRule type="cellIs" priority="1" operator="equal" dxfId="1">
      <formula>", "</formula>
    </cfRule>
  </conditionalFormatting>
  <conditionalFormatting sqref="C10:C19">
    <cfRule type="cellIs" priority="2" operator="equal" dxfId="1">
      <formula>0</formula>
    </cfRule>
  </conditionalFormatting>
  <conditionalFormatting sqref="B53:B62">
    <cfRule type="cellIs" priority="3" operator="equal" dxfId="1">
      <formula>", "</formula>
    </cfRule>
  </conditionalFormatting>
  <conditionalFormatting sqref="C53:C62">
    <cfRule type="cellIs" priority="4" operator="equal" dxfId="1">
      <formula>0</formula>
    </cfRule>
  </conditionalFormatting>
  <pageMargins left="0.197" right="0.079" top="0.394" bottom="0.394" header="0.5" footer="0.5"/>
  <pageSetup orientation="portrait" paperSize="9" fitToHeight="0" fitToWidth="1"/>
  <rowBreaks count="1" manualBreakCount="1">
    <brk id="43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A1:G5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4" customWidth="1" min="4" max="4"/>
    <col width="18" customWidth="1" min="5" max="5"/>
    <col width="22" customWidth="1" min="6" max="6"/>
    <col width="4" customWidth="1" min="7" max="7"/>
  </cols>
  <sheetData>
    <row r="1" ht="30" customHeight="1">
      <c r="A1" s="42" t="inlineStr">
        <is>
          <t>Lehrgangsdokumentation</t>
        </is>
      </c>
    </row>
    <row r="2" ht="18" customHeight="1">
      <c r="A2" s="43" t="inlineStr">
        <is>
          <t>gem. Abschnitt 2.4.6 DGUV Grundsatz 304-001</t>
        </is>
      </c>
    </row>
    <row r="4" ht="22" customHeight="1">
      <c r="B4" s="44" t="inlineStr">
        <is>
          <t>Angaben zur Ausbildungsstelle</t>
        </is>
      </c>
    </row>
    <row r="5" ht="14" customHeight="1">
      <c r="B5" s="45" t="inlineStr">
        <is>
          <t>Bezeichnung</t>
        </is>
      </c>
    </row>
    <row r="6" ht="20" customHeight="1">
      <c r="B6" s="46" t="inlineStr">
        <is>
          <t>Mercedes-Benz AG</t>
        </is>
      </c>
      <c r="E6" s="47" t="inlineStr">
        <is>
          <t>QSEH-Kennziffer:</t>
        </is>
      </c>
      <c r="F6" s="46">
        <f>Teilnehmer!F5</f>
        <v/>
      </c>
    </row>
    <row r="8" ht="14" customHeight="1">
      <c r="B8" s="45" t="inlineStr">
        <is>
          <t>Straße / Hausnr.</t>
        </is>
      </c>
    </row>
    <row r="9" ht="20" customHeight="1">
      <c r="B9" s="46" t="inlineStr">
        <is>
          <t>Mercedesstr. 1</t>
        </is>
      </c>
    </row>
    <row r="11" ht="14" customHeight="1">
      <c r="B11" s="45" t="inlineStr">
        <is>
          <t>PLZ / Ort</t>
        </is>
      </c>
    </row>
    <row r="12" ht="20" customHeight="1">
      <c r="B12" s="46" t="inlineStr">
        <is>
          <t>76437 Rastatt</t>
        </is>
      </c>
    </row>
    <row r="14" ht="22" customHeight="1">
      <c r="B14" s="44" t="inlineStr">
        <is>
          <t>Angaben zum Seminar</t>
        </is>
      </c>
    </row>
    <row r="15" ht="20" customHeight="1">
      <c r="B15" s="48">
        <f>IF(Teilnehmer!F4="EH-Ausbildung","X","  ")&amp;" EH-Ausbildung       "&amp;IF(Teilnehmer!F4="EH-Fortbildung","X","  ")&amp;" EH-Fortbildung       "&amp;IF(Teilnehmer!F4="EH-Schulung","X","  ")&amp;" EH-Schulung"</f>
        <v/>
      </c>
    </row>
    <row r="17" ht="20" customHeight="1">
      <c r="B17" s="47" t="inlineStr">
        <is>
          <t>Registriernummer:</t>
        </is>
      </c>
      <c r="C17" s="46">
        <f>Teilnehmer!C5</f>
        <v/>
      </c>
      <c r="E17" s="47" t="inlineStr">
        <is>
          <t>Lehrgangsort:</t>
        </is>
      </c>
      <c r="F17" s="46" t="inlineStr">
        <is>
          <t>Mercedes-Benz AG, PKW-Werk Rastatt</t>
        </is>
      </c>
    </row>
    <row r="18" ht="14" customHeight="1">
      <c r="B18" s="45" t="inlineStr">
        <is>
          <t>(aus dem QSEH-Portal)</t>
        </is>
      </c>
      <c r="F18" s="45" t="inlineStr">
        <is>
          <t>Gebäude 39, Gesundheitszentrum 1.OG</t>
        </is>
      </c>
    </row>
    <row r="20" ht="20" customHeight="1">
      <c r="B20" s="47" t="inlineStr">
        <is>
          <t>Lehrgangsdatum:</t>
        </is>
      </c>
      <c r="C20" s="49">
        <f>Teilnehmer!C3</f>
        <v/>
      </c>
      <c r="E20" s="47" t="inlineStr">
        <is>
          <t>Uhrzeit:</t>
        </is>
      </c>
      <c r="F20" s="46">
        <f>"von "&amp;TEXT(Teilnehmer!F3,"HH:MM")&amp;" Uhr bis "&amp;TEXT(Teilnehmer!H3,"HH:MM")&amp;" Uhr"</f>
        <v/>
      </c>
    </row>
    <row r="22" ht="20" customHeight="1">
      <c r="B22" s="47" t="inlineStr">
        <is>
          <t>Name der Lehrkraft:</t>
        </is>
      </c>
      <c r="C22" s="46">
        <f>Teilnehmer!C4</f>
        <v/>
      </c>
    </row>
    <row r="24" ht="20" customHeight="1">
      <c r="B24" s="47" t="inlineStr">
        <is>
          <t>Verantwortlicher Arzt:</t>
        </is>
      </c>
      <c r="C24" s="46">
        <f>Teilnehmer!C7</f>
        <v/>
      </c>
    </row>
    <row r="26" ht="20" customHeight="1">
      <c r="B26" s="47" t="inlineStr">
        <is>
          <t>Masken-Charge:</t>
        </is>
      </c>
      <c r="C26" s="50">
        <f>Teilnehmer!C8</f>
        <v/>
      </c>
    </row>
    <row r="28" ht="22" customHeight="1">
      <c r="B28" s="44" t="inlineStr">
        <is>
          <t>Anzahl der Teilnehmenden</t>
        </is>
      </c>
    </row>
    <row r="30" ht="20" customHeight="1">
      <c r="B30" s="47" t="inlineStr">
        <is>
          <t>Gesamtanzahl der Teilnehmenden:</t>
        </is>
      </c>
      <c r="E30" s="51">
        <f>Teilnehmer!C32</f>
        <v/>
      </c>
    </row>
    <row r="31" ht="14" customHeight="1">
      <c r="B31" s="45" t="inlineStr">
        <is>
          <t>(entspricht der Anzahl der Teilnehmerdatenblätter)</t>
        </is>
      </c>
    </row>
    <row r="33" ht="20" customHeight="1">
      <c r="B33" s="47" t="inlineStr">
        <is>
          <t>davon betriebliche Ersthelfende:</t>
        </is>
      </c>
      <c r="E33" s="51">
        <f>Teilnehmer!E32</f>
        <v/>
      </c>
    </row>
    <row r="35" ht="22" customHeight="1">
      <c r="B35" s="44" t="inlineStr">
        <is>
          <t>Anlagen</t>
        </is>
      </c>
    </row>
    <row r="36" ht="16" customHeight="1">
      <c r="B36" s="48" t="inlineStr">
        <is>
          <t>Alle Teilnehmenden sind mit Namen, Vornamen, Geburtsdatum und Unterschrift zu erfassen. Für UVT-Teilnehmende sind zusätzlich der Name und die Anschrift des Arbeitgebers sowie der kostentragende UVT zu ergänzen. Dies kann durch einzelne Teilnehmerdatenblätter erfolgen.</t>
        </is>
      </c>
    </row>
    <row r="37" ht="16" customHeight="1"/>
    <row r="38" ht="16" customHeight="1"/>
    <row r="40" ht="16" customHeight="1">
      <c r="B40" s="48" t="inlineStr">
        <is>
          <t>Die Dokumentation ist fünf Jahre aufzubewahren und auf Anforderung dem Unfallversicherungsträger vorzulegen.</t>
        </is>
      </c>
    </row>
    <row r="42" ht="18" customHeight="1">
      <c r="B42" s="47" t="inlineStr">
        <is>
          <t>Für die Richtigkeit der Angaben:</t>
        </is>
      </c>
    </row>
    <row r="47" ht="18" customHeight="1">
      <c r="B47" s="52">
        <f>"Rastatt, "&amp;TEXT(Teilnehmer!C3,"DD.MM.YYYY")</f>
        <v/>
      </c>
      <c r="E47" s="52">
        <f>"Rastatt, "&amp;TEXT(Teilnehmer!C3,"DD.MM.YYYY")</f>
        <v/>
      </c>
    </row>
    <row r="48" ht="14" customHeight="1">
      <c r="B48" s="45" t="inlineStr">
        <is>
          <t>Ort, Datum     Unterschrift Lehrgangsleitung</t>
        </is>
      </c>
      <c r="E48" s="45" t="inlineStr">
        <is>
          <t>Ort, Datum     Unterschrift Ausbildungsstelle</t>
        </is>
      </c>
    </row>
    <row r="50" ht="14" customHeight="1">
      <c r="B50" s="53" t="inlineStr">
        <is>
          <t>Stand: 2026</t>
        </is>
      </c>
    </row>
  </sheetData>
  <mergeCells count="15">
    <mergeCell ref="B4:F4"/>
    <mergeCell ref="B33:D33"/>
    <mergeCell ref="B47:C47"/>
    <mergeCell ref="B48:C48"/>
    <mergeCell ref="A1:G1"/>
    <mergeCell ref="B15:F15"/>
    <mergeCell ref="B28:F28"/>
    <mergeCell ref="A2:G2"/>
    <mergeCell ref="B36:F38"/>
    <mergeCell ref="B30:D30"/>
    <mergeCell ref="B14:F14"/>
    <mergeCell ref="E48:F48"/>
    <mergeCell ref="B40:F40"/>
    <mergeCell ref="E47:F47"/>
    <mergeCell ref="B35:F35"/>
  </mergeCells>
  <pageMargins left="0.5" right="0.5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7" t="inlineStr">
        <is>
          <t>Lehrkräfte</t>
        </is>
      </c>
    </row>
    <row r="2">
      <c r="A2" s="54" t="inlineStr">
        <is>
          <t>Putschler, Walter</t>
        </is>
      </c>
    </row>
    <row r="3">
      <c r="A3" s="54" t="inlineStr">
        <is>
          <t>Kaya, Michelle</t>
        </is>
      </c>
    </row>
    <row r="4">
      <c r="A4" s="54" t="inlineStr">
        <is>
          <t>Krempl, Elke</t>
        </is>
      </c>
    </row>
    <row r="5">
      <c r="A5" s="54" t="inlineStr">
        <is>
          <t>Breig, Bernd</t>
        </is>
      </c>
    </row>
    <row r="6">
      <c r="A6" s="54" t="inlineStr">
        <is>
          <t>Zuber, Harry</t>
        </is>
      </c>
    </row>
    <row r="7">
      <c r="A7" s="54" t="inlineStr">
        <is>
          <t>Jochim, Benjamin</t>
        </is>
      </c>
    </row>
    <row r="8">
      <c r="A8" s="54" t="inlineStr">
        <is>
          <t>Siebert, Emanuel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2026-02-16T15:53:23Z</dcterms:created>
  <dcterms:modified xmlns:dcterms="http://purl.org/dc/terms/" xmlns:xsi="http://www.w3.org/2001/XMLSchema-instance" xsi:type="dcterms:W3CDTF">2026-02-16T15:53:23Z</dcterms:modified>
</cp:coreProperties>
</file>