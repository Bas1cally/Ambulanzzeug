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ilnehmer" sheetId="1" state="visible" r:id="rId1"/>
    <sheet xmlns:r="http://schemas.openxmlformats.org/officeDocument/2006/relationships" name="Bescheinigungen" sheetId="2" state="visible" r:id="rId2"/>
    <sheet xmlns:r="http://schemas.openxmlformats.org/officeDocument/2006/relationships" name="BG-Liste" sheetId="3" state="visible" r:id="rId3"/>
    <sheet xmlns:r="http://schemas.openxmlformats.org/officeDocument/2006/relationships" name="Lehrgangsdoku" sheetId="4" state="visible" r:id="rId4"/>
  </sheets>
  <definedNames>
    <definedName name="_xlnm.Print_Titles" localSheetId="0">'Teilnehmer'!$10:$10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HH:MM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0F3460"/>
      <sz val="14"/>
    </font>
    <font>
      <name val="Calibri"/>
      <b val="1"/>
      <color rgb="00000000"/>
      <sz val="12"/>
    </font>
    <font>
      <name val="Calibri"/>
      <color rgb="00000000"/>
      <sz val="9"/>
    </font>
    <font>
      <name val="Calibri"/>
      <color rgb="00000000"/>
      <sz val="12"/>
    </font>
    <font>
      <name val="Calibri"/>
      <b val="1"/>
      <color rgb="00000000"/>
      <sz val="11"/>
    </font>
    <font>
      <name val="Calibri"/>
      <color rgb="00000000"/>
      <sz val="7"/>
    </font>
    <font>
      <name val="Calibri"/>
      <color rgb="00000000"/>
      <sz val="22"/>
    </font>
    <font>
      <name val="Calibri"/>
      <color rgb="00000000"/>
      <sz val="18"/>
    </font>
    <font>
      <name val="Calibri"/>
      <b val="1"/>
      <color rgb="00000000"/>
      <sz val="14"/>
    </font>
    <font>
      <name val="Calibri"/>
      <color rgb="00000000"/>
      <sz val="16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bottom style="thin">
        <color rgb="00000000"/>
      </bottom>
    </border>
    <border>
      <top style="thin">
        <color rgb="00000000"/>
      </top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right style="medium">
        <color rgb="0070D2A6"/>
      </right>
      <top style="medium">
        <color rgb="0070D2A6"/>
      </top>
      <bottom style="medium">
        <color rgb="0070D2A6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164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164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right" vertical="center"/>
    </xf>
    <xf numFmtId="164" fontId="9" fillId="0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4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3" fillId="0" borderId="5" applyAlignment="1" pivotButton="0" quotePrefix="0" xfId="0">
      <alignment horizontal="left" vertical="center"/>
    </xf>
    <xf numFmtId="164" fontId="13" fillId="0" borderId="5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164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164" fontId="20" fillId="0" borderId="0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FFCDD2"/>
          <bgColor rgb="00FFCDD2"/>
        </patternFill>
      </fill>
    </dxf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1" t="inlineStr">
        <is>
          <t>EH-Kurs – Teilnehmerliste 2026</t>
        </is>
      </c>
    </row>
    <row r="3" ht="22" customHeight="1">
      <c r="B3" s="2" t="inlineStr">
        <is>
          <t>Datum:</t>
        </is>
      </c>
      <c r="C3" s="3" t="n"/>
      <c r="E3" s="2" t="inlineStr">
        <is>
          <t>Beginn:</t>
        </is>
      </c>
      <c r="F3" s="4" t="n"/>
      <c r="G3" s="2" t="inlineStr">
        <is>
          <t>Ende:</t>
        </is>
      </c>
      <c r="H3" s="4" t="n"/>
    </row>
    <row r="4" ht="22" customHeight="1">
      <c r="B4" s="2" t="inlineStr">
        <is>
          <t>Lehrkraft:</t>
        </is>
      </c>
      <c r="C4" s="5" t="n"/>
      <c r="E4" s="2" t="inlineStr">
        <is>
          <t>Kursart:</t>
        </is>
      </c>
      <c r="F4" s="5" t="n"/>
    </row>
    <row r="5" ht="22" customHeight="1">
      <c r="B5" s="2" t="inlineStr">
        <is>
          <t>Registriernr.:</t>
        </is>
      </c>
      <c r="C5" s="5" t="n"/>
      <c r="E5" s="2" t="inlineStr">
        <is>
          <t>QSEH-Kennziffer:</t>
        </is>
      </c>
      <c r="F5" s="6" t="inlineStr">
        <is>
          <t>7.0103</t>
        </is>
      </c>
    </row>
    <row r="6" ht="22" customHeight="1">
      <c r="B6" s="2" t="inlineStr">
        <is>
          <t>Lehrgangsort:</t>
        </is>
      </c>
      <c r="C6" s="5" t="inlineStr">
        <is>
          <t>Mercedes-Benz AG, PKW-Werk Rastatt</t>
        </is>
      </c>
    </row>
    <row r="7" ht="22" customHeight="1">
      <c r="B7" s="2" t="inlineStr">
        <is>
          <t>Verantw. Arzt:</t>
        </is>
      </c>
      <c r="C7" s="6" t="inlineStr">
        <is>
          <t>Dr. Schmidt, Sabine</t>
        </is>
      </c>
      <c r="E7" s="2" t="inlineStr">
        <is>
          <t>Tel.:</t>
        </is>
      </c>
      <c r="F7" s="6" t="inlineStr">
        <is>
          <t>07222/91-22111</t>
        </is>
      </c>
    </row>
    <row r="8" ht="22" customHeight="1">
      <c r="B8" s="2" t="inlineStr">
        <is>
          <t>Masken-Charge:</t>
        </is>
      </c>
      <c r="C8" s="5" t="n"/>
    </row>
    <row r="10" ht="25" customHeight="1">
      <c r="A10" s="7" t="inlineStr">
        <is>
          <t>Nr</t>
        </is>
      </c>
      <c r="B10" s="7" t="inlineStr">
        <is>
          <t>Nachname</t>
        </is>
      </c>
      <c r="C10" s="7" t="inlineStr">
        <is>
          <t>Vorname</t>
        </is>
      </c>
      <c r="D10" s="7" t="inlineStr">
        <is>
          <t>Geburtsdatum</t>
        </is>
      </c>
      <c r="E10" s="7" t="inlineStr">
        <is>
          <t>Ersthelfer (x)</t>
        </is>
      </c>
    </row>
    <row r="11" ht="22" customHeight="1">
      <c r="A11" s="8" t="n">
        <v>1</v>
      </c>
      <c r="B11" s="9" t="n"/>
      <c r="C11" s="9" t="n"/>
      <c r="D11" s="10" t="n"/>
      <c r="E11" s="11" t="n"/>
    </row>
    <row r="12" ht="22" customHeight="1">
      <c r="A12" s="12" t="n">
        <v>2</v>
      </c>
      <c r="B12" s="13" t="n"/>
      <c r="C12" s="13" t="n"/>
      <c r="D12" s="14" t="n"/>
      <c r="E12" s="15" t="n"/>
    </row>
    <row r="13" ht="22" customHeight="1">
      <c r="A13" s="8" t="n">
        <v>3</v>
      </c>
      <c r="B13" s="9" t="n"/>
      <c r="C13" s="9" t="n"/>
      <c r="D13" s="10" t="n"/>
      <c r="E13" s="11" t="n"/>
    </row>
    <row r="14" ht="22" customHeight="1">
      <c r="A14" s="12" t="n">
        <v>4</v>
      </c>
      <c r="B14" s="13" t="n"/>
      <c r="C14" s="13" t="n"/>
      <c r="D14" s="14" t="n"/>
      <c r="E14" s="15" t="n"/>
    </row>
    <row r="15" ht="22" customHeight="1">
      <c r="A15" s="8" t="n">
        <v>5</v>
      </c>
      <c r="B15" s="9" t="n"/>
      <c r="C15" s="9" t="n"/>
      <c r="D15" s="10" t="n"/>
      <c r="E15" s="11" t="n"/>
    </row>
    <row r="16" ht="22" customHeight="1">
      <c r="A16" s="12" t="n">
        <v>6</v>
      </c>
      <c r="B16" s="13" t="n"/>
      <c r="C16" s="13" t="n"/>
      <c r="D16" s="14" t="n"/>
      <c r="E16" s="15" t="n"/>
    </row>
    <row r="17" ht="22" customHeight="1">
      <c r="A17" s="8" t="n">
        <v>7</v>
      </c>
      <c r="B17" s="9" t="n"/>
      <c r="C17" s="9" t="n"/>
      <c r="D17" s="10" t="n"/>
      <c r="E17" s="11" t="n"/>
    </row>
    <row r="18" ht="22" customHeight="1">
      <c r="A18" s="12" t="n">
        <v>8</v>
      </c>
      <c r="B18" s="13" t="n"/>
      <c r="C18" s="13" t="n"/>
      <c r="D18" s="14" t="n"/>
      <c r="E18" s="15" t="n"/>
    </row>
    <row r="19" ht="22" customHeight="1">
      <c r="A19" s="8" t="n">
        <v>9</v>
      </c>
      <c r="B19" s="9" t="n"/>
      <c r="C19" s="9" t="n"/>
      <c r="D19" s="10" t="n"/>
      <c r="E19" s="11" t="n"/>
    </row>
    <row r="20" ht="22" customHeight="1">
      <c r="A20" s="12" t="n">
        <v>10</v>
      </c>
      <c r="B20" s="13" t="n"/>
      <c r="C20" s="13" t="n"/>
      <c r="D20" s="14" t="n"/>
      <c r="E20" s="15" t="n"/>
    </row>
    <row r="21" ht="22" customHeight="1">
      <c r="A21" s="8" t="n">
        <v>11</v>
      </c>
      <c r="B21" s="9" t="n"/>
      <c r="C21" s="9" t="n"/>
      <c r="D21" s="10" t="n"/>
      <c r="E21" s="11" t="n"/>
    </row>
    <row r="22" ht="22" customHeight="1">
      <c r="A22" s="12" t="n">
        <v>12</v>
      </c>
      <c r="B22" s="13" t="n"/>
      <c r="C22" s="13" t="n"/>
      <c r="D22" s="14" t="n"/>
      <c r="E22" s="15" t="n"/>
    </row>
    <row r="23" ht="22" customHeight="1">
      <c r="A23" s="8" t="n">
        <v>13</v>
      </c>
      <c r="B23" s="9" t="n"/>
      <c r="C23" s="9" t="n"/>
      <c r="D23" s="10" t="n"/>
      <c r="E23" s="11" t="n"/>
    </row>
    <row r="24" ht="22" customHeight="1">
      <c r="A24" s="12" t="n">
        <v>14</v>
      </c>
      <c r="B24" s="13" t="n"/>
      <c r="C24" s="13" t="n"/>
      <c r="D24" s="14" t="n"/>
      <c r="E24" s="15" t="n"/>
    </row>
    <row r="25" ht="22" customHeight="1">
      <c r="A25" s="8" t="n">
        <v>15</v>
      </c>
      <c r="B25" s="9" t="n"/>
      <c r="C25" s="9" t="n"/>
      <c r="D25" s="10" t="n"/>
      <c r="E25" s="11" t="n"/>
    </row>
    <row r="26" ht="22" customHeight="1">
      <c r="A26" s="12" t="n">
        <v>16</v>
      </c>
      <c r="B26" s="13" t="n"/>
      <c r="C26" s="13" t="n"/>
      <c r="D26" s="14" t="n"/>
      <c r="E26" s="15" t="n"/>
    </row>
    <row r="27" ht="22" customHeight="1">
      <c r="A27" s="8" t="n">
        <v>17</v>
      </c>
      <c r="B27" s="9" t="n"/>
      <c r="C27" s="9" t="n"/>
      <c r="D27" s="10" t="n"/>
      <c r="E27" s="11" t="n"/>
    </row>
    <row r="28" ht="22" customHeight="1">
      <c r="A28" s="12" t="n">
        <v>18</v>
      </c>
      <c r="B28" s="13" t="n"/>
      <c r="C28" s="13" t="n"/>
      <c r="D28" s="14" t="n"/>
      <c r="E28" s="15" t="n"/>
    </row>
    <row r="29" ht="22" customHeight="1">
      <c r="A29" s="8" t="n">
        <v>19</v>
      </c>
      <c r="B29" s="9" t="n"/>
      <c r="C29" s="9" t="n"/>
      <c r="D29" s="10" t="n"/>
      <c r="E29" s="11" t="n"/>
    </row>
    <row r="30" ht="22" customHeight="1">
      <c r="A30" s="12" t="n">
        <v>20</v>
      </c>
      <c r="B30" s="13" t="n"/>
      <c r="C30" s="13" t="n"/>
      <c r="D30" s="14" t="n"/>
      <c r="E30" s="15" t="n"/>
    </row>
    <row r="32" ht="25" customHeight="1">
      <c r="B32" s="2" t="inlineStr">
        <is>
          <t>Gesamtanzahl:</t>
        </is>
      </c>
      <c r="C32" s="16">
        <f>COUNTA(B11:B30)</f>
        <v/>
      </c>
      <c r="D32" s="2" t="inlineStr">
        <is>
          <t>davon Ersthelfer:</t>
        </is>
      </c>
      <c r="E32" s="16">
        <f>COUNTIF(E11:E30,"x")</f>
        <v/>
      </c>
    </row>
  </sheetData>
  <mergeCells count="2">
    <mergeCell ref="C6:E6"/>
    <mergeCell ref="A1:H1"/>
  </mergeCells>
  <conditionalFormatting sqref="B11:C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4">
    <dataValidation sqref="C3" showDropDown="0" showInputMessage="0" showErrorMessage="1" allowBlank="1" errorTitle="Ungültiges Datum" error="Bitte ein gültiges Datum eingeben." type="date" operator="greaterThanOrEqual">
      <formula1>1</formula1>
    </dataValidation>
    <dataValidation sqref="C4" showDropDown="0" showInputMessage="0" showErrorMessage="0" allowBlank="1" type="list">
      <formula1>"Putschler, Walter,Kaya, Michelle,Krempl, Elke,Breig, Bernd,Zuber, Harry,Jochim, Benjamin,Siebert, Emanuel"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1B5E20"/>
    <outlinePr summaryBelow="1" summaryRight="1"/>
    <pageSetUpPr fitToPage="1"/>
  </sheetPr>
  <dimension ref="A2:Y298"/>
  <sheetViews>
    <sheetView workbookViewId="0">
      <selection activeCell="A1" sqref="A1"/>
    </sheetView>
  </sheetViews>
  <sheetFormatPr baseColWidth="8" defaultRowHeight="15"/>
  <cols>
    <col width="1" customWidth="1" min="1" max="1"/>
    <col width="5.5" customWidth="1" min="2" max="2"/>
    <col width="5.5" customWidth="1" min="3" max="3"/>
    <col width="5.5" customWidth="1" min="4" max="4"/>
    <col width="4.5" customWidth="1" min="5" max="5"/>
    <col width="4.5" customWidth="1" min="6" max="6"/>
    <col width="4.5" customWidth="1" min="7" max="7"/>
    <col width="5.5" customWidth="1" min="8" max="8"/>
    <col width="4" customWidth="1" min="9" max="9"/>
    <col width="4" customWidth="1" min="10" max="10"/>
    <col width="4" customWidth="1" min="11" max="11"/>
    <col width="1" customWidth="1" min="12" max="12"/>
    <col width="1.5" customWidth="1" min="13" max="13"/>
    <col width="1" customWidth="1" min="14" max="14"/>
    <col width="5.5" customWidth="1" min="15" max="15"/>
    <col width="5.5" customWidth="1" min="16" max="16"/>
    <col width="5.5" customWidth="1" min="17" max="17"/>
    <col width="4.5" customWidth="1" min="18" max="18"/>
    <col width="4.5" customWidth="1" min="19" max="19"/>
    <col width="4.5" customWidth="1" min="20" max="20"/>
    <col width="5.5" customWidth="1" min="21" max="21"/>
    <col width="4" customWidth="1" min="22" max="22"/>
    <col width="4" customWidth="1" min="23" max="23"/>
    <col width="4" customWidth="1" min="24" max="24"/>
    <col width="1" customWidth="1" min="25" max="25"/>
  </cols>
  <sheetData>
    <row r="1" ht="14.25" customHeight="1"/>
    <row r="2" ht="14.25" customHeight="1">
      <c r="A2" s="17">
        <f>IF(Teilnehmer!B11&lt;&gt;"",Teilnehmer!B11,"")</f>
        <v/>
      </c>
      <c r="E2" s="17">
        <f>IF(Teilnehmer!B11&lt;&gt;"",Teilnehmer!C11,"")</f>
        <v/>
      </c>
      <c r="H2" s="18" t="inlineStr">
        <is>
          <t>geb. am:</t>
        </is>
      </c>
      <c r="I2" s="19">
        <f>IF(Teilnehmer!B11&lt;&gt;"",Teilnehmer!D11,"")</f>
        <v/>
      </c>
      <c r="N2" s="17">
        <f>IF(Teilnehmer!B12&lt;&gt;"",Teilnehmer!B12,"")</f>
        <v/>
      </c>
      <c r="R2" s="17">
        <f>IF(Teilnehmer!B12&lt;&gt;"",Teilnehmer!C12,"")</f>
        <v/>
      </c>
      <c r="U2" s="18" t="inlineStr">
        <is>
          <t>geb. am:</t>
        </is>
      </c>
      <c r="V2" s="19">
        <f>IF(Teilnehmer!B12&lt;&gt;"",Teilnehmer!D12,"")</f>
        <v/>
      </c>
    </row>
    <row r="3" ht="14.25" customHeight="1">
      <c r="B3" s="20" t="inlineStr">
        <is>
          <t>Name</t>
        </is>
      </c>
      <c r="F3" s="20" t="inlineStr">
        <is>
          <t>Vorname</t>
        </is>
      </c>
      <c r="O3" s="20" t="inlineStr">
        <is>
          <t>Name</t>
        </is>
      </c>
      <c r="S3" s="20" t="inlineStr">
        <is>
          <t>Vorname</t>
        </is>
      </c>
    </row>
    <row r="4" ht="14.25" customHeight="1"/>
    <row r="5" ht="14.25" customHeight="1">
      <c r="A5" s="21" t="inlineStr">
        <is>
          <t>hat an dem 9 Unterrichtseinheiten (Nettounterrichtszeit 9 x 45 Minuten) umfassenden Lehrgang</t>
        </is>
      </c>
      <c r="N5" s="21" t="inlineStr">
        <is>
          <t>hat an dem 9 Unterrichtseinheiten (Nettounterrichtszeit 9 x 45 Minuten) umfassenden Lehrgang</t>
        </is>
      </c>
    </row>
    <row r="6" ht="14.25" customHeight="1"/>
    <row r="7" ht="14.25" customHeight="1">
      <c r="A7" s="22" t="inlineStr">
        <is>
          <t>am</t>
        </is>
      </c>
      <c r="B7" s="19">
        <f>Teilnehmer!C3</f>
        <v/>
      </c>
      <c r="D7" s="23" t="inlineStr">
        <is>
          <t>in der Zeit von</t>
        </is>
      </c>
      <c r="G7" s="24">
        <f>Teilnehmer!F3</f>
        <v/>
      </c>
      <c r="H7" s="23" t="inlineStr">
        <is>
          <t>Uhr bis</t>
        </is>
      </c>
      <c r="I7" s="24">
        <f>Teilnehmer!H3</f>
        <v/>
      </c>
      <c r="J7" s="22" t="inlineStr">
        <is>
          <t>Uhr</t>
        </is>
      </c>
      <c r="N7" s="22" t="inlineStr">
        <is>
          <t>am</t>
        </is>
      </c>
      <c r="O7" s="19">
        <f>Teilnehmer!C3</f>
        <v/>
      </c>
      <c r="Q7" s="23" t="inlineStr">
        <is>
          <t>in der Zeit von</t>
        </is>
      </c>
      <c r="T7" s="24">
        <f>Teilnehmer!F3</f>
        <v/>
      </c>
      <c r="U7" s="23" t="inlineStr">
        <is>
          <t>Uhr bis</t>
        </is>
      </c>
      <c r="V7" s="24">
        <f>Teilnehmer!H3</f>
        <v/>
      </c>
      <c r="W7" s="22" t="inlineStr">
        <is>
          <t>Uhr</t>
        </is>
      </c>
    </row>
    <row r="8" ht="14.25" customHeight="1"/>
    <row r="9" ht="14.25" customHeight="1">
      <c r="A9" s="22" t="inlineStr">
        <is>
          <t>unter der Leitung von</t>
        </is>
      </c>
      <c r="E9" s="25">
        <f>Teilnehmer!C4</f>
        <v/>
      </c>
      <c r="I9" s="22" t="inlineStr">
        <is>
          <t>erfolgreich teilgenommen.</t>
        </is>
      </c>
      <c r="N9" s="22" t="inlineStr">
        <is>
          <t>unter der Leitung von</t>
        </is>
      </c>
      <c r="R9" s="25">
        <f>Teilnehmer!C4</f>
        <v/>
      </c>
      <c r="V9" s="22" t="inlineStr">
        <is>
          <t>erfolgreich teilgenommen.</t>
        </is>
      </c>
    </row>
    <row r="10" ht="14.25" customHeight="1"/>
    <row r="11" ht="14.25" customHeight="1">
      <c r="A11" s="22" t="inlineStr">
        <is>
          <t>Teilnehmerunterlagen ausgehändigt:</t>
        </is>
      </c>
      <c r="G11" s="26" t="inlineStr">
        <is>
          <t>X</t>
        </is>
      </c>
      <c r="H11" s="22" t="inlineStr">
        <is>
          <t>ja</t>
        </is>
      </c>
      <c r="J11" s="22" t="inlineStr">
        <is>
          <t>nein</t>
        </is>
      </c>
      <c r="N11" s="22" t="inlineStr">
        <is>
          <t>Teilnehmerunterlagen ausgehändigt:</t>
        </is>
      </c>
      <c r="T11" s="26" t="inlineStr">
        <is>
          <t>X</t>
        </is>
      </c>
      <c r="U11" s="22" t="inlineStr">
        <is>
          <t>ja</t>
        </is>
      </c>
      <c r="W11" s="22" t="inlineStr">
        <is>
          <t>nein</t>
        </is>
      </c>
    </row>
    <row r="12" ht="14.25" customHeight="1"/>
    <row r="13" ht="14.25" customHeight="1"/>
    <row r="14" ht="14.25" customHeight="1">
      <c r="A14" s="27" t="inlineStr">
        <is>
          <t>Rastatt</t>
        </is>
      </c>
      <c r="D14" s="22" t="inlineStr">
        <is>
          <t>, den</t>
        </is>
      </c>
      <c r="E14" s="19">
        <f>Teilnehmer!C3</f>
        <v/>
      </c>
      <c r="N14" s="27" t="inlineStr">
        <is>
          <t>Rastatt</t>
        </is>
      </c>
      <c r="Q14" s="22" t="inlineStr">
        <is>
          <t>, den</t>
        </is>
      </c>
      <c r="R14" s="19">
        <f>Teilnehmer!C3</f>
        <v/>
      </c>
    </row>
    <row r="15" ht="14.25" customHeight="1">
      <c r="A15" s="20" t="inlineStr">
        <is>
          <t>Ort</t>
        </is>
      </c>
      <c r="E15" s="20" t="inlineStr">
        <is>
          <t>Datum</t>
        </is>
      </c>
      <c r="H15" s="20" t="inlineStr">
        <is>
          <t>Unterschrift der Lehrkraft</t>
        </is>
      </c>
      <c r="N15" s="20" t="inlineStr">
        <is>
          <t>Ort</t>
        </is>
      </c>
      <c r="R15" s="20" t="inlineStr">
        <is>
          <t>Datum</t>
        </is>
      </c>
      <c r="U15" s="20" t="inlineStr">
        <is>
          <t>Unterschrift der Lehrkraft</t>
        </is>
      </c>
    </row>
    <row r="16" ht="14.25" customHeight="1"/>
    <row r="17" ht="14.25" customHeight="1"/>
    <row r="18" ht="14.25" customHeight="1">
      <c r="H18" s="20" t="inlineStr">
        <is>
          <t>Ausbildungsverantwortlicher</t>
        </is>
      </c>
      <c r="U18" s="20" t="inlineStr">
        <is>
          <t>Ausbildungsverantwortlicher</t>
        </is>
      </c>
    </row>
    <row r="19" ht="14.25" customHeight="1"/>
    <row r="20" ht="14.25" customHeight="1">
      <c r="A20" s="22" t="inlineStr">
        <is>
          <t>Name der ermächtigten Stelle:</t>
        </is>
      </c>
      <c r="F20" s="27" t="inlineStr">
        <is>
          <t>Mercedes-Benz AG, Werk Rastatt</t>
        </is>
      </c>
      <c r="N20" s="22" t="inlineStr">
        <is>
          <t>Name der ermächtigten Stelle:</t>
        </is>
      </c>
      <c r="S20" s="27" t="inlineStr">
        <is>
          <t>Mercedes-Benz AG, Werk Rastatt</t>
        </is>
      </c>
    </row>
    <row r="21" ht="14.25" customHeight="1"/>
    <row r="22" ht="14.25" customHeight="1">
      <c r="A22" s="22" t="inlineStr">
        <is>
          <t>Kennziffer der ermächtigten Stelle</t>
        </is>
      </c>
      <c r="N22" s="22" t="inlineStr">
        <is>
          <t>Kennziffer der ermächtigten Stelle</t>
        </is>
      </c>
    </row>
    <row r="23" ht="14.25" customHeight="1">
      <c r="A23" s="22" t="inlineStr">
        <is>
          <t>gemäß § 26 DGUV Vorschrift:</t>
        </is>
      </c>
      <c r="F23" s="27" t="inlineStr">
        <is>
          <t>7.0103</t>
        </is>
      </c>
      <c r="N23" s="22" t="inlineStr">
        <is>
          <t>gemäß § 26 DGUV Vorschrift:</t>
        </is>
      </c>
      <c r="S23" s="27" t="inlineStr">
        <is>
          <t>7.0103</t>
        </is>
      </c>
    </row>
    <row r="24" ht="14.25" customHeight="1"/>
    <row r="25" ht="14.25" customHeight="1">
      <c r="A25" s="22" t="inlineStr">
        <is>
          <t>Registriernummer der Schulung:</t>
        </is>
      </c>
      <c r="F25" s="27">
        <f>Teilnehmer!C5</f>
        <v/>
      </c>
      <c r="N25" s="22" t="inlineStr">
        <is>
          <t>Registriernummer der Schulung:</t>
        </is>
      </c>
      <c r="S25" s="27">
        <f>Teilnehmer!C5</f>
        <v/>
      </c>
    </row>
    <row r="26" ht="14.25" customHeight="1"/>
    <row r="27" ht="14.25" customHeight="1">
      <c r="A27" s="28" t="inlineStr">
        <is>
          <t>* Die Teilnahme an der Ausbildung in betrieblicher Erster Hilfe gilt als Schulung in Erster Hilfe gem. § 19 Fahrerlaubnis-</t>
        </is>
      </c>
      <c r="N27" s="28" t="inlineStr">
        <is>
          <t>* Die Teilnahme an der Ausbildung in betrieblicher Erster Hilfe gilt als Schulung in Erster Hilfe gem. § 19 Fahrerlaubnis-</t>
        </is>
      </c>
    </row>
    <row r="28" ht="14.25" customHeight="1">
      <c r="A28" s="28" t="inlineStr">
        <is>
          <t xml:space="preserve">   Verordnung (FeV).</t>
        </is>
      </c>
      <c r="N28" s="28" t="inlineStr">
        <is>
          <t xml:space="preserve">   Verordnung (FeV).</t>
        </is>
      </c>
    </row>
    <row r="29" ht="14.25" customHeight="1"/>
    <row r="30" ht="14.25" customHeight="1"/>
    <row r="31" ht="14.25" customHeight="1"/>
    <row r="32" ht="14.25" customHeight="1">
      <c r="A32" s="17">
        <f>IF(Teilnehmer!B13&lt;&gt;"",Teilnehmer!B13,"")</f>
        <v/>
      </c>
      <c r="E32" s="17">
        <f>IF(Teilnehmer!B13&lt;&gt;"",Teilnehmer!C13,"")</f>
        <v/>
      </c>
      <c r="H32" s="18" t="inlineStr">
        <is>
          <t>geb. am:</t>
        </is>
      </c>
      <c r="I32" s="19">
        <f>IF(Teilnehmer!B13&lt;&gt;"",Teilnehmer!D13,"")</f>
        <v/>
      </c>
      <c r="N32" s="17">
        <f>IF(Teilnehmer!B14&lt;&gt;"",Teilnehmer!B14,"")</f>
        <v/>
      </c>
      <c r="R32" s="17">
        <f>IF(Teilnehmer!B14&lt;&gt;"",Teilnehmer!C14,"")</f>
        <v/>
      </c>
      <c r="U32" s="18" t="inlineStr">
        <is>
          <t>geb. am:</t>
        </is>
      </c>
      <c r="V32" s="19">
        <f>IF(Teilnehmer!B14&lt;&gt;"",Teilnehmer!D14,"")</f>
        <v/>
      </c>
    </row>
    <row r="33" ht="14.25" customHeight="1">
      <c r="B33" s="20" t="inlineStr">
        <is>
          <t>Name</t>
        </is>
      </c>
      <c r="F33" s="20" t="inlineStr">
        <is>
          <t>Vorname</t>
        </is>
      </c>
      <c r="O33" s="20" t="inlineStr">
        <is>
          <t>Name</t>
        </is>
      </c>
      <c r="S33" s="20" t="inlineStr">
        <is>
          <t>Vorname</t>
        </is>
      </c>
    </row>
    <row r="34" ht="14.25" customHeight="1"/>
    <row r="35" ht="14.25" customHeight="1">
      <c r="A35" s="21" t="inlineStr">
        <is>
          <t>hat an dem 9 Unterrichtseinheiten (Nettounterrichtszeit 9 x 45 Minuten) umfassenden Lehrgang</t>
        </is>
      </c>
      <c r="N35" s="21" t="inlineStr">
        <is>
          <t>hat an dem 9 Unterrichtseinheiten (Nettounterrichtszeit 9 x 45 Minuten) umfassenden Lehrgang</t>
        </is>
      </c>
    </row>
    <row r="36" ht="14.25" customHeight="1"/>
    <row r="37" ht="14.25" customHeight="1">
      <c r="A37" s="22" t="inlineStr">
        <is>
          <t>am</t>
        </is>
      </c>
      <c r="B37" s="19">
        <f>Teilnehmer!C3</f>
        <v/>
      </c>
      <c r="D37" s="23" t="inlineStr">
        <is>
          <t>in der Zeit von</t>
        </is>
      </c>
      <c r="G37" s="24">
        <f>Teilnehmer!F3</f>
        <v/>
      </c>
      <c r="H37" s="23" t="inlineStr">
        <is>
          <t>Uhr bis</t>
        </is>
      </c>
      <c r="I37" s="24">
        <f>Teilnehmer!H3</f>
        <v/>
      </c>
      <c r="J37" s="22" t="inlineStr">
        <is>
          <t>Uhr</t>
        </is>
      </c>
      <c r="N37" s="22" t="inlineStr">
        <is>
          <t>am</t>
        </is>
      </c>
      <c r="O37" s="19">
        <f>Teilnehmer!C3</f>
        <v/>
      </c>
      <c r="Q37" s="23" t="inlineStr">
        <is>
          <t>in der Zeit von</t>
        </is>
      </c>
      <c r="T37" s="24">
        <f>Teilnehmer!F3</f>
        <v/>
      </c>
      <c r="U37" s="23" t="inlineStr">
        <is>
          <t>Uhr bis</t>
        </is>
      </c>
      <c r="V37" s="24">
        <f>Teilnehmer!H3</f>
        <v/>
      </c>
      <c r="W37" s="22" t="inlineStr">
        <is>
          <t>Uhr</t>
        </is>
      </c>
    </row>
    <row r="38" ht="14.25" customHeight="1"/>
    <row r="39" ht="14.25" customHeight="1">
      <c r="A39" s="22" t="inlineStr">
        <is>
          <t>unter der Leitung von</t>
        </is>
      </c>
      <c r="E39" s="25">
        <f>Teilnehmer!C4</f>
        <v/>
      </c>
      <c r="I39" s="22" t="inlineStr">
        <is>
          <t>erfolgreich teilgenommen.</t>
        </is>
      </c>
      <c r="N39" s="22" t="inlineStr">
        <is>
          <t>unter der Leitung von</t>
        </is>
      </c>
      <c r="R39" s="25">
        <f>Teilnehmer!C4</f>
        <v/>
      </c>
      <c r="V39" s="22" t="inlineStr">
        <is>
          <t>erfolgreich teilgenommen.</t>
        </is>
      </c>
    </row>
    <row r="40" ht="14.25" customHeight="1"/>
    <row r="41" ht="14.25" customHeight="1">
      <c r="A41" s="22" t="inlineStr">
        <is>
          <t>Teilnehmerunterlagen ausgehändigt:</t>
        </is>
      </c>
      <c r="G41" s="26" t="inlineStr">
        <is>
          <t>X</t>
        </is>
      </c>
      <c r="H41" s="22" t="inlineStr">
        <is>
          <t>ja</t>
        </is>
      </c>
      <c r="J41" s="22" t="inlineStr">
        <is>
          <t>nein</t>
        </is>
      </c>
      <c r="N41" s="22" t="inlineStr">
        <is>
          <t>Teilnehmerunterlagen ausgehändigt:</t>
        </is>
      </c>
      <c r="T41" s="26" t="inlineStr">
        <is>
          <t>X</t>
        </is>
      </c>
      <c r="U41" s="22" t="inlineStr">
        <is>
          <t>ja</t>
        </is>
      </c>
      <c r="W41" s="22" t="inlineStr">
        <is>
          <t>nein</t>
        </is>
      </c>
    </row>
    <row r="42" ht="14.25" customHeight="1"/>
    <row r="43" ht="14.25" customHeight="1"/>
    <row r="44" ht="14.25" customHeight="1">
      <c r="A44" s="27" t="inlineStr">
        <is>
          <t>Rastatt</t>
        </is>
      </c>
      <c r="D44" s="22" t="inlineStr">
        <is>
          <t>, den</t>
        </is>
      </c>
      <c r="E44" s="19">
        <f>Teilnehmer!C3</f>
        <v/>
      </c>
      <c r="N44" s="27" t="inlineStr">
        <is>
          <t>Rastatt</t>
        </is>
      </c>
      <c r="Q44" s="22" t="inlineStr">
        <is>
          <t>, den</t>
        </is>
      </c>
      <c r="R44" s="19">
        <f>Teilnehmer!C3</f>
        <v/>
      </c>
    </row>
    <row r="45" ht="14.25" customHeight="1">
      <c r="A45" s="20" t="inlineStr">
        <is>
          <t>Ort</t>
        </is>
      </c>
      <c r="E45" s="20" t="inlineStr">
        <is>
          <t>Datum</t>
        </is>
      </c>
      <c r="H45" s="20" t="inlineStr">
        <is>
          <t>Unterschrift der Lehrkraft</t>
        </is>
      </c>
      <c r="N45" s="20" t="inlineStr">
        <is>
          <t>Ort</t>
        </is>
      </c>
      <c r="R45" s="20" t="inlineStr">
        <is>
          <t>Datum</t>
        </is>
      </c>
      <c r="U45" s="20" t="inlineStr">
        <is>
          <t>Unterschrift der Lehrkraft</t>
        </is>
      </c>
    </row>
    <row r="46" ht="14.25" customHeight="1"/>
    <row r="47" ht="14.25" customHeight="1"/>
    <row r="48" ht="14.25" customHeight="1">
      <c r="H48" s="20" t="inlineStr">
        <is>
          <t>Ausbildungsverantwortlicher</t>
        </is>
      </c>
      <c r="U48" s="20" t="inlineStr">
        <is>
          <t>Ausbildungsverantwortlicher</t>
        </is>
      </c>
    </row>
    <row r="49" ht="14.25" customHeight="1"/>
    <row r="50" ht="14.25" customHeight="1">
      <c r="A50" s="22" t="inlineStr">
        <is>
          <t>Name der ermächtigten Stelle:</t>
        </is>
      </c>
      <c r="F50" s="27" t="inlineStr">
        <is>
          <t>Mercedes-Benz AG, Werk Rastatt</t>
        </is>
      </c>
      <c r="N50" s="22" t="inlineStr">
        <is>
          <t>Name der ermächtigten Stelle:</t>
        </is>
      </c>
      <c r="S50" s="27" t="inlineStr">
        <is>
          <t>Mercedes-Benz AG, Werk Rastatt</t>
        </is>
      </c>
    </row>
    <row r="51" ht="14.25" customHeight="1"/>
    <row r="52" ht="14.25" customHeight="1">
      <c r="A52" s="22" t="inlineStr">
        <is>
          <t>Kennziffer der ermächtigten Stelle</t>
        </is>
      </c>
      <c r="N52" s="22" t="inlineStr">
        <is>
          <t>Kennziffer der ermächtigten Stelle</t>
        </is>
      </c>
    </row>
    <row r="53" ht="14.25" customHeight="1">
      <c r="A53" s="22" t="inlineStr">
        <is>
          <t>gemäß § 26 DGUV Vorschrift:</t>
        </is>
      </c>
      <c r="F53" s="27" t="inlineStr">
        <is>
          <t>7.0103</t>
        </is>
      </c>
      <c r="N53" s="22" t="inlineStr">
        <is>
          <t>gemäß § 26 DGUV Vorschrift:</t>
        </is>
      </c>
      <c r="S53" s="27" t="inlineStr">
        <is>
          <t>7.0103</t>
        </is>
      </c>
    </row>
    <row r="54" ht="14.25" customHeight="1"/>
    <row r="55" ht="14.25" customHeight="1">
      <c r="A55" s="22" t="inlineStr">
        <is>
          <t>Registriernummer der Schulung:</t>
        </is>
      </c>
      <c r="F55" s="27">
        <f>Teilnehmer!C5</f>
        <v/>
      </c>
      <c r="N55" s="22" t="inlineStr">
        <is>
          <t>Registriernummer der Schulung:</t>
        </is>
      </c>
      <c r="S55" s="27">
        <f>Teilnehmer!C5</f>
        <v/>
      </c>
    </row>
    <row r="56" ht="14.25" customHeight="1"/>
    <row r="57" ht="14.25" customHeight="1">
      <c r="A57" s="28" t="inlineStr">
        <is>
          <t>* Die Teilnahme an der Ausbildung in betrieblicher Erster Hilfe gilt als Schulung in Erster Hilfe gem. § 19 Fahrerlaubnis-</t>
        </is>
      </c>
      <c r="N57" s="28" t="inlineStr">
        <is>
          <t>* Die Teilnahme an der Ausbildung in betrieblicher Erster Hilfe gilt als Schulung in Erster Hilfe gem. § 19 Fahrerlaubnis-</t>
        </is>
      </c>
    </row>
    <row r="58" ht="14.25" customHeight="1">
      <c r="A58" s="28" t="inlineStr">
        <is>
          <t xml:space="preserve">   Verordnung (FeV).</t>
        </is>
      </c>
      <c r="N58" s="28" t="inlineStr">
        <is>
          <t xml:space="preserve">   Verordnung (FeV).</t>
        </is>
      </c>
    </row>
    <row r="59" ht="14.25" customHeight="1"/>
    <row r="60" ht="14.25" customHeight="1"/>
    <row r="61" ht="14.25" customHeight="1"/>
    <row r="62" ht="14.25" customHeight="1">
      <c r="A62" s="17">
        <f>IF(Teilnehmer!B15&lt;&gt;"",Teilnehmer!B15,"")</f>
        <v/>
      </c>
      <c r="E62" s="17">
        <f>IF(Teilnehmer!B15&lt;&gt;"",Teilnehmer!C15,"")</f>
        <v/>
      </c>
      <c r="H62" s="18" t="inlineStr">
        <is>
          <t>geb. am:</t>
        </is>
      </c>
      <c r="I62" s="19">
        <f>IF(Teilnehmer!B15&lt;&gt;"",Teilnehmer!D15,"")</f>
        <v/>
      </c>
      <c r="N62" s="17">
        <f>IF(Teilnehmer!B16&lt;&gt;"",Teilnehmer!B16,"")</f>
        <v/>
      </c>
      <c r="R62" s="17">
        <f>IF(Teilnehmer!B16&lt;&gt;"",Teilnehmer!C16,"")</f>
        <v/>
      </c>
      <c r="U62" s="18" t="inlineStr">
        <is>
          <t>geb. am:</t>
        </is>
      </c>
      <c r="V62" s="19">
        <f>IF(Teilnehmer!B16&lt;&gt;"",Teilnehmer!D16,"")</f>
        <v/>
      </c>
    </row>
    <row r="63" ht="14.25" customHeight="1">
      <c r="B63" s="20" t="inlineStr">
        <is>
          <t>Name</t>
        </is>
      </c>
      <c r="F63" s="20" t="inlineStr">
        <is>
          <t>Vorname</t>
        </is>
      </c>
      <c r="O63" s="20" t="inlineStr">
        <is>
          <t>Name</t>
        </is>
      </c>
      <c r="S63" s="20" t="inlineStr">
        <is>
          <t>Vorname</t>
        </is>
      </c>
    </row>
    <row r="64" ht="14.25" customHeight="1"/>
    <row r="65" ht="14.25" customHeight="1">
      <c r="A65" s="21" t="inlineStr">
        <is>
          <t>hat an dem 9 Unterrichtseinheiten (Nettounterrichtszeit 9 x 45 Minuten) umfassenden Lehrgang</t>
        </is>
      </c>
      <c r="N65" s="21" t="inlineStr">
        <is>
          <t>hat an dem 9 Unterrichtseinheiten (Nettounterrichtszeit 9 x 45 Minuten) umfassenden Lehrgang</t>
        </is>
      </c>
    </row>
    <row r="66" ht="14.25" customHeight="1"/>
    <row r="67" ht="14.25" customHeight="1">
      <c r="A67" s="22" t="inlineStr">
        <is>
          <t>am</t>
        </is>
      </c>
      <c r="B67" s="19">
        <f>Teilnehmer!C3</f>
        <v/>
      </c>
      <c r="D67" s="23" t="inlineStr">
        <is>
          <t>in der Zeit von</t>
        </is>
      </c>
      <c r="G67" s="24">
        <f>Teilnehmer!F3</f>
        <v/>
      </c>
      <c r="H67" s="23" t="inlineStr">
        <is>
          <t>Uhr bis</t>
        </is>
      </c>
      <c r="I67" s="24">
        <f>Teilnehmer!H3</f>
        <v/>
      </c>
      <c r="J67" s="22" t="inlineStr">
        <is>
          <t>Uhr</t>
        </is>
      </c>
      <c r="N67" s="22" t="inlineStr">
        <is>
          <t>am</t>
        </is>
      </c>
      <c r="O67" s="19">
        <f>Teilnehmer!C3</f>
        <v/>
      </c>
      <c r="Q67" s="23" t="inlineStr">
        <is>
          <t>in der Zeit von</t>
        </is>
      </c>
      <c r="T67" s="24">
        <f>Teilnehmer!F3</f>
        <v/>
      </c>
      <c r="U67" s="23" t="inlineStr">
        <is>
          <t>Uhr bis</t>
        </is>
      </c>
      <c r="V67" s="24">
        <f>Teilnehmer!H3</f>
        <v/>
      </c>
      <c r="W67" s="22" t="inlineStr">
        <is>
          <t>Uhr</t>
        </is>
      </c>
    </row>
    <row r="68" ht="14.25" customHeight="1"/>
    <row r="69" ht="14.25" customHeight="1">
      <c r="A69" s="22" t="inlineStr">
        <is>
          <t>unter der Leitung von</t>
        </is>
      </c>
      <c r="E69" s="25">
        <f>Teilnehmer!C4</f>
        <v/>
      </c>
      <c r="I69" s="22" t="inlineStr">
        <is>
          <t>erfolgreich teilgenommen.</t>
        </is>
      </c>
      <c r="N69" s="22" t="inlineStr">
        <is>
          <t>unter der Leitung von</t>
        </is>
      </c>
      <c r="R69" s="25">
        <f>Teilnehmer!C4</f>
        <v/>
      </c>
      <c r="V69" s="22" t="inlineStr">
        <is>
          <t>erfolgreich teilgenommen.</t>
        </is>
      </c>
    </row>
    <row r="70" ht="14.25" customHeight="1"/>
    <row r="71" ht="14.25" customHeight="1">
      <c r="A71" s="22" t="inlineStr">
        <is>
          <t>Teilnehmerunterlagen ausgehändigt:</t>
        </is>
      </c>
      <c r="G71" s="26" t="inlineStr">
        <is>
          <t>X</t>
        </is>
      </c>
      <c r="H71" s="22" t="inlineStr">
        <is>
          <t>ja</t>
        </is>
      </c>
      <c r="J71" s="22" t="inlineStr">
        <is>
          <t>nein</t>
        </is>
      </c>
      <c r="N71" s="22" t="inlineStr">
        <is>
          <t>Teilnehmerunterlagen ausgehändigt:</t>
        </is>
      </c>
      <c r="T71" s="26" t="inlineStr">
        <is>
          <t>X</t>
        </is>
      </c>
      <c r="U71" s="22" t="inlineStr">
        <is>
          <t>ja</t>
        </is>
      </c>
      <c r="W71" s="22" t="inlineStr">
        <is>
          <t>nein</t>
        </is>
      </c>
    </row>
    <row r="72" ht="14.25" customHeight="1"/>
    <row r="73" ht="14.25" customHeight="1"/>
    <row r="74" ht="14.25" customHeight="1">
      <c r="A74" s="27" t="inlineStr">
        <is>
          <t>Rastatt</t>
        </is>
      </c>
      <c r="D74" s="22" t="inlineStr">
        <is>
          <t>, den</t>
        </is>
      </c>
      <c r="E74" s="19">
        <f>Teilnehmer!C3</f>
        <v/>
      </c>
      <c r="N74" s="27" t="inlineStr">
        <is>
          <t>Rastatt</t>
        </is>
      </c>
      <c r="Q74" s="22" t="inlineStr">
        <is>
          <t>, den</t>
        </is>
      </c>
      <c r="R74" s="19">
        <f>Teilnehmer!C3</f>
        <v/>
      </c>
    </row>
    <row r="75" ht="14.25" customHeight="1">
      <c r="A75" s="20" t="inlineStr">
        <is>
          <t>Ort</t>
        </is>
      </c>
      <c r="E75" s="20" t="inlineStr">
        <is>
          <t>Datum</t>
        </is>
      </c>
      <c r="H75" s="20" t="inlineStr">
        <is>
          <t>Unterschrift der Lehrkraft</t>
        </is>
      </c>
      <c r="N75" s="20" t="inlineStr">
        <is>
          <t>Ort</t>
        </is>
      </c>
      <c r="R75" s="20" t="inlineStr">
        <is>
          <t>Datum</t>
        </is>
      </c>
      <c r="U75" s="20" t="inlineStr">
        <is>
          <t>Unterschrift der Lehrkraft</t>
        </is>
      </c>
    </row>
    <row r="76" ht="14.25" customHeight="1"/>
    <row r="77" ht="14.25" customHeight="1"/>
    <row r="78" ht="14.25" customHeight="1">
      <c r="H78" s="20" t="inlineStr">
        <is>
          <t>Ausbildungsverantwortlicher</t>
        </is>
      </c>
      <c r="U78" s="20" t="inlineStr">
        <is>
          <t>Ausbildungsverantwortlicher</t>
        </is>
      </c>
    </row>
    <row r="79" ht="14.25" customHeight="1"/>
    <row r="80" ht="14.25" customHeight="1">
      <c r="A80" s="22" t="inlineStr">
        <is>
          <t>Name der ermächtigten Stelle:</t>
        </is>
      </c>
      <c r="F80" s="27" t="inlineStr">
        <is>
          <t>Mercedes-Benz AG, Werk Rastatt</t>
        </is>
      </c>
      <c r="N80" s="22" t="inlineStr">
        <is>
          <t>Name der ermächtigten Stelle:</t>
        </is>
      </c>
      <c r="S80" s="27" t="inlineStr">
        <is>
          <t>Mercedes-Benz AG, Werk Rastatt</t>
        </is>
      </c>
    </row>
    <row r="81" ht="14.25" customHeight="1"/>
    <row r="82" ht="14.25" customHeight="1">
      <c r="A82" s="22" t="inlineStr">
        <is>
          <t>Kennziffer der ermächtigten Stelle</t>
        </is>
      </c>
      <c r="N82" s="22" t="inlineStr">
        <is>
          <t>Kennziffer der ermächtigten Stelle</t>
        </is>
      </c>
    </row>
    <row r="83" ht="14.25" customHeight="1">
      <c r="A83" s="22" t="inlineStr">
        <is>
          <t>gemäß § 26 DGUV Vorschrift:</t>
        </is>
      </c>
      <c r="F83" s="27" t="inlineStr">
        <is>
          <t>7.0103</t>
        </is>
      </c>
      <c r="N83" s="22" t="inlineStr">
        <is>
          <t>gemäß § 26 DGUV Vorschrift:</t>
        </is>
      </c>
      <c r="S83" s="27" t="inlineStr">
        <is>
          <t>7.0103</t>
        </is>
      </c>
    </row>
    <row r="84" ht="14.25" customHeight="1"/>
    <row r="85" ht="14.25" customHeight="1">
      <c r="A85" s="22" t="inlineStr">
        <is>
          <t>Registriernummer der Schulung:</t>
        </is>
      </c>
      <c r="F85" s="27">
        <f>Teilnehmer!C5</f>
        <v/>
      </c>
      <c r="N85" s="22" t="inlineStr">
        <is>
          <t>Registriernummer der Schulung:</t>
        </is>
      </c>
      <c r="S85" s="27">
        <f>Teilnehmer!C5</f>
        <v/>
      </c>
    </row>
    <row r="86" ht="14.25" customHeight="1"/>
    <row r="87" ht="14.25" customHeight="1">
      <c r="A87" s="28" t="inlineStr">
        <is>
          <t>* Die Teilnahme an der Ausbildung in betrieblicher Erster Hilfe gilt als Schulung in Erster Hilfe gem. § 19 Fahrerlaubnis-</t>
        </is>
      </c>
      <c r="N87" s="28" t="inlineStr">
        <is>
          <t>* Die Teilnahme an der Ausbildung in betrieblicher Erster Hilfe gilt als Schulung in Erster Hilfe gem. § 19 Fahrerlaubnis-</t>
        </is>
      </c>
    </row>
    <row r="88" ht="14.25" customHeight="1">
      <c r="A88" s="28" t="inlineStr">
        <is>
          <t xml:space="preserve">   Verordnung (FeV).</t>
        </is>
      </c>
      <c r="N88" s="28" t="inlineStr">
        <is>
          <t xml:space="preserve">   Verordnung (FeV).</t>
        </is>
      </c>
    </row>
    <row r="89" ht="14.25" customHeight="1"/>
    <row r="90" ht="14.25" customHeight="1"/>
    <row r="91" ht="14.25" customHeight="1"/>
    <row r="92" ht="14.25" customHeight="1">
      <c r="A92" s="17">
        <f>IF(Teilnehmer!B17&lt;&gt;"",Teilnehmer!B17,"")</f>
        <v/>
      </c>
      <c r="E92" s="17">
        <f>IF(Teilnehmer!B17&lt;&gt;"",Teilnehmer!C17,"")</f>
        <v/>
      </c>
      <c r="H92" s="18" t="inlineStr">
        <is>
          <t>geb. am:</t>
        </is>
      </c>
      <c r="I92" s="19">
        <f>IF(Teilnehmer!B17&lt;&gt;"",Teilnehmer!D17,"")</f>
        <v/>
      </c>
      <c r="N92" s="17">
        <f>IF(Teilnehmer!B18&lt;&gt;"",Teilnehmer!B18,"")</f>
        <v/>
      </c>
      <c r="R92" s="17">
        <f>IF(Teilnehmer!B18&lt;&gt;"",Teilnehmer!C18,"")</f>
        <v/>
      </c>
      <c r="U92" s="18" t="inlineStr">
        <is>
          <t>geb. am:</t>
        </is>
      </c>
      <c r="V92" s="19">
        <f>IF(Teilnehmer!B18&lt;&gt;"",Teilnehmer!D18,"")</f>
        <v/>
      </c>
    </row>
    <row r="93" ht="14.25" customHeight="1">
      <c r="B93" s="20" t="inlineStr">
        <is>
          <t>Name</t>
        </is>
      </c>
      <c r="F93" s="20" t="inlineStr">
        <is>
          <t>Vorname</t>
        </is>
      </c>
      <c r="O93" s="20" t="inlineStr">
        <is>
          <t>Name</t>
        </is>
      </c>
      <c r="S93" s="20" t="inlineStr">
        <is>
          <t>Vorname</t>
        </is>
      </c>
    </row>
    <row r="94" ht="14.25" customHeight="1"/>
    <row r="95" ht="14.25" customHeight="1">
      <c r="A95" s="21" t="inlineStr">
        <is>
          <t>hat an dem 9 Unterrichtseinheiten (Nettounterrichtszeit 9 x 45 Minuten) umfassenden Lehrgang</t>
        </is>
      </c>
      <c r="N95" s="21" t="inlineStr">
        <is>
          <t>hat an dem 9 Unterrichtseinheiten (Nettounterrichtszeit 9 x 45 Minuten) umfassenden Lehrgang</t>
        </is>
      </c>
    </row>
    <row r="96" ht="14.25" customHeight="1"/>
    <row r="97" ht="14.25" customHeight="1">
      <c r="A97" s="22" t="inlineStr">
        <is>
          <t>am</t>
        </is>
      </c>
      <c r="B97" s="19">
        <f>Teilnehmer!C3</f>
        <v/>
      </c>
      <c r="D97" s="23" t="inlineStr">
        <is>
          <t>in der Zeit von</t>
        </is>
      </c>
      <c r="G97" s="24">
        <f>Teilnehmer!F3</f>
        <v/>
      </c>
      <c r="H97" s="23" t="inlineStr">
        <is>
          <t>Uhr bis</t>
        </is>
      </c>
      <c r="I97" s="24">
        <f>Teilnehmer!H3</f>
        <v/>
      </c>
      <c r="J97" s="22" t="inlineStr">
        <is>
          <t>Uhr</t>
        </is>
      </c>
      <c r="N97" s="22" t="inlineStr">
        <is>
          <t>am</t>
        </is>
      </c>
      <c r="O97" s="19">
        <f>Teilnehmer!C3</f>
        <v/>
      </c>
      <c r="Q97" s="23" t="inlineStr">
        <is>
          <t>in der Zeit von</t>
        </is>
      </c>
      <c r="T97" s="24">
        <f>Teilnehmer!F3</f>
        <v/>
      </c>
      <c r="U97" s="23" t="inlineStr">
        <is>
          <t>Uhr bis</t>
        </is>
      </c>
      <c r="V97" s="24">
        <f>Teilnehmer!H3</f>
        <v/>
      </c>
      <c r="W97" s="22" t="inlineStr">
        <is>
          <t>Uhr</t>
        </is>
      </c>
    </row>
    <row r="98" ht="14.25" customHeight="1"/>
    <row r="99" ht="14.25" customHeight="1">
      <c r="A99" s="22" t="inlineStr">
        <is>
          <t>unter der Leitung von</t>
        </is>
      </c>
      <c r="E99" s="25">
        <f>Teilnehmer!C4</f>
        <v/>
      </c>
      <c r="I99" s="22" t="inlineStr">
        <is>
          <t>erfolgreich teilgenommen.</t>
        </is>
      </c>
      <c r="N99" s="22" t="inlineStr">
        <is>
          <t>unter der Leitung von</t>
        </is>
      </c>
      <c r="R99" s="25">
        <f>Teilnehmer!C4</f>
        <v/>
      </c>
      <c r="V99" s="22" t="inlineStr">
        <is>
          <t>erfolgreich teilgenommen.</t>
        </is>
      </c>
    </row>
    <row r="100" ht="14.25" customHeight="1"/>
    <row r="101" ht="14.25" customHeight="1">
      <c r="A101" s="22" t="inlineStr">
        <is>
          <t>Teilnehmerunterlagen ausgehändigt:</t>
        </is>
      </c>
      <c r="G101" s="26" t="inlineStr">
        <is>
          <t>X</t>
        </is>
      </c>
      <c r="H101" s="22" t="inlineStr">
        <is>
          <t>ja</t>
        </is>
      </c>
      <c r="J101" s="22" t="inlineStr">
        <is>
          <t>nein</t>
        </is>
      </c>
      <c r="N101" s="22" t="inlineStr">
        <is>
          <t>Teilnehmerunterlagen ausgehändigt:</t>
        </is>
      </c>
      <c r="T101" s="26" t="inlineStr">
        <is>
          <t>X</t>
        </is>
      </c>
      <c r="U101" s="22" t="inlineStr">
        <is>
          <t>ja</t>
        </is>
      </c>
      <c r="W101" s="22" t="inlineStr">
        <is>
          <t>nein</t>
        </is>
      </c>
    </row>
    <row r="102" ht="14.25" customHeight="1"/>
    <row r="103" ht="14.25" customHeight="1"/>
    <row r="104" ht="14.25" customHeight="1">
      <c r="A104" s="27" t="inlineStr">
        <is>
          <t>Rastatt</t>
        </is>
      </c>
      <c r="D104" s="22" t="inlineStr">
        <is>
          <t>, den</t>
        </is>
      </c>
      <c r="E104" s="19">
        <f>Teilnehmer!C3</f>
        <v/>
      </c>
      <c r="N104" s="27" t="inlineStr">
        <is>
          <t>Rastatt</t>
        </is>
      </c>
      <c r="Q104" s="22" t="inlineStr">
        <is>
          <t>, den</t>
        </is>
      </c>
      <c r="R104" s="19">
        <f>Teilnehmer!C3</f>
        <v/>
      </c>
    </row>
    <row r="105" ht="14.25" customHeight="1">
      <c r="A105" s="20" t="inlineStr">
        <is>
          <t>Ort</t>
        </is>
      </c>
      <c r="E105" s="20" t="inlineStr">
        <is>
          <t>Datum</t>
        </is>
      </c>
      <c r="H105" s="20" t="inlineStr">
        <is>
          <t>Unterschrift der Lehrkraft</t>
        </is>
      </c>
      <c r="N105" s="20" t="inlineStr">
        <is>
          <t>Ort</t>
        </is>
      </c>
      <c r="R105" s="20" t="inlineStr">
        <is>
          <t>Datum</t>
        </is>
      </c>
      <c r="U105" s="20" t="inlineStr">
        <is>
          <t>Unterschrift der Lehrkraft</t>
        </is>
      </c>
    </row>
    <row r="106" ht="14.25" customHeight="1"/>
    <row r="107" ht="14.25" customHeight="1"/>
    <row r="108" ht="14.25" customHeight="1">
      <c r="H108" s="20" t="inlineStr">
        <is>
          <t>Ausbildungsverantwortlicher</t>
        </is>
      </c>
      <c r="U108" s="20" t="inlineStr">
        <is>
          <t>Ausbildungsverantwortlicher</t>
        </is>
      </c>
    </row>
    <row r="109" ht="14.25" customHeight="1"/>
    <row r="110" ht="14.25" customHeight="1">
      <c r="A110" s="22" t="inlineStr">
        <is>
          <t>Name der ermächtigten Stelle:</t>
        </is>
      </c>
      <c r="F110" s="27" t="inlineStr">
        <is>
          <t>Mercedes-Benz AG, Werk Rastatt</t>
        </is>
      </c>
      <c r="N110" s="22" t="inlineStr">
        <is>
          <t>Name der ermächtigten Stelle:</t>
        </is>
      </c>
      <c r="S110" s="27" t="inlineStr">
        <is>
          <t>Mercedes-Benz AG, Werk Rastatt</t>
        </is>
      </c>
    </row>
    <row r="111" ht="14.25" customHeight="1"/>
    <row r="112" ht="14.25" customHeight="1">
      <c r="A112" s="22" t="inlineStr">
        <is>
          <t>Kennziffer der ermächtigten Stelle</t>
        </is>
      </c>
      <c r="N112" s="22" t="inlineStr">
        <is>
          <t>Kennziffer der ermächtigten Stelle</t>
        </is>
      </c>
    </row>
    <row r="113" ht="14.25" customHeight="1">
      <c r="A113" s="22" t="inlineStr">
        <is>
          <t>gemäß § 26 DGUV Vorschrift:</t>
        </is>
      </c>
      <c r="F113" s="27" t="inlineStr">
        <is>
          <t>7.0103</t>
        </is>
      </c>
      <c r="N113" s="22" t="inlineStr">
        <is>
          <t>gemäß § 26 DGUV Vorschrift:</t>
        </is>
      </c>
      <c r="S113" s="27" t="inlineStr">
        <is>
          <t>7.0103</t>
        </is>
      </c>
    </row>
    <row r="114" ht="14.25" customHeight="1"/>
    <row r="115" ht="14.25" customHeight="1">
      <c r="A115" s="22" t="inlineStr">
        <is>
          <t>Registriernummer der Schulung:</t>
        </is>
      </c>
      <c r="F115" s="27">
        <f>Teilnehmer!C5</f>
        <v/>
      </c>
      <c r="N115" s="22" t="inlineStr">
        <is>
          <t>Registriernummer der Schulung:</t>
        </is>
      </c>
      <c r="S115" s="27">
        <f>Teilnehmer!C5</f>
        <v/>
      </c>
    </row>
    <row r="116" ht="14.25" customHeight="1"/>
    <row r="117" ht="14.25" customHeight="1">
      <c r="A117" s="28" t="inlineStr">
        <is>
          <t>* Die Teilnahme an der Ausbildung in betrieblicher Erster Hilfe gilt als Schulung in Erster Hilfe gem. § 19 Fahrerlaubnis-</t>
        </is>
      </c>
      <c r="N117" s="28" t="inlineStr">
        <is>
          <t>* Die Teilnahme an der Ausbildung in betrieblicher Erster Hilfe gilt als Schulung in Erster Hilfe gem. § 19 Fahrerlaubnis-</t>
        </is>
      </c>
    </row>
    <row r="118" ht="14.25" customHeight="1">
      <c r="A118" s="28" t="inlineStr">
        <is>
          <t xml:space="preserve">   Verordnung (FeV).</t>
        </is>
      </c>
      <c r="N118" s="28" t="inlineStr">
        <is>
          <t xml:space="preserve">   Verordnung (FeV).</t>
        </is>
      </c>
    </row>
    <row r="119" ht="14.25" customHeight="1"/>
    <row r="120" ht="14.25" customHeight="1"/>
    <row r="121" ht="14.25" customHeight="1"/>
    <row r="122" ht="14.25" customHeight="1">
      <c r="A122" s="17">
        <f>IF(Teilnehmer!B19&lt;&gt;"",Teilnehmer!B19,"")</f>
        <v/>
      </c>
      <c r="E122" s="17">
        <f>IF(Teilnehmer!B19&lt;&gt;"",Teilnehmer!C19,"")</f>
        <v/>
      </c>
      <c r="H122" s="18" t="inlineStr">
        <is>
          <t>geb. am:</t>
        </is>
      </c>
      <c r="I122" s="19">
        <f>IF(Teilnehmer!B19&lt;&gt;"",Teilnehmer!D19,"")</f>
        <v/>
      </c>
      <c r="N122" s="17">
        <f>IF(Teilnehmer!B20&lt;&gt;"",Teilnehmer!B20,"")</f>
        <v/>
      </c>
      <c r="R122" s="17">
        <f>IF(Teilnehmer!B20&lt;&gt;"",Teilnehmer!C20,"")</f>
        <v/>
      </c>
      <c r="U122" s="18" t="inlineStr">
        <is>
          <t>geb. am:</t>
        </is>
      </c>
      <c r="V122" s="19">
        <f>IF(Teilnehmer!B20&lt;&gt;"",Teilnehmer!D20,"")</f>
        <v/>
      </c>
    </row>
    <row r="123" ht="14.25" customHeight="1">
      <c r="B123" s="20" t="inlineStr">
        <is>
          <t>Name</t>
        </is>
      </c>
      <c r="F123" s="20" t="inlineStr">
        <is>
          <t>Vorname</t>
        </is>
      </c>
      <c r="O123" s="20" t="inlineStr">
        <is>
          <t>Name</t>
        </is>
      </c>
      <c r="S123" s="20" t="inlineStr">
        <is>
          <t>Vorname</t>
        </is>
      </c>
    </row>
    <row r="124" ht="14.25" customHeight="1"/>
    <row r="125" ht="14.25" customHeight="1">
      <c r="A125" s="21" t="inlineStr">
        <is>
          <t>hat an dem 9 Unterrichtseinheiten (Nettounterrichtszeit 9 x 45 Minuten) umfassenden Lehrgang</t>
        </is>
      </c>
      <c r="N125" s="21" t="inlineStr">
        <is>
          <t>hat an dem 9 Unterrichtseinheiten (Nettounterrichtszeit 9 x 45 Minuten) umfassenden Lehrgang</t>
        </is>
      </c>
    </row>
    <row r="126" ht="14.25" customHeight="1"/>
    <row r="127" ht="14.25" customHeight="1">
      <c r="A127" s="22" t="inlineStr">
        <is>
          <t>am</t>
        </is>
      </c>
      <c r="B127" s="19">
        <f>Teilnehmer!C3</f>
        <v/>
      </c>
      <c r="D127" s="23" t="inlineStr">
        <is>
          <t>in der Zeit von</t>
        </is>
      </c>
      <c r="G127" s="24">
        <f>Teilnehmer!F3</f>
        <v/>
      </c>
      <c r="H127" s="23" t="inlineStr">
        <is>
          <t>Uhr bis</t>
        </is>
      </c>
      <c r="I127" s="24">
        <f>Teilnehmer!H3</f>
        <v/>
      </c>
      <c r="J127" s="22" t="inlineStr">
        <is>
          <t>Uhr</t>
        </is>
      </c>
      <c r="N127" s="22" t="inlineStr">
        <is>
          <t>am</t>
        </is>
      </c>
      <c r="O127" s="19">
        <f>Teilnehmer!C3</f>
        <v/>
      </c>
      <c r="Q127" s="23" t="inlineStr">
        <is>
          <t>in der Zeit von</t>
        </is>
      </c>
      <c r="T127" s="24">
        <f>Teilnehmer!F3</f>
        <v/>
      </c>
      <c r="U127" s="23" t="inlineStr">
        <is>
          <t>Uhr bis</t>
        </is>
      </c>
      <c r="V127" s="24">
        <f>Teilnehmer!H3</f>
        <v/>
      </c>
      <c r="W127" s="22" t="inlineStr">
        <is>
          <t>Uhr</t>
        </is>
      </c>
    </row>
    <row r="128" ht="14.25" customHeight="1"/>
    <row r="129" ht="14.25" customHeight="1">
      <c r="A129" s="22" t="inlineStr">
        <is>
          <t>unter der Leitung von</t>
        </is>
      </c>
      <c r="E129" s="25">
        <f>Teilnehmer!C4</f>
        <v/>
      </c>
      <c r="I129" s="22" t="inlineStr">
        <is>
          <t>erfolgreich teilgenommen.</t>
        </is>
      </c>
      <c r="N129" s="22" t="inlineStr">
        <is>
          <t>unter der Leitung von</t>
        </is>
      </c>
      <c r="R129" s="25">
        <f>Teilnehmer!C4</f>
        <v/>
      </c>
      <c r="V129" s="22" t="inlineStr">
        <is>
          <t>erfolgreich teilgenommen.</t>
        </is>
      </c>
    </row>
    <row r="130" ht="14.25" customHeight="1"/>
    <row r="131" ht="14.25" customHeight="1">
      <c r="A131" s="22" t="inlineStr">
        <is>
          <t>Teilnehmerunterlagen ausgehändigt:</t>
        </is>
      </c>
      <c r="G131" s="26" t="inlineStr">
        <is>
          <t>X</t>
        </is>
      </c>
      <c r="H131" s="22" t="inlineStr">
        <is>
          <t>ja</t>
        </is>
      </c>
      <c r="J131" s="22" t="inlineStr">
        <is>
          <t>nein</t>
        </is>
      </c>
      <c r="N131" s="22" t="inlineStr">
        <is>
          <t>Teilnehmerunterlagen ausgehändigt:</t>
        </is>
      </c>
      <c r="T131" s="26" t="inlineStr">
        <is>
          <t>X</t>
        </is>
      </c>
      <c r="U131" s="22" t="inlineStr">
        <is>
          <t>ja</t>
        </is>
      </c>
      <c r="W131" s="22" t="inlineStr">
        <is>
          <t>nein</t>
        </is>
      </c>
    </row>
    <row r="132" ht="14.25" customHeight="1"/>
    <row r="133" ht="14.25" customHeight="1"/>
    <row r="134" ht="14.25" customHeight="1">
      <c r="A134" s="27" t="inlineStr">
        <is>
          <t>Rastatt</t>
        </is>
      </c>
      <c r="D134" s="22" t="inlineStr">
        <is>
          <t>, den</t>
        </is>
      </c>
      <c r="E134" s="19">
        <f>Teilnehmer!C3</f>
        <v/>
      </c>
      <c r="N134" s="27" t="inlineStr">
        <is>
          <t>Rastatt</t>
        </is>
      </c>
      <c r="Q134" s="22" t="inlineStr">
        <is>
          <t>, den</t>
        </is>
      </c>
      <c r="R134" s="19">
        <f>Teilnehmer!C3</f>
        <v/>
      </c>
    </row>
    <row r="135" ht="14.25" customHeight="1">
      <c r="A135" s="20" t="inlineStr">
        <is>
          <t>Ort</t>
        </is>
      </c>
      <c r="E135" s="20" t="inlineStr">
        <is>
          <t>Datum</t>
        </is>
      </c>
      <c r="H135" s="20" t="inlineStr">
        <is>
          <t>Unterschrift der Lehrkraft</t>
        </is>
      </c>
      <c r="N135" s="20" t="inlineStr">
        <is>
          <t>Ort</t>
        </is>
      </c>
      <c r="R135" s="20" t="inlineStr">
        <is>
          <t>Datum</t>
        </is>
      </c>
      <c r="U135" s="20" t="inlineStr">
        <is>
          <t>Unterschrift der Lehrkraft</t>
        </is>
      </c>
    </row>
    <row r="136" ht="14.25" customHeight="1"/>
    <row r="137" ht="14.25" customHeight="1"/>
    <row r="138" ht="14.25" customHeight="1">
      <c r="H138" s="20" t="inlineStr">
        <is>
          <t>Ausbildungsverantwortlicher</t>
        </is>
      </c>
      <c r="U138" s="20" t="inlineStr">
        <is>
          <t>Ausbildungsverantwortlicher</t>
        </is>
      </c>
    </row>
    <row r="139" ht="14.25" customHeight="1"/>
    <row r="140" ht="14.25" customHeight="1">
      <c r="A140" s="22" t="inlineStr">
        <is>
          <t>Name der ermächtigten Stelle:</t>
        </is>
      </c>
      <c r="F140" s="27" t="inlineStr">
        <is>
          <t>Mercedes-Benz AG, Werk Rastatt</t>
        </is>
      </c>
      <c r="N140" s="22" t="inlineStr">
        <is>
          <t>Name der ermächtigten Stelle:</t>
        </is>
      </c>
      <c r="S140" s="27" t="inlineStr">
        <is>
          <t>Mercedes-Benz AG, Werk Rastatt</t>
        </is>
      </c>
    </row>
    <row r="141" ht="14.25" customHeight="1"/>
    <row r="142" ht="14.25" customHeight="1">
      <c r="A142" s="22" t="inlineStr">
        <is>
          <t>Kennziffer der ermächtigten Stelle</t>
        </is>
      </c>
      <c r="N142" s="22" t="inlineStr">
        <is>
          <t>Kennziffer der ermächtigten Stelle</t>
        </is>
      </c>
    </row>
    <row r="143" ht="14.25" customHeight="1">
      <c r="A143" s="22" t="inlineStr">
        <is>
          <t>gemäß § 26 DGUV Vorschrift:</t>
        </is>
      </c>
      <c r="F143" s="27" t="inlineStr">
        <is>
          <t>7.0103</t>
        </is>
      </c>
      <c r="N143" s="22" t="inlineStr">
        <is>
          <t>gemäß § 26 DGUV Vorschrift:</t>
        </is>
      </c>
      <c r="S143" s="27" t="inlineStr">
        <is>
          <t>7.0103</t>
        </is>
      </c>
    </row>
    <row r="144" ht="14.25" customHeight="1"/>
    <row r="145" ht="14.25" customHeight="1">
      <c r="A145" s="22" t="inlineStr">
        <is>
          <t>Registriernummer der Schulung:</t>
        </is>
      </c>
      <c r="F145" s="27">
        <f>Teilnehmer!C5</f>
        <v/>
      </c>
      <c r="N145" s="22" t="inlineStr">
        <is>
          <t>Registriernummer der Schulung:</t>
        </is>
      </c>
      <c r="S145" s="27">
        <f>Teilnehmer!C5</f>
        <v/>
      </c>
    </row>
    <row r="146" ht="14.25" customHeight="1"/>
    <row r="147" ht="14.25" customHeight="1">
      <c r="A147" s="28" t="inlineStr">
        <is>
          <t>* Die Teilnahme an der Ausbildung in betrieblicher Erster Hilfe gilt als Schulung in Erster Hilfe gem. § 19 Fahrerlaubnis-</t>
        </is>
      </c>
      <c r="N147" s="28" t="inlineStr">
        <is>
          <t>* Die Teilnahme an der Ausbildung in betrieblicher Erster Hilfe gilt als Schulung in Erster Hilfe gem. § 19 Fahrerlaubnis-</t>
        </is>
      </c>
    </row>
    <row r="148" ht="14.25" customHeight="1">
      <c r="A148" s="28" t="inlineStr">
        <is>
          <t xml:space="preserve">   Verordnung (FeV).</t>
        </is>
      </c>
      <c r="N148" s="28" t="inlineStr">
        <is>
          <t xml:space="preserve">   Verordnung (FeV).</t>
        </is>
      </c>
    </row>
    <row r="149" ht="14.25" customHeight="1"/>
    <row r="150" ht="14.25" customHeight="1"/>
    <row r="151" ht="14.25" customHeight="1"/>
    <row r="152" ht="14.25" customHeight="1">
      <c r="A152" s="17">
        <f>IF(Teilnehmer!B21&lt;&gt;"",Teilnehmer!B21,"")</f>
        <v/>
      </c>
      <c r="E152" s="17">
        <f>IF(Teilnehmer!B21&lt;&gt;"",Teilnehmer!C21,"")</f>
        <v/>
      </c>
      <c r="H152" s="18" t="inlineStr">
        <is>
          <t>geb. am:</t>
        </is>
      </c>
      <c r="I152" s="19">
        <f>IF(Teilnehmer!B21&lt;&gt;"",Teilnehmer!D21,"")</f>
        <v/>
      </c>
      <c r="N152" s="17">
        <f>IF(Teilnehmer!B22&lt;&gt;"",Teilnehmer!B22,"")</f>
        <v/>
      </c>
      <c r="R152" s="17">
        <f>IF(Teilnehmer!B22&lt;&gt;"",Teilnehmer!C22,"")</f>
        <v/>
      </c>
      <c r="U152" s="18" t="inlineStr">
        <is>
          <t>geb. am:</t>
        </is>
      </c>
      <c r="V152" s="19">
        <f>IF(Teilnehmer!B22&lt;&gt;"",Teilnehmer!D22,"")</f>
        <v/>
      </c>
    </row>
    <row r="153" ht="14.25" customHeight="1">
      <c r="B153" s="20" t="inlineStr">
        <is>
          <t>Name</t>
        </is>
      </c>
      <c r="F153" s="20" t="inlineStr">
        <is>
          <t>Vorname</t>
        </is>
      </c>
      <c r="O153" s="20" t="inlineStr">
        <is>
          <t>Name</t>
        </is>
      </c>
      <c r="S153" s="20" t="inlineStr">
        <is>
          <t>Vorname</t>
        </is>
      </c>
    </row>
    <row r="154" ht="14.25" customHeight="1"/>
    <row r="155" ht="14.25" customHeight="1">
      <c r="A155" s="21" t="inlineStr">
        <is>
          <t>hat an dem 9 Unterrichtseinheiten (Nettounterrichtszeit 9 x 45 Minuten) umfassenden Lehrgang</t>
        </is>
      </c>
      <c r="N155" s="21" t="inlineStr">
        <is>
          <t>hat an dem 9 Unterrichtseinheiten (Nettounterrichtszeit 9 x 45 Minuten) umfassenden Lehrgang</t>
        </is>
      </c>
    </row>
    <row r="156" ht="14.25" customHeight="1"/>
    <row r="157" ht="14.25" customHeight="1">
      <c r="A157" s="22" t="inlineStr">
        <is>
          <t>am</t>
        </is>
      </c>
      <c r="B157" s="19">
        <f>Teilnehmer!C3</f>
        <v/>
      </c>
      <c r="D157" s="23" t="inlineStr">
        <is>
          <t>in der Zeit von</t>
        </is>
      </c>
      <c r="G157" s="24">
        <f>Teilnehmer!F3</f>
        <v/>
      </c>
      <c r="H157" s="23" t="inlineStr">
        <is>
          <t>Uhr bis</t>
        </is>
      </c>
      <c r="I157" s="24">
        <f>Teilnehmer!H3</f>
        <v/>
      </c>
      <c r="J157" s="22" t="inlineStr">
        <is>
          <t>Uhr</t>
        </is>
      </c>
      <c r="N157" s="22" t="inlineStr">
        <is>
          <t>am</t>
        </is>
      </c>
      <c r="O157" s="19">
        <f>Teilnehmer!C3</f>
        <v/>
      </c>
      <c r="Q157" s="23" t="inlineStr">
        <is>
          <t>in der Zeit von</t>
        </is>
      </c>
      <c r="T157" s="24">
        <f>Teilnehmer!F3</f>
        <v/>
      </c>
      <c r="U157" s="23" t="inlineStr">
        <is>
          <t>Uhr bis</t>
        </is>
      </c>
      <c r="V157" s="24">
        <f>Teilnehmer!H3</f>
        <v/>
      </c>
      <c r="W157" s="22" t="inlineStr">
        <is>
          <t>Uhr</t>
        </is>
      </c>
    </row>
    <row r="158" ht="14.25" customHeight="1"/>
    <row r="159" ht="14.25" customHeight="1">
      <c r="A159" s="22" t="inlineStr">
        <is>
          <t>unter der Leitung von</t>
        </is>
      </c>
      <c r="E159" s="25">
        <f>Teilnehmer!C4</f>
        <v/>
      </c>
      <c r="I159" s="22" t="inlineStr">
        <is>
          <t>erfolgreich teilgenommen.</t>
        </is>
      </c>
      <c r="N159" s="22" t="inlineStr">
        <is>
          <t>unter der Leitung von</t>
        </is>
      </c>
      <c r="R159" s="25">
        <f>Teilnehmer!C4</f>
        <v/>
      </c>
      <c r="V159" s="22" t="inlineStr">
        <is>
          <t>erfolgreich teilgenommen.</t>
        </is>
      </c>
    </row>
    <row r="160" ht="14.25" customHeight="1"/>
    <row r="161" ht="14.25" customHeight="1">
      <c r="A161" s="22" t="inlineStr">
        <is>
          <t>Teilnehmerunterlagen ausgehändigt:</t>
        </is>
      </c>
      <c r="G161" s="26" t="inlineStr">
        <is>
          <t>X</t>
        </is>
      </c>
      <c r="H161" s="22" t="inlineStr">
        <is>
          <t>ja</t>
        </is>
      </c>
      <c r="J161" s="22" t="inlineStr">
        <is>
          <t>nein</t>
        </is>
      </c>
      <c r="N161" s="22" t="inlineStr">
        <is>
          <t>Teilnehmerunterlagen ausgehändigt:</t>
        </is>
      </c>
      <c r="T161" s="26" t="inlineStr">
        <is>
          <t>X</t>
        </is>
      </c>
      <c r="U161" s="22" t="inlineStr">
        <is>
          <t>ja</t>
        </is>
      </c>
      <c r="W161" s="22" t="inlineStr">
        <is>
          <t>nein</t>
        </is>
      </c>
    </row>
    <row r="162" ht="14.25" customHeight="1"/>
    <row r="163" ht="14.25" customHeight="1"/>
    <row r="164" ht="14.25" customHeight="1">
      <c r="A164" s="27" t="inlineStr">
        <is>
          <t>Rastatt</t>
        </is>
      </c>
      <c r="D164" s="22" t="inlineStr">
        <is>
          <t>, den</t>
        </is>
      </c>
      <c r="E164" s="19">
        <f>Teilnehmer!C3</f>
        <v/>
      </c>
      <c r="N164" s="27" t="inlineStr">
        <is>
          <t>Rastatt</t>
        </is>
      </c>
      <c r="Q164" s="22" t="inlineStr">
        <is>
          <t>, den</t>
        </is>
      </c>
      <c r="R164" s="19">
        <f>Teilnehmer!C3</f>
        <v/>
      </c>
    </row>
    <row r="165" ht="14.25" customHeight="1">
      <c r="A165" s="20" t="inlineStr">
        <is>
          <t>Ort</t>
        </is>
      </c>
      <c r="E165" s="20" t="inlineStr">
        <is>
          <t>Datum</t>
        </is>
      </c>
      <c r="H165" s="20" t="inlineStr">
        <is>
          <t>Unterschrift der Lehrkraft</t>
        </is>
      </c>
      <c r="N165" s="20" t="inlineStr">
        <is>
          <t>Ort</t>
        </is>
      </c>
      <c r="R165" s="20" t="inlineStr">
        <is>
          <t>Datum</t>
        </is>
      </c>
      <c r="U165" s="20" t="inlineStr">
        <is>
          <t>Unterschrift der Lehrkraft</t>
        </is>
      </c>
    </row>
    <row r="166" ht="14.25" customHeight="1"/>
    <row r="167" ht="14.25" customHeight="1"/>
    <row r="168" ht="14.25" customHeight="1">
      <c r="H168" s="20" t="inlineStr">
        <is>
          <t>Ausbildungsverantwortlicher</t>
        </is>
      </c>
      <c r="U168" s="20" t="inlineStr">
        <is>
          <t>Ausbildungsverantwortlicher</t>
        </is>
      </c>
    </row>
    <row r="169" ht="14.25" customHeight="1"/>
    <row r="170" ht="14.25" customHeight="1">
      <c r="A170" s="22" t="inlineStr">
        <is>
          <t>Name der ermächtigten Stelle:</t>
        </is>
      </c>
      <c r="F170" s="27" t="inlineStr">
        <is>
          <t>Mercedes-Benz AG, Werk Rastatt</t>
        </is>
      </c>
      <c r="N170" s="22" t="inlineStr">
        <is>
          <t>Name der ermächtigten Stelle:</t>
        </is>
      </c>
      <c r="S170" s="27" t="inlineStr">
        <is>
          <t>Mercedes-Benz AG, Werk Rastatt</t>
        </is>
      </c>
    </row>
    <row r="171" ht="14.25" customHeight="1"/>
    <row r="172" ht="14.25" customHeight="1">
      <c r="A172" s="22" t="inlineStr">
        <is>
          <t>Kennziffer der ermächtigten Stelle</t>
        </is>
      </c>
      <c r="N172" s="22" t="inlineStr">
        <is>
          <t>Kennziffer der ermächtigten Stelle</t>
        </is>
      </c>
    </row>
    <row r="173" ht="14.25" customHeight="1">
      <c r="A173" s="22" t="inlineStr">
        <is>
          <t>gemäß § 26 DGUV Vorschrift:</t>
        </is>
      </c>
      <c r="F173" s="27" t="inlineStr">
        <is>
          <t>7.0103</t>
        </is>
      </c>
      <c r="N173" s="22" t="inlineStr">
        <is>
          <t>gemäß § 26 DGUV Vorschrift:</t>
        </is>
      </c>
      <c r="S173" s="27" t="inlineStr">
        <is>
          <t>7.0103</t>
        </is>
      </c>
    </row>
    <row r="174" ht="14.25" customHeight="1"/>
    <row r="175" ht="14.25" customHeight="1">
      <c r="A175" s="22" t="inlineStr">
        <is>
          <t>Registriernummer der Schulung:</t>
        </is>
      </c>
      <c r="F175" s="27">
        <f>Teilnehmer!C5</f>
        <v/>
      </c>
      <c r="N175" s="22" t="inlineStr">
        <is>
          <t>Registriernummer der Schulung:</t>
        </is>
      </c>
      <c r="S175" s="27">
        <f>Teilnehmer!C5</f>
        <v/>
      </c>
    </row>
    <row r="176" ht="14.25" customHeight="1"/>
    <row r="177" ht="14.25" customHeight="1">
      <c r="A177" s="28" t="inlineStr">
        <is>
          <t>* Die Teilnahme an der Ausbildung in betrieblicher Erster Hilfe gilt als Schulung in Erster Hilfe gem. § 19 Fahrerlaubnis-</t>
        </is>
      </c>
      <c r="N177" s="28" t="inlineStr">
        <is>
          <t>* Die Teilnahme an der Ausbildung in betrieblicher Erster Hilfe gilt als Schulung in Erster Hilfe gem. § 19 Fahrerlaubnis-</t>
        </is>
      </c>
    </row>
    <row r="178" ht="14.25" customHeight="1">
      <c r="A178" s="28" t="inlineStr">
        <is>
          <t xml:space="preserve">   Verordnung (FeV).</t>
        </is>
      </c>
      <c r="N178" s="28" t="inlineStr">
        <is>
          <t xml:space="preserve">   Verordnung (FeV).</t>
        </is>
      </c>
    </row>
    <row r="179" ht="14.25" customHeight="1"/>
    <row r="180" ht="14.25" customHeight="1"/>
    <row r="181" ht="14.25" customHeight="1"/>
    <row r="182" ht="14.25" customHeight="1">
      <c r="A182" s="17">
        <f>IF(Teilnehmer!B23&lt;&gt;"",Teilnehmer!B23,"")</f>
        <v/>
      </c>
      <c r="E182" s="17">
        <f>IF(Teilnehmer!B23&lt;&gt;"",Teilnehmer!C23,"")</f>
        <v/>
      </c>
      <c r="H182" s="18" t="inlineStr">
        <is>
          <t>geb. am:</t>
        </is>
      </c>
      <c r="I182" s="19">
        <f>IF(Teilnehmer!B23&lt;&gt;"",Teilnehmer!D23,"")</f>
        <v/>
      </c>
      <c r="N182" s="17">
        <f>IF(Teilnehmer!B24&lt;&gt;"",Teilnehmer!B24,"")</f>
        <v/>
      </c>
      <c r="R182" s="17">
        <f>IF(Teilnehmer!B24&lt;&gt;"",Teilnehmer!C24,"")</f>
        <v/>
      </c>
      <c r="U182" s="18" t="inlineStr">
        <is>
          <t>geb. am:</t>
        </is>
      </c>
      <c r="V182" s="19">
        <f>IF(Teilnehmer!B24&lt;&gt;"",Teilnehmer!D24,"")</f>
        <v/>
      </c>
    </row>
    <row r="183" ht="14.25" customHeight="1">
      <c r="B183" s="20" t="inlineStr">
        <is>
          <t>Name</t>
        </is>
      </c>
      <c r="F183" s="20" t="inlineStr">
        <is>
          <t>Vorname</t>
        </is>
      </c>
      <c r="O183" s="20" t="inlineStr">
        <is>
          <t>Name</t>
        </is>
      </c>
      <c r="S183" s="20" t="inlineStr">
        <is>
          <t>Vorname</t>
        </is>
      </c>
    </row>
    <row r="184" ht="14.25" customHeight="1"/>
    <row r="185" ht="14.25" customHeight="1">
      <c r="A185" s="21" t="inlineStr">
        <is>
          <t>hat an dem 9 Unterrichtseinheiten (Nettounterrichtszeit 9 x 45 Minuten) umfassenden Lehrgang</t>
        </is>
      </c>
      <c r="N185" s="21" t="inlineStr">
        <is>
          <t>hat an dem 9 Unterrichtseinheiten (Nettounterrichtszeit 9 x 45 Minuten) umfassenden Lehrgang</t>
        </is>
      </c>
    </row>
    <row r="186" ht="14.25" customHeight="1"/>
    <row r="187" ht="14.25" customHeight="1">
      <c r="A187" s="22" t="inlineStr">
        <is>
          <t>am</t>
        </is>
      </c>
      <c r="B187" s="19">
        <f>Teilnehmer!C3</f>
        <v/>
      </c>
      <c r="D187" s="23" t="inlineStr">
        <is>
          <t>in der Zeit von</t>
        </is>
      </c>
      <c r="G187" s="24">
        <f>Teilnehmer!F3</f>
        <v/>
      </c>
      <c r="H187" s="23" t="inlineStr">
        <is>
          <t>Uhr bis</t>
        </is>
      </c>
      <c r="I187" s="24">
        <f>Teilnehmer!H3</f>
        <v/>
      </c>
      <c r="J187" s="22" t="inlineStr">
        <is>
          <t>Uhr</t>
        </is>
      </c>
      <c r="N187" s="22" t="inlineStr">
        <is>
          <t>am</t>
        </is>
      </c>
      <c r="O187" s="19">
        <f>Teilnehmer!C3</f>
        <v/>
      </c>
      <c r="Q187" s="23" t="inlineStr">
        <is>
          <t>in der Zeit von</t>
        </is>
      </c>
      <c r="T187" s="24">
        <f>Teilnehmer!F3</f>
        <v/>
      </c>
      <c r="U187" s="23" t="inlineStr">
        <is>
          <t>Uhr bis</t>
        </is>
      </c>
      <c r="V187" s="24">
        <f>Teilnehmer!H3</f>
        <v/>
      </c>
      <c r="W187" s="22" t="inlineStr">
        <is>
          <t>Uhr</t>
        </is>
      </c>
    </row>
    <row r="188" ht="14.25" customHeight="1"/>
    <row r="189" ht="14.25" customHeight="1">
      <c r="A189" s="22" t="inlineStr">
        <is>
          <t>unter der Leitung von</t>
        </is>
      </c>
      <c r="E189" s="25">
        <f>Teilnehmer!C4</f>
        <v/>
      </c>
      <c r="I189" s="22" t="inlineStr">
        <is>
          <t>erfolgreich teilgenommen.</t>
        </is>
      </c>
      <c r="N189" s="22" t="inlineStr">
        <is>
          <t>unter der Leitung von</t>
        </is>
      </c>
      <c r="R189" s="25">
        <f>Teilnehmer!C4</f>
        <v/>
      </c>
      <c r="V189" s="22" t="inlineStr">
        <is>
          <t>erfolgreich teilgenommen.</t>
        </is>
      </c>
    </row>
    <row r="190" ht="14.25" customHeight="1"/>
    <row r="191" ht="14.25" customHeight="1">
      <c r="A191" s="22" t="inlineStr">
        <is>
          <t>Teilnehmerunterlagen ausgehändigt:</t>
        </is>
      </c>
      <c r="G191" s="26" t="inlineStr">
        <is>
          <t>X</t>
        </is>
      </c>
      <c r="H191" s="22" t="inlineStr">
        <is>
          <t>ja</t>
        </is>
      </c>
      <c r="J191" s="22" t="inlineStr">
        <is>
          <t>nein</t>
        </is>
      </c>
      <c r="N191" s="22" t="inlineStr">
        <is>
          <t>Teilnehmerunterlagen ausgehändigt:</t>
        </is>
      </c>
      <c r="T191" s="26" t="inlineStr">
        <is>
          <t>X</t>
        </is>
      </c>
      <c r="U191" s="22" t="inlineStr">
        <is>
          <t>ja</t>
        </is>
      </c>
      <c r="W191" s="22" t="inlineStr">
        <is>
          <t>nein</t>
        </is>
      </c>
    </row>
    <row r="192" ht="14.25" customHeight="1"/>
    <row r="193" ht="14.25" customHeight="1"/>
    <row r="194" ht="14.25" customHeight="1">
      <c r="A194" s="27" t="inlineStr">
        <is>
          <t>Rastatt</t>
        </is>
      </c>
      <c r="D194" s="22" t="inlineStr">
        <is>
          <t>, den</t>
        </is>
      </c>
      <c r="E194" s="19">
        <f>Teilnehmer!C3</f>
        <v/>
      </c>
      <c r="N194" s="27" t="inlineStr">
        <is>
          <t>Rastatt</t>
        </is>
      </c>
      <c r="Q194" s="22" t="inlineStr">
        <is>
          <t>, den</t>
        </is>
      </c>
      <c r="R194" s="19">
        <f>Teilnehmer!C3</f>
        <v/>
      </c>
    </row>
    <row r="195" ht="14.25" customHeight="1">
      <c r="A195" s="20" t="inlineStr">
        <is>
          <t>Ort</t>
        </is>
      </c>
      <c r="E195" s="20" t="inlineStr">
        <is>
          <t>Datum</t>
        </is>
      </c>
      <c r="H195" s="20" t="inlineStr">
        <is>
          <t>Unterschrift der Lehrkraft</t>
        </is>
      </c>
      <c r="N195" s="20" t="inlineStr">
        <is>
          <t>Ort</t>
        </is>
      </c>
      <c r="R195" s="20" t="inlineStr">
        <is>
          <t>Datum</t>
        </is>
      </c>
      <c r="U195" s="20" t="inlineStr">
        <is>
          <t>Unterschrift der Lehrkraft</t>
        </is>
      </c>
    </row>
    <row r="196" ht="14.25" customHeight="1"/>
    <row r="197" ht="14.25" customHeight="1"/>
    <row r="198" ht="14.25" customHeight="1">
      <c r="H198" s="20" t="inlineStr">
        <is>
          <t>Ausbildungsverantwortlicher</t>
        </is>
      </c>
      <c r="U198" s="20" t="inlineStr">
        <is>
          <t>Ausbildungsverantwortlicher</t>
        </is>
      </c>
    </row>
    <row r="199" ht="14.25" customHeight="1"/>
    <row r="200" ht="14.25" customHeight="1">
      <c r="A200" s="22" t="inlineStr">
        <is>
          <t>Name der ermächtigten Stelle:</t>
        </is>
      </c>
      <c r="F200" s="27" t="inlineStr">
        <is>
          <t>Mercedes-Benz AG, Werk Rastatt</t>
        </is>
      </c>
      <c r="N200" s="22" t="inlineStr">
        <is>
          <t>Name der ermächtigten Stelle:</t>
        </is>
      </c>
      <c r="S200" s="27" t="inlineStr">
        <is>
          <t>Mercedes-Benz AG, Werk Rastatt</t>
        </is>
      </c>
    </row>
    <row r="201" ht="14.25" customHeight="1"/>
    <row r="202" ht="14.25" customHeight="1">
      <c r="A202" s="22" t="inlineStr">
        <is>
          <t>Kennziffer der ermächtigten Stelle</t>
        </is>
      </c>
      <c r="N202" s="22" t="inlineStr">
        <is>
          <t>Kennziffer der ermächtigten Stelle</t>
        </is>
      </c>
    </row>
    <row r="203" ht="14.25" customHeight="1">
      <c r="A203" s="22" t="inlineStr">
        <is>
          <t>gemäß § 26 DGUV Vorschrift:</t>
        </is>
      </c>
      <c r="F203" s="27" t="inlineStr">
        <is>
          <t>7.0103</t>
        </is>
      </c>
      <c r="N203" s="22" t="inlineStr">
        <is>
          <t>gemäß § 26 DGUV Vorschrift:</t>
        </is>
      </c>
      <c r="S203" s="27" t="inlineStr">
        <is>
          <t>7.0103</t>
        </is>
      </c>
    </row>
    <row r="204" ht="14.25" customHeight="1"/>
    <row r="205" ht="14.25" customHeight="1">
      <c r="A205" s="22" t="inlineStr">
        <is>
          <t>Registriernummer der Schulung:</t>
        </is>
      </c>
      <c r="F205" s="27">
        <f>Teilnehmer!C5</f>
        <v/>
      </c>
      <c r="N205" s="22" t="inlineStr">
        <is>
          <t>Registriernummer der Schulung:</t>
        </is>
      </c>
      <c r="S205" s="27">
        <f>Teilnehmer!C5</f>
        <v/>
      </c>
    </row>
    <row r="206" ht="14.25" customHeight="1"/>
    <row r="207" ht="14.25" customHeight="1">
      <c r="A207" s="28" t="inlineStr">
        <is>
          <t>* Die Teilnahme an der Ausbildung in betrieblicher Erster Hilfe gilt als Schulung in Erster Hilfe gem. § 19 Fahrerlaubnis-</t>
        </is>
      </c>
      <c r="N207" s="28" t="inlineStr">
        <is>
          <t>* Die Teilnahme an der Ausbildung in betrieblicher Erster Hilfe gilt als Schulung in Erster Hilfe gem. § 19 Fahrerlaubnis-</t>
        </is>
      </c>
    </row>
    <row r="208" ht="14.25" customHeight="1">
      <c r="A208" s="28" t="inlineStr">
        <is>
          <t xml:space="preserve">   Verordnung (FeV).</t>
        </is>
      </c>
      <c r="N208" s="28" t="inlineStr">
        <is>
          <t xml:space="preserve">   Verordnung (FeV).</t>
        </is>
      </c>
    </row>
    <row r="209" ht="14.25" customHeight="1"/>
    <row r="210" ht="14.25" customHeight="1"/>
    <row r="211" ht="14.25" customHeight="1"/>
    <row r="212" ht="14.25" customHeight="1">
      <c r="A212" s="17">
        <f>IF(Teilnehmer!B25&lt;&gt;"",Teilnehmer!B25,"")</f>
        <v/>
      </c>
      <c r="E212" s="17">
        <f>IF(Teilnehmer!B25&lt;&gt;"",Teilnehmer!C25,"")</f>
        <v/>
      </c>
      <c r="H212" s="18" t="inlineStr">
        <is>
          <t>geb. am:</t>
        </is>
      </c>
      <c r="I212" s="19">
        <f>IF(Teilnehmer!B25&lt;&gt;"",Teilnehmer!D25,"")</f>
        <v/>
      </c>
      <c r="N212" s="17">
        <f>IF(Teilnehmer!B26&lt;&gt;"",Teilnehmer!B26,"")</f>
        <v/>
      </c>
      <c r="R212" s="17">
        <f>IF(Teilnehmer!B26&lt;&gt;"",Teilnehmer!C26,"")</f>
        <v/>
      </c>
      <c r="U212" s="18" t="inlineStr">
        <is>
          <t>geb. am:</t>
        </is>
      </c>
      <c r="V212" s="19">
        <f>IF(Teilnehmer!B26&lt;&gt;"",Teilnehmer!D26,"")</f>
        <v/>
      </c>
    </row>
    <row r="213" ht="14.25" customHeight="1">
      <c r="B213" s="20" t="inlineStr">
        <is>
          <t>Name</t>
        </is>
      </c>
      <c r="F213" s="20" t="inlineStr">
        <is>
          <t>Vorname</t>
        </is>
      </c>
      <c r="O213" s="20" t="inlineStr">
        <is>
          <t>Name</t>
        </is>
      </c>
      <c r="S213" s="20" t="inlineStr">
        <is>
          <t>Vorname</t>
        </is>
      </c>
    </row>
    <row r="214" ht="14.25" customHeight="1"/>
    <row r="215" ht="14.25" customHeight="1">
      <c r="A215" s="21" t="inlineStr">
        <is>
          <t>hat an dem 9 Unterrichtseinheiten (Nettounterrichtszeit 9 x 45 Minuten) umfassenden Lehrgang</t>
        </is>
      </c>
      <c r="N215" s="21" t="inlineStr">
        <is>
          <t>hat an dem 9 Unterrichtseinheiten (Nettounterrichtszeit 9 x 45 Minuten) umfassenden Lehrgang</t>
        </is>
      </c>
    </row>
    <row r="216" ht="14.25" customHeight="1"/>
    <row r="217" ht="14.25" customHeight="1">
      <c r="A217" s="22" t="inlineStr">
        <is>
          <t>am</t>
        </is>
      </c>
      <c r="B217" s="19">
        <f>Teilnehmer!C3</f>
        <v/>
      </c>
      <c r="D217" s="23" t="inlineStr">
        <is>
          <t>in der Zeit von</t>
        </is>
      </c>
      <c r="G217" s="24">
        <f>Teilnehmer!F3</f>
        <v/>
      </c>
      <c r="H217" s="23" t="inlineStr">
        <is>
          <t>Uhr bis</t>
        </is>
      </c>
      <c r="I217" s="24">
        <f>Teilnehmer!H3</f>
        <v/>
      </c>
      <c r="J217" s="22" t="inlineStr">
        <is>
          <t>Uhr</t>
        </is>
      </c>
      <c r="N217" s="22" t="inlineStr">
        <is>
          <t>am</t>
        </is>
      </c>
      <c r="O217" s="19">
        <f>Teilnehmer!C3</f>
        <v/>
      </c>
      <c r="Q217" s="23" t="inlineStr">
        <is>
          <t>in der Zeit von</t>
        </is>
      </c>
      <c r="T217" s="24">
        <f>Teilnehmer!F3</f>
        <v/>
      </c>
      <c r="U217" s="23" t="inlineStr">
        <is>
          <t>Uhr bis</t>
        </is>
      </c>
      <c r="V217" s="24">
        <f>Teilnehmer!H3</f>
        <v/>
      </c>
      <c r="W217" s="22" t="inlineStr">
        <is>
          <t>Uhr</t>
        </is>
      </c>
    </row>
    <row r="218" ht="14.25" customHeight="1"/>
    <row r="219" ht="14.25" customHeight="1">
      <c r="A219" s="22" t="inlineStr">
        <is>
          <t>unter der Leitung von</t>
        </is>
      </c>
      <c r="E219" s="25">
        <f>Teilnehmer!C4</f>
        <v/>
      </c>
      <c r="I219" s="22" t="inlineStr">
        <is>
          <t>erfolgreich teilgenommen.</t>
        </is>
      </c>
      <c r="N219" s="22" t="inlineStr">
        <is>
          <t>unter der Leitung von</t>
        </is>
      </c>
      <c r="R219" s="25">
        <f>Teilnehmer!C4</f>
        <v/>
      </c>
      <c r="V219" s="22" t="inlineStr">
        <is>
          <t>erfolgreich teilgenommen.</t>
        </is>
      </c>
    </row>
    <row r="220" ht="14.25" customHeight="1"/>
    <row r="221" ht="14.25" customHeight="1">
      <c r="A221" s="22" t="inlineStr">
        <is>
          <t>Teilnehmerunterlagen ausgehändigt:</t>
        </is>
      </c>
      <c r="G221" s="26" t="inlineStr">
        <is>
          <t>X</t>
        </is>
      </c>
      <c r="H221" s="22" t="inlineStr">
        <is>
          <t>ja</t>
        </is>
      </c>
      <c r="J221" s="22" t="inlineStr">
        <is>
          <t>nein</t>
        </is>
      </c>
      <c r="N221" s="22" t="inlineStr">
        <is>
          <t>Teilnehmerunterlagen ausgehändigt:</t>
        </is>
      </c>
      <c r="T221" s="26" t="inlineStr">
        <is>
          <t>X</t>
        </is>
      </c>
      <c r="U221" s="22" t="inlineStr">
        <is>
          <t>ja</t>
        </is>
      </c>
      <c r="W221" s="22" t="inlineStr">
        <is>
          <t>nein</t>
        </is>
      </c>
    </row>
    <row r="222" ht="14.25" customHeight="1"/>
    <row r="223" ht="14.25" customHeight="1"/>
    <row r="224" ht="14.25" customHeight="1">
      <c r="A224" s="27" t="inlineStr">
        <is>
          <t>Rastatt</t>
        </is>
      </c>
      <c r="D224" s="22" t="inlineStr">
        <is>
          <t>, den</t>
        </is>
      </c>
      <c r="E224" s="19">
        <f>Teilnehmer!C3</f>
        <v/>
      </c>
      <c r="N224" s="27" t="inlineStr">
        <is>
          <t>Rastatt</t>
        </is>
      </c>
      <c r="Q224" s="22" t="inlineStr">
        <is>
          <t>, den</t>
        </is>
      </c>
      <c r="R224" s="19">
        <f>Teilnehmer!C3</f>
        <v/>
      </c>
    </row>
    <row r="225" ht="14.25" customHeight="1">
      <c r="A225" s="20" t="inlineStr">
        <is>
          <t>Ort</t>
        </is>
      </c>
      <c r="E225" s="20" t="inlineStr">
        <is>
          <t>Datum</t>
        </is>
      </c>
      <c r="H225" s="20" t="inlineStr">
        <is>
          <t>Unterschrift der Lehrkraft</t>
        </is>
      </c>
      <c r="N225" s="20" t="inlineStr">
        <is>
          <t>Ort</t>
        </is>
      </c>
      <c r="R225" s="20" t="inlineStr">
        <is>
          <t>Datum</t>
        </is>
      </c>
      <c r="U225" s="20" t="inlineStr">
        <is>
          <t>Unterschrift der Lehrkraft</t>
        </is>
      </c>
    </row>
    <row r="226" ht="14.25" customHeight="1"/>
    <row r="227" ht="14.25" customHeight="1"/>
    <row r="228" ht="14.25" customHeight="1">
      <c r="H228" s="20" t="inlineStr">
        <is>
          <t>Ausbildungsverantwortlicher</t>
        </is>
      </c>
      <c r="U228" s="20" t="inlineStr">
        <is>
          <t>Ausbildungsverantwortlicher</t>
        </is>
      </c>
    </row>
    <row r="229" ht="14.25" customHeight="1"/>
    <row r="230" ht="14.25" customHeight="1">
      <c r="A230" s="22" t="inlineStr">
        <is>
          <t>Name der ermächtigten Stelle:</t>
        </is>
      </c>
      <c r="F230" s="27" t="inlineStr">
        <is>
          <t>Mercedes-Benz AG, Werk Rastatt</t>
        </is>
      </c>
      <c r="N230" s="22" t="inlineStr">
        <is>
          <t>Name der ermächtigten Stelle:</t>
        </is>
      </c>
      <c r="S230" s="27" t="inlineStr">
        <is>
          <t>Mercedes-Benz AG, Werk Rastatt</t>
        </is>
      </c>
    </row>
    <row r="231" ht="14.25" customHeight="1"/>
    <row r="232" ht="14.25" customHeight="1">
      <c r="A232" s="22" t="inlineStr">
        <is>
          <t>Kennziffer der ermächtigten Stelle</t>
        </is>
      </c>
      <c r="N232" s="22" t="inlineStr">
        <is>
          <t>Kennziffer der ermächtigten Stelle</t>
        </is>
      </c>
    </row>
    <row r="233" ht="14.25" customHeight="1">
      <c r="A233" s="22" t="inlineStr">
        <is>
          <t>gemäß § 26 DGUV Vorschrift:</t>
        </is>
      </c>
      <c r="F233" s="27" t="inlineStr">
        <is>
          <t>7.0103</t>
        </is>
      </c>
      <c r="N233" s="22" t="inlineStr">
        <is>
          <t>gemäß § 26 DGUV Vorschrift:</t>
        </is>
      </c>
      <c r="S233" s="27" t="inlineStr">
        <is>
          <t>7.0103</t>
        </is>
      </c>
    </row>
    <row r="234" ht="14.25" customHeight="1"/>
    <row r="235" ht="14.25" customHeight="1">
      <c r="A235" s="22" t="inlineStr">
        <is>
          <t>Registriernummer der Schulung:</t>
        </is>
      </c>
      <c r="F235" s="27">
        <f>Teilnehmer!C5</f>
        <v/>
      </c>
      <c r="N235" s="22" t="inlineStr">
        <is>
          <t>Registriernummer der Schulung:</t>
        </is>
      </c>
      <c r="S235" s="27">
        <f>Teilnehmer!C5</f>
        <v/>
      </c>
    </row>
    <row r="236" ht="14.25" customHeight="1"/>
    <row r="237" ht="14.25" customHeight="1">
      <c r="A237" s="28" t="inlineStr">
        <is>
          <t>* Die Teilnahme an der Ausbildung in betrieblicher Erster Hilfe gilt als Schulung in Erster Hilfe gem. § 19 Fahrerlaubnis-</t>
        </is>
      </c>
      <c r="N237" s="28" t="inlineStr">
        <is>
          <t>* Die Teilnahme an der Ausbildung in betrieblicher Erster Hilfe gilt als Schulung in Erster Hilfe gem. § 19 Fahrerlaubnis-</t>
        </is>
      </c>
    </row>
    <row r="238" ht="14.25" customHeight="1">
      <c r="A238" s="28" t="inlineStr">
        <is>
          <t xml:space="preserve">   Verordnung (FeV).</t>
        </is>
      </c>
      <c r="N238" s="28" t="inlineStr">
        <is>
          <t xml:space="preserve">   Verordnung (FeV).</t>
        </is>
      </c>
    </row>
    <row r="239" ht="14.25" customHeight="1"/>
    <row r="240" ht="14.25" customHeight="1"/>
    <row r="241" ht="14.25" customHeight="1"/>
    <row r="242" ht="14.25" customHeight="1">
      <c r="A242" s="17">
        <f>IF(Teilnehmer!B27&lt;&gt;"",Teilnehmer!B27,"")</f>
        <v/>
      </c>
      <c r="E242" s="17">
        <f>IF(Teilnehmer!B27&lt;&gt;"",Teilnehmer!C27,"")</f>
        <v/>
      </c>
      <c r="H242" s="18" t="inlineStr">
        <is>
          <t>geb. am:</t>
        </is>
      </c>
      <c r="I242" s="19">
        <f>IF(Teilnehmer!B27&lt;&gt;"",Teilnehmer!D27,"")</f>
        <v/>
      </c>
      <c r="N242" s="17">
        <f>IF(Teilnehmer!B28&lt;&gt;"",Teilnehmer!B28,"")</f>
        <v/>
      </c>
      <c r="R242" s="17">
        <f>IF(Teilnehmer!B28&lt;&gt;"",Teilnehmer!C28,"")</f>
        <v/>
      </c>
      <c r="U242" s="18" t="inlineStr">
        <is>
          <t>geb. am:</t>
        </is>
      </c>
      <c r="V242" s="19">
        <f>IF(Teilnehmer!B28&lt;&gt;"",Teilnehmer!D28,"")</f>
        <v/>
      </c>
    </row>
    <row r="243" ht="14.25" customHeight="1">
      <c r="B243" s="20" t="inlineStr">
        <is>
          <t>Name</t>
        </is>
      </c>
      <c r="F243" s="20" t="inlineStr">
        <is>
          <t>Vorname</t>
        </is>
      </c>
      <c r="O243" s="20" t="inlineStr">
        <is>
          <t>Name</t>
        </is>
      </c>
      <c r="S243" s="20" t="inlineStr">
        <is>
          <t>Vorname</t>
        </is>
      </c>
    </row>
    <row r="244" ht="14.25" customHeight="1"/>
    <row r="245" ht="14.25" customHeight="1">
      <c r="A245" s="21" t="inlineStr">
        <is>
          <t>hat an dem 9 Unterrichtseinheiten (Nettounterrichtszeit 9 x 45 Minuten) umfassenden Lehrgang</t>
        </is>
      </c>
      <c r="N245" s="21" t="inlineStr">
        <is>
          <t>hat an dem 9 Unterrichtseinheiten (Nettounterrichtszeit 9 x 45 Minuten) umfassenden Lehrgang</t>
        </is>
      </c>
    </row>
    <row r="246" ht="14.25" customHeight="1"/>
    <row r="247" ht="14.25" customHeight="1">
      <c r="A247" s="22" t="inlineStr">
        <is>
          <t>am</t>
        </is>
      </c>
      <c r="B247" s="19">
        <f>Teilnehmer!C3</f>
        <v/>
      </c>
      <c r="D247" s="23" t="inlineStr">
        <is>
          <t>in der Zeit von</t>
        </is>
      </c>
      <c r="G247" s="24">
        <f>Teilnehmer!F3</f>
        <v/>
      </c>
      <c r="H247" s="23" t="inlineStr">
        <is>
          <t>Uhr bis</t>
        </is>
      </c>
      <c r="I247" s="24">
        <f>Teilnehmer!H3</f>
        <v/>
      </c>
      <c r="J247" s="22" t="inlineStr">
        <is>
          <t>Uhr</t>
        </is>
      </c>
      <c r="N247" s="22" t="inlineStr">
        <is>
          <t>am</t>
        </is>
      </c>
      <c r="O247" s="19">
        <f>Teilnehmer!C3</f>
        <v/>
      </c>
      <c r="Q247" s="23" t="inlineStr">
        <is>
          <t>in der Zeit von</t>
        </is>
      </c>
      <c r="T247" s="24">
        <f>Teilnehmer!F3</f>
        <v/>
      </c>
      <c r="U247" s="23" t="inlineStr">
        <is>
          <t>Uhr bis</t>
        </is>
      </c>
      <c r="V247" s="24">
        <f>Teilnehmer!H3</f>
        <v/>
      </c>
      <c r="W247" s="22" t="inlineStr">
        <is>
          <t>Uhr</t>
        </is>
      </c>
    </row>
    <row r="248" ht="14.25" customHeight="1"/>
    <row r="249" ht="14.25" customHeight="1">
      <c r="A249" s="22" t="inlineStr">
        <is>
          <t>unter der Leitung von</t>
        </is>
      </c>
      <c r="E249" s="25">
        <f>Teilnehmer!C4</f>
        <v/>
      </c>
      <c r="I249" s="22" t="inlineStr">
        <is>
          <t>erfolgreich teilgenommen.</t>
        </is>
      </c>
      <c r="N249" s="22" t="inlineStr">
        <is>
          <t>unter der Leitung von</t>
        </is>
      </c>
      <c r="R249" s="25">
        <f>Teilnehmer!C4</f>
        <v/>
      </c>
      <c r="V249" s="22" t="inlineStr">
        <is>
          <t>erfolgreich teilgenommen.</t>
        </is>
      </c>
    </row>
    <row r="250" ht="14.25" customHeight="1"/>
    <row r="251" ht="14.25" customHeight="1">
      <c r="A251" s="22" t="inlineStr">
        <is>
          <t>Teilnehmerunterlagen ausgehändigt:</t>
        </is>
      </c>
      <c r="G251" s="26" t="inlineStr">
        <is>
          <t>X</t>
        </is>
      </c>
      <c r="H251" s="22" t="inlineStr">
        <is>
          <t>ja</t>
        </is>
      </c>
      <c r="J251" s="22" t="inlineStr">
        <is>
          <t>nein</t>
        </is>
      </c>
      <c r="N251" s="22" t="inlineStr">
        <is>
          <t>Teilnehmerunterlagen ausgehändigt:</t>
        </is>
      </c>
      <c r="T251" s="26" t="inlineStr">
        <is>
          <t>X</t>
        </is>
      </c>
      <c r="U251" s="22" t="inlineStr">
        <is>
          <t>ja</t>
        </is>
      </c>
      <c r="W251" s="22" t="inlineStr">
        <is>
          <t>nein</t>
        </is>
      </c>
    </row>
    <row r="252" ht="14.25" customHeight="1"/>
    <row r="253" ht="14.25" customHeight="1"/>
    <row r="254" ht="14.25" customHeight="1">
      <c r="A254" s="27" t="inlineStr">
        <is>
          <t>Rastatt</t>
        </is>
      </c>
      <c r="D254" s="22" t="inlineStr">
        <is>
          <t>, den</t>
        </is>
      </c>
      <c r="E254" s="19">
        <f>Teilnehmer!C3</f>
        <v/>
      </c>
      <c r="N254" s="27" t="inlineStr">
        <is>
          <t>Rastatt</t>
        </is>
      </c>
      <c r="Q254" s="22" t="inlineStr">
        <is>
          <t>, den</t>
        </is>
      </c>
      <c r="R254" s="19">
        <f>Teilnehmer!C3</f>
        <v/>
      </c>
    </row>
    <row r="255" ht="14.25" customHeight="1">
      <c r="A255" s="20" t="inlineStr">
        <is>
          <t>Ort</t>
        </is>
      </c>
      <c r="E255" s="20" t="inlineStr">
        <is>
          <t>Datum</t>
        </is>
      </c>
      <c r="H255" s="20" t="inlineStr">
        <is>
          <t>Unterschrift der Lehrkraft</t>
        </is>
      </c>
      <c r="N255" s="20" t="inlineStr">
        <is>
          <t>Ort</t>
        </is>
      </c>
      <c r="R255" s="20" t="inlineStr">
        <is>
          <t>Datum</t>
        </is>
      </c>
      <c r="U255" s="20" t="inlineStr">
        <is>
          <t>Unterschrift der Lehrkraft</t>
        </is>
      </c>
    </row>
    <row r="256" ht="14.25" customHeight="1"/>
    <row r="257" ht="14.25" customHeight="1"/>
    <row r="258" ht="14.25" customHeight="1">
      <c r="H258" s="20" t="inlineStr">
        <is>
          <t>Ausbildungsverantwortlicher</t>
        </is>
      </c>
      <c r="U258" s="20" t="inlineStr">
        <is>
          <t>Ausbildungsverantwortlicher</t>
        </is>
      </c>
    </row>
    <row r="259" ht="14.25" customHeight="1"/>
    <row r="260" ht="14.25" customHeight="1">
      <c r="A260" s="22" t="inlineStr">
        <is>
          <t>Name der ermächtigten Stelle:</t>
        </is>
      </c>
      <c r="F260" s="27" t="inlineStr">
        <is>
          <t>Mercedes-Benz AG, Werk Rastatt</t>
        </is>
      </c>
      <c r="N260" s="22" t="inlineStr">
        <is>
          <t>Name der ermächtigten Stelle:</t>
        </is>
      </c>
      <c r="S260" s="27" t="inlineStr">
        <is>
          <t>Mercedes-Benz AG, Werk Rastatt</t>
        </is>
      </c>
    </row>
    <row r="261" ht="14.25" customHeight="1"/>
    <row r="262" ht="14.25" customHeight="1">
      <c r="A262" s="22" t="inlineStr">
        <is>
          <t>Kennziffer der ermächtigten Stelle</t>
        </is>
      </c>
      <c r="N262" s="22" t="inlineStr">
        <is>
          <t>Kennziffer der ermächtigten Stelle</t>
        </is>
      </c>
    </row>
    <row r="263" ht="14.25" customHeight="1">
      <c r="A263" s="22" t="inlineStr">
        <is>
          <t>gemäß § 26 DGUV Vorschrift:</t>
        </is>
      </c>
      <c r="F263" s="27" t="inlineStr">
        <is>
          <t>7.0103</t>
        </is>
      </c>
      <c r="N263" s="22" t="inlineStr">
        <is>
          <t>gemäß § 26 DGUV Vorschrift:</t>
        </is>
      </c>
      <c r="S263" s="27" t="inlineStr">
        <is>
          <t>7.0103</t>
        </is>
      </c>
    </row>
    <row r="264" ht="14.25" customHeight="1"/>
    <row r="265" ht="14.25" customHeight="1">
      <c r="A265" s="22" t="inlineStr">
        <is>
          <t>Registriernummer der Schulung:</t>
        </is>
      </c>
      <c r="F265" s="27">
        <f>Teilnehmer!C5</f>
        <v/>
      </c>
      <c r="N265" s="22" t="inlineStr">
        <is>
          <t>Registriernummer der Schulung:</t>
        </is>
      </c>
      <c r="S265" s="27">
        <f>Teilnehmer!C5</f>
        <v/>
      </c>
    </row>
    <row r="266" ht="14.25" customHeight="1"/>
    <row r="267" ht="14.25" customHeight="1">
      <c r="A267" s="28" t="inlineStr">
        <is>
          <t>* Die Teilnahme an der Ausbildung in betrieblicher Erster Hilfe gilt als Schulung in Erster Hilfe gem. § 19 Fahrerlaubnis-</t>
        </is>
      </c>
      <c r="N267" s="28" t="inlineStr">
        <is>
          <t>* Die Teilnahme an der Ausbildung in betrieblicher Erster Hilfe gilt als Schulung in Erster Hilfe gem. § 19 Fahrerlaubnis-</t>
        </is>
      </c>
    </row>
    <row r="268" ht="14.25" customHeight="1">
      <c r="A268" s="28" t="inlineStr">
        <is>
          <t xml:space="preserve">   Verordnung (FeV).</t>
        </is>
      </c>
      <c r="N268" s="28" t="inlineStr">
        <is>
          <t xml:space="preserve">   Verordnung (FeV).</t>
        </is>
      </c>
    </row>
    <row r="269" ht="14.25" customHeight="1"/>
    <row r="270" ht="14.25" customHeight="1"/>
    <row r="271" ht="14.25" customHeight="1"/>
    <row r="272" ht="14.25" customHeight="1">
      <c r="A272" s="17">
        <f>IF(Teilnehmer!B29&lt;&gt;"",Teilnehmer!B29,"")</f>
        <v/>
      </c>
      <c r="E272" s="17">
        <f>IF(Teilnehmer!B29&lt;&gt;"",Teilnehmer!C29,"")</f>
        <v/>
      </c>
      <c r="H272" s="18" t="inlineStr">
        <is>
          <t>geb. am:</t>
        </is>
      </c>
      <c r="I272" s="19">
        <f>IF(Teilnehmer!B29&lt;&gt;"",Teilnehmer!D29,"")</f>
        <v/>
      </c>
      <c r="N272" s="17">
        <f>IF(Teilnehmer!B30&lt;&gt;"",Teilnehmer!B30,"")</f>
        <v/>
      </c>
      <c r="R272" s="17">
        <f>IF(Teilnehmer!B30&lt;&gt;"",Teilnehmer!C30,"")</f>
        <v/>
      </c>
      <c r="U272" s="18" t="inlineStr">
        <is>
          <t>geb. am:</t>
        </is>
      </c>
      <c r="V272" s="19">
        <f>IF(Teilnehmer!B30&lt;&gt;"",Teilnehmer!D30,"")</f>
        <v/>
      </c>
    </row>
    <row r="273" ht="14.25" customHeight="1">
      <c r="B273" s="20" t="inlineStr">
        <is>
          <t>Name</t>
        </is>
      </c>
      <c r="F273" s="20" t="inlineStr">
        <is>
          <t>Vorname</t>
        </is>
      </c>
      <c r="O273" s="20" t="inlineStr">
        <is>
          <t>Name</t>
        </is>
      </c>
      <c r="S273" s="20" t="inlineStr">
        <is>
          <t>Vorname</t>
        </is>
      </c>
    </row>
    <row r="274" ht="14.25" customHeight="1"/>
    <row r="275" ht="14.25" customHeight="1">
      <c r="A275" s="21" t="inlineStr">
        <is>
          <t>hat an dem 9 Unterrichtseinheiten (Nettounterrichtszeit 9 x 45 Minuten) umfassenden Lehrgang</t>
        </is>
      </c>
      <c r="N275" s="21" t="inlineStr">
        <is>
          <t>hat an dem 9 Unterrichtseinheiten (Nettounterrichtszeit 9 x 45 Minuten) umfassenden Lehrgang</t>
        </is>
      </c>
    </row>
    <row r="276" ht="14.25" customHeight="1"/>
    <row r="277" ht="14.25" customHeight="1">
      <c r="A277" s="22" t="inlineStr">
        <is>
          <t>am</t>
        </is>
      </c>
      <c r="B277" s="19">
        <f>Teilnehmer!C3</f>
        <v/>
      </c>
      <c r="D277" s="23" t="inlineStr">
        <is>
          <t>in der Zeit von</t>
        </is>
      </c>
      <c r="G277" s="24">
        <f>Teilnehmer!F3</f>
        <v/>
      </c>
      <c r="H277" s="23" t="inlineStr">
        <is>
          <t>Uhr bis</t>
        </is>
      </c>
      <c r="I277" s="24">
        <f>Teilnehmer!H3</f>
        <v/>
      </c>
      <c r="J277" s="22" t="inlineStr">
        <is>
          <t>Uhr</t>
        </is>
      </c>
      <c r="N277" s="22" t="inlineStr">
        <is>
          <t>am</t>
        </is>
      </c>
      <c r="O277" s="19">
        <f>Teilnehmer!C3</f>
        <v/>
      </c>
      <c r="Q277" s="23" t="inlineStr">
        <is>
          <t>in der Zeit von</t>
        </is>
      </c>
      <c r="T277" s="24">
        <f>Teilnehmer!F3</f>
        <v/>
      </c>
      <c r="U277" s="23" t="inlineStr">
        <is>
          <t>Uhr bis</t>
        </is>
      </c>
      <c r="V277" s="24">
        <f>Teilnehmer!H3</f>
        <v/>
      </c>
      <c r="W277" s="22" t="inlineStr">
        <is>
          <t>Uhr</t>
        </is>
      </c>
    </row>
    <row r="278" ht="14.25" customHeight="1"/>
    <row r="279" ht="14.25" customHeight="1">
      <c r="A279" s="22" t="inlineStr">
        <is>
          <t>unter der Leitung von</t>
        </is>
      </c>
      <c r="E279" s="25">
        <f>Teilnehmer!C4</f>
        <v/>
      </c>
      <c r="I279" s="22" t="inlineStr">
        <is>
          <t>erfolgreich teilgenommen.</t>
        </is>
      </c>
      <c r="N279" s="22" t="inlineStr">
        <is>
          <t>unter der Leitung von</t>
        </is>
      </c>
      <c r="R279" s="25">
        <f>Teilnehmer!C4</f>
        <v/>
      </c>
      <c r="V279" s="22" t="inlineStr">
        <is>
          <t>erfolgreich teilgenommen.</t>
        </is>
      </c>
    </row>
    <row r="280" ht="14.25" customHeight="1"/>
    <row r="281" ht="14.25" customHeight="1">
      <c r="A281" s="22" t="inlineStr">
        <is>
          <t>Teilnehmerunterlagen ausgehändigt:</t>
        </is>
      </c>
      <c r="G281" s="26" t="inlineStr">
        <is>
          <t>X</t>
        </is>
      </c>
      <c r="H281" s="22" t="inlineStr">
        <is>
          <t>ja</t>
        </is>
      </c>
      <c r="J281" s="22" t="inlineStr">
        <is>
          <t>nein</t>
        </is>
      </c>
      <c r="N281" s="22" t="inlineStr">
        <is>
          <t>Teilnehmerunterlagen ausgehändigt:</t>
        </is>
      </c>
      <c r="T281" s="26" t="inlineStr">
        <is>
          <t>X</t>
        </is>
      </c>
      <c r="U281" s="22" t="inlineStr">
        <is>
          <t>ja</t>
        </is>
      </c>
      <c r="W281" s="22" t="inlineStr">
        <is>
          <t>nein</t>
        </is>
      </c>
    </row>
    <row r="282" ht="14.25" customHeight="1"/>
    <row r="283" ht="14.25" customHeight="1"/>
    <row r="284" ht="14.25" customHeight="1">
      <c r="A284" s="27" t="inlineStr">
        <is>
          <t>Rastatt</t>
        </is>
      </c>
      <c r="D284" s="22" t="inlineStr">
        <is>
          <t>, den</t>
        </is>
      </c>
      <c r="E284" s="19">
        <f>Teilnehmer!C3</f>
        <v/>
      </c>
      <c r="N284" s="27" t="inlineStr">
        <is>
          <t>Rastatt</t>
        </is>
      </c>
      <c r="Q284" s="22" t="inlineStr">
        <is>
          <t>, den</t>
        </is>
      </c>
      <c r="R284" s="19">
        <f>Teilnehmer!C3</f>
        <v/>
      </c>
    </row>
    <row r="285" ht="14.25" customHeight="1">
      <c r="A285" s="20" t="inlineStr">
        <is>
          <t>Ort</t>
        </is>
      </c>
      <c r="E285" s="20" t="inlineStr">
        <is>
          <t>Datum</t>
        </is>
      </c>
      <c r="H285" s="20" t="inlineStr">
        <is>
          <t>Unterschrift der Lehrkraft</t>
        </is>
      </c>
      <c r="N285" s="20" t="inlineStr">
        <is>
          <t>Ort</t>
        </is>
      </c>
      <c r="R285" s="20" t="inlineStr">
        <is>
          <t>Datum</t>
        </is>
      </c>
      <c r="U285" s="20" t="inlineStr">
        <is>
          <t>Unterschrift der Lehrkraft</t>
        </is>
      </c>
    </row>
    <row r="286" ht="14.25" customHeight="1"/>
    <row r="287" ht="14.25" customHeight="1"/>
    <row r="288" ht="14.25" customHeight="1">
      <c r="H288" s="20" t="inlineStr">
        <is>
          <t>Ausbildungsverantwortlicher</t>
        </is>
      </c>
      <c r="U288" s="20" t="inlineStr">
        <is>
          <t>Ausbildungsverantwortlicher</t>
        </is>
      </c>
    </row>
    <row r="289" ht="14.25" customHeight="1"/>
    <row r="290" ht="14.25" customHeight="1">
      <c r="A290" s="22" t="inlineStr">
        <is>
          <t>Name der ermächtigten Stelle:</t>
        </is>
      </c>
      <c r="F290" s="27" t="inlineStr">
        <is>
          <t>Mercedes-Benz AG, Werk Rastatt</t>
        </is>
      </c>
      <c r="N290" s="22" t="inlineStr">
        <is>
          <t>Name der ermächtigten Stelle:</t>
        </is>
      </c>
      <c r="S290" s="27" t="inlineStr">
        <is>
          <t>Mercedes-Benz AG, Werk Rastatt</t>
        </is>
      </c>
    </row>
    <row r="291" ht="14.25" customHeight="1"/>
    <row r="292" ht="14.25" customHeight="1">
      <c r="A292" s="22" t="inlineStr">
        <is>
          <t>Kennziffer der ermächtigten Stelle</t>
        </is>
      </c>
      <c r="N292" s="22" t="inlineStr">
        <is>
          <t>Kennziffer der ermächtigten Stelle</t>
        </is>
      </c>
    </row>
    <row r="293" ht="14.25" customHeight="1">
      <c r="A293" s="22" t="inlineStr">
        <is>
          <t>gemäß § 26 DGUV Vorschrift:</t>
        </is>
      </c>
      <c r="F293" s="27" t="inlineStr">
        <is>
          <t>7.0103</t>
        </is>
      </c>
      <c r="N293" s="22" t="inlineStr">
        <is>
          <t>gemäß § 26 DGUV Vorschrift:</t>
        </is>
      </c>
      <c r="S293" s="27" t="inlineStr">
        <is>
          <t>7.0103</t>
        </is>
      </c>
    </row>
    <row r="294" ht="14.25" customHeight="1"/>
    <row r="295" ht="14.25" customHeight="1">
      <c r="A295" s="22" t="inlineStr">
        <is>
          <t>Registriernummer der Schulung:</t>
        </is>
      </c>
      <c r="F295" s="27">
        <f>Teilnehmer!C5</f>
        <v/>
      </c>
      <c r="N295" s="22" t="inlineStr">
        <is>
          <t>Registriernummer der Schulung:</t>
        </is>
      </c>
      <c r="S295" s="27">
        <f>Teilnehmer!C5</f>
        <v/>
      </c>
    </row>
    <row r="296" ht="14.25" customHeight="1"/>
    <row r="297" ht="14.25" customHeight="1">
      <c r="A297" s="28" t="inlineStr">
        <is>
          <t>* Die Teilnahme an der Ausbildung in betrieblicher Erster Hilfe gilt als Schulung in Erster Hilfe gem. § 19 Fahrerlaubnis-</t>
        </is>
      </c>
      <c r="N297" s="28" t="inlineStr">
        <is>
          <t>* Die Teilnahme an der Ausbildung in betrieblicher Erster Hilfe gilt als Schulung in Erster Hilfe gem. § 19 Fahrerlaubnis-</t>
        </is>
      </c>
    </row>
    <row r="298" ht="14.25" customHeight="1">
      <c r="A298" s="28" t="inlineStr">
        <is>
          <t xml:space="preserve">   Verordnung (FeV).</t>
        </is>
      </c>
      <c r="N298" s="28" t="inlineStr">
        <is>
          <t xml:space="preserve">   Verordnung (FeV).</t>
        </is>
      </c>
    </row>
    <row r="299" ht="14.25" customHeight="1"/>
    <row r="300" ht="14.25" customHeight="1"/>
  </sheetData>
  <mergeCells count="540">
    <mergeCell ref="A255:C255"/>
    <mergeCell ref="A142:E142"/>
    <mergeCell ref="H165:L165"/>
    <mergeCell ref="N148:Y148"/>
    <mergeCell ref="U198:Y198"/>
    <mergeCell ref="N44:P44"/>
    <mergeCell ref="A57:L57"/>
    <mergeCell ref="N215:Y215"/>
    <mergeCell ref="V189:Y189"/>
    <mergeCell ref="A194:C194"/>
    <mergeCell ref="S243:T243"/>
    <mergeCell ref="R62:T62"/>
    <mergeCell ref="F25:I25"/>
    <mergeCell ref="E212:G212"/>
    <mergeCell ref="N170:R170"/>
    <mergeCell ref="R135:S135"/>
    <mergeCell ref="B213:D213"/>
    <mergeCell ref="N262:R262"/>
    <mergeCell ref="S145:V145"/>
    <mergeCell ref="U258:Y258"/>
    <mergeCell ref="N172:R172"/>
    <mergeCell ref="N101:S101"/>
    <mergeCell ref="A203:E203"/>
    <mergeCell ref="V92:X92"/>
    <mergeCell ref="U18:Y18"/>
    <mergeCell ref="U285:Y285"/>
    <mergeCell ref="N95:Y95"/>
    <mergeCell ref="O33:Q33"/>
    <mergeCell ref="N272:Q272"/>
    <mergeCell ref="F233:H233"/>
    <mergeCell ref="E92:G92"/>
    <mergeCell ref="N268:Y268"/>
    <mergeCell ref="N182:Q182"/>
    <mergeCell ref="S183:T183"/>
    <mergeCell ref="I39:L39"/>
    <mergeCell ref="N175:R175"/>
    <mergeCell ref="D277:F277"/>
    <mergeCell ref="N112:R112"/>
    <mergeCell ref="H255:L255"/>
    <mergeCell ref="I279:L279"/>
    <mergeCell ref="I62:K62"/>
    <mergeCell ref="N191:S191"/>
    <mergeCell ref="U135:Y135"/>
    <mergeCell ref="O153:Q153"/>
    <mergeCell ref="D67:F67"/>
    <mergeCell ref="A44:C44"/>
    <mergeCell ref="N254:P254"/>
    <mergeCell ref="S170:Y170"/>
    <mergeCell ref="N45:P45"/>
    <mergeCell ref="Q217:S217"/>
    <mergeCell ref="A58:L58"/>
    <mergeCell ref="S33:T33"/>
    <mergeCell ref="R224:S224"/>
    <mergeCell ref="S173:U173"/>
    <mergeCell ref="A272:D272"/>
    <mergeCell ref="R14:S14"/>
    <mergeCell ref="N113:R113"/>
    <mergeCell ref="N173:R173"/>
    <mergeCell ref="A82:E82"/>
    <mergeCell ref="E182:G182"/>
    <mergeCell ref="S93:T93"/>
    <mergeCell ref="R279:U279"/>
    <mergeCell ref="F290:L290"/>
    <mergeCell ref="A92:D92"/>
    <mergeCell ref="V32:X32"/>
    <mergeCell ref="A279:D279"/>
    <mergeCell ref="S263:U263"/>
    <mergeCell ref="A131:F131"/>
    <mergeCell ref="A215:L215"/>
    <mergeCell ref="I189:L189"/>
    <mergeCell ref="S115:V115"/>
    <mergeCell ref="N212:Q212"/>
    <mergeCell ref="N177:Y177"/>
    <mergeCell ref="A69:D69"/>
    <mergeCell ref="V249:Y249"/>
    <mergeCell ref="R99:U99"/>
    <mergeCell ref="N35:Y35"/>
    <mergeCell ref="E272:G272"/>
    <mergeCell ref="H258:L258"/>
    <mergeCell ref="E249:H249"/>
    <mergeCell ref="H195:L195"/>
    <mergeCell ref="Q127:S127"/>
    <mergeCell ref="E164:F164"/>
    <mergeCell ref="H18:L18"/>
    <mergeCell ref="U78:Y78"/>
    <mergeCell ref="E195:F195"/>
    <mergeCell ref="A268:L268"/>
    <mergeCell ref="N117:Y117"/>
    <mergeCell ref="N9:Q9"/>
    <mergeCell ref="F183:G183"/>
    <mergeCell ref="A74:C74"/>
    <mergeCell ref="U15:Y15"/>
    <mergeCell ref="N5:Y5"/>
    <mergeCell ref="R15:S15"/>
    <mergeCell ref="R104:S104"/>
    <mergeCell ref="F205:I205"/>
    <mergeCell ref="U225:Y225"/>
    <mergeCell ref="F265:I265"/>
    <mergeCell ref="N52:R52"/>
    <mergeCell ref="R152:T152"/>
    <mergeCell ref="H108:L108"/>
    <mergeCell ref="F293:H293"/>
    <mergeCell ref="N208:Y208"/>
    <mergeCell ref="F55:I55"/>
    <mergeCell ref="S113:U113"/>
    <mergeCell ref="A85:E85"/>
    <mergeCell ref="B153:D153"/>
    <mergeCell ref="N281:S281"/>
    <mergeCell ref="V272:X272"/>
    <mergeCell ref="N62:Q62"/>
    <mergeCell ref="N237:Y237"/>
    <mergeCell ref="A45:C45"/>
    <mergeCell ref="D217:F217"/>
    <mergeCell ref="O67:P67"/>
    <mergeCell ref="R219:U219"/>
    <mergeCell ref="A230:E230"/>
    <mergeCell ref="N105:P105"/>
    <mergeCell ref="F83:H83"/>
    <mergeCell ref="A295:E295"/>
    <mergeCell ref="A143:E143"/>
    <mergeCell ref="A87:L87"/>
    <mergeCell ref="I242:K242"/>
    <mergeCell ref="I219:L219"/>
    <mergeCell ref="A159:D159"/>
    <mergeCell ref="A122:D122"/>
    <mergeCell ref="A232:E232"/>
    <mergeCell ref="R284:S284"/>
    <mergeCell ref="N71:S71"/>
    <mergeCell ref="R242:T242"/>
    <mergeCell ref="N50:R50"/>
    <mergeCell ref="A105:C105"/>
    <mergeCell ref="N292:R292"/>
    <mergeCell ref="D37:F37"/>
    <mergeCell ref="U48:Y48"/>
    <mergeCell ref="S110:Y110"/>
    <mergeCell ref="E129:H129"/>
    <mergeCell ref="Q157:S157"/>
    <mergeCell ref="A165:C165"/>
    <mergeCell ref="O187:P187"/>
    <mergeCell ref="F153:G153"/>
    <mergeCell ref="O243:Q243"/>
    <mergeCell ref="N225:P225"/>
    <mergeCell ref="A212:D212"/>
    <mergeCell ref="N135:P135"/>
    <mergeCell ref="A148:L148"/>
    <mergeCell ref="V122:X122"/>
    <mergeCell ref="H198:L198"/>
    <mergeCell ref="R105:S105"/>
    <mergeCell ref="N205:R205"/>
    <mergeCell ref="E99:H99"/>
    <mergeCell ref="N164:P164"/>
    <mergeCell ref="A293:E293"/>
    <mergeCell ref="N142:R142"/>
    <mergeCell ref="N80:R80"/>
    <mergeCell ref="N55:R55"/>
    <mergeCell ref="F230:L230"/>
    <mergeCell ref="A221:F221"/>
    <mergeCell ref="N224:P224"/>
    <mergeCell ref="S273:T273"/>
    <mergeCell ref="N238:Y238"/>
    <mergeCell ref="A101:F101"/>
    <mergeCell ref="I92:K92"/>
    <mergeCell ref="I152:K152"/>
    <mergeCell ref="A95:L95"/>
    <mergeCell ref="A9:D9"/>
    <mergeCell ref="S50:Y50"/>
    <mergeCell ref="S53:U53"/>
    <mergeCell ref="V212:X212"/>
    <mergeCell ref="A5:L5"/>
    <mergeCell ref="A224:C224"/>
    <mergeCell ref="N129:Q129"/>
    <mergeCell ref="A182:D182"/>
    <mergeCell ref="A233:E233"/>
    <mergeCell ref="S295:V295"/>
    <mergeCell ref="D157:F157"/>
    <mergeCell ref="H138:L138"/>
    <mergeCell ref="E104:F104"/>
    <mergeCell ref="B37:C37"/>
    <mergeCell ref="A175:E175"/>
    <mergeCell ref="A235:E235"/>
    <mergeCell ref="U288:Y288"/>
    <mergeCell ref="Q7:S7"/>
    <mergeCell ref="N2:Q2"/>
    <mergeCell ref="R189:U189"/>
    <mergeCell ref="V9:Y9"/>
    <mergeCell ref="A191:F191"/>
    <mergeCell ref="S63:T63"/>
    <mergeCell ref="A170:E170"/>
    <mergeCell ref="S123:T123"/>
    <mergeCell ref="A237:L237"/>
    <mergeCell ref="H135:L135"/>
    <mergeCell ref="B7:C7"/>
    <mergeCell ref="S80:Y80"/>
    <mergeCell ref="N297:Y297"/>
    <mergeCell ref="U168:Y168"/>
    <mergeCell ref="N249:Q249"/>
    <mergeCell ref="N14:P14"/>
    <mergeCell ref="N185:Y185"/>
    <mergeCell ref="A118:L118"/>
    <mergeCell ref="E135:F135"/>
    <mergeCell ref="A238:L238"/>
    <mergeCell ref="R255:S255"/>
    <mergeCell ref="O183:Q183"/>
    <mergeCell ref="A71:F71"/>
    <mergeCell ref="E224:F224"/>
    <mergeCell ref="A172:E172"/>
    <mergeCell ref="A25:E25"/>
    <mergeCell ref="A292:E292"/>
    <mergeCell ref="N88:Y88"/>
    <mergeCell ref="Q247:S247"/>
    <mergeCell ref="B183:D183"/>
    <mergeCell ref="N23:R23"/>
    <mergeCell ref="O127:P127"/>
    <mergeCell ref="A134:C134"/>
    <mergeCell ref="U75:Y75"/>
    <mergeCell ref="E39:H39"/>
    <mergeCell ref="R2:T2"/>
    <mergeCell ref="V62:X62"/>
    <mergeCell ref="N27:Y27"/>
    <mergeCell ref="F93:G93"/>
    <mergeCell ref="B187:C187"/>
    <mergeCell ref="R75:S75"/>
    <mergeCell ref="E279:H279"/>
    <mergeCell ref="I159:L159"/>
    <mergeCell ref="E62:G62"/>
    <mergeCell ref="A225:C225"/>
    <mergeCell ref="A20:E20"/>
    <mergeCell ref="A112:E112"/>
    <mergeCell ref="N145:R145"/>
    <mergeCell ref="F115:I115"/>
    <mergeCell ref="F173:H173"/>
    <mergeCell ref="E285:F285"/>
    <mergeCell ref="A177:L177"/>
    <mergeCell ref="A164:C164"/>
    <mergeCell ref="N251:S251"/>
    <mergeCell ref="S235:V235"/>
    <mergeCell ref="H168:L168"/>
    <mergeCell ref="N140:R140"/>
    <mergeCell ref="A195:C195"/>
    <mergeCell ref="V182:X182"/>
    <mergeCell ref="N232:R232"/>
    <mergeCell ref="U228:Y228"/>
    <mergeCell ref="O123:Q123"/>
    <mergeCell ref="D127:F127"/>
    <mergeCell ref="N263:R263"/>
    <mergeCell ref="N15:P15"/>
    <mergeCell ref="N242:Q242"/>
    <mergeCell ref="N200:R200"/>
    <mergeCell ref="A117:L117"/>
    <mergeCell ref="F243:G243"/>
    <mergeCell ref="R194:S194"/>
    <mergeCell ref="N265:R265"/>
    <mergeCell ref="N152:Q152"/>
    <mergeCell ref="E225:F225"/>
    <mergeCell ref="N202:R202"/>
    <mergeCell ref="B3:D3"/>
    <mergeCell ref="A262:E262"/>
    <mergeCell ref="N260:R260"/>
    <mergeCell ref="H225:L225"/>
    <mergeCell ref="H285:L285"/>
    <mergeCell ref="E152:G152"/>
    <mergeCell ref="I32:K32"/>
    <mergeCell ref="N161:S161"/>
    <mergeCell ref="S23:U23"/>
    <mergeCell ref="N155:Y155"/>
    <mergeCell ref="A208:L208"/>
    <mergeCell ref="F170:L170"/>
    <mergeCell ref="N99:Q99"/>
    <mergeCell ref="S230:Y230"/>
    <mergeCell ref="A249:D249"/>
    <mergeCell ref="A185:L185"/>
    <mergeCell ref="B67:C67"/>
    <mergeCell ref="S140:Y140"/>
    <mergeCell ref="N28:Y28"/>
    <mergeCell ref="N115:R115"/>
    <mergeCell ref="O277:P277"/>
    <mergeCell ref="A113:E113"/>
    <mergeCell ref="E284:F284"/>
    <mergeCell ref="R69:U69"/>
    <mergeCell ref="Q187:S187"/>
    <mergeCell ref="A23:E23"/>
    <mergeCell ref="B127:C127"/>
    <mergeCell ref="H75:L75"/>
    <mergeCell ref="S200:Y200"/>
    <mergeCell ref="N104:P104"/>
    <mergeCell ref="N275:Y275"/>
    <mergeCell ref="I2:K2"/>
    <mergeCell ref="A52:E52"/>
    <mergeCell ref="H48:L48"/>
    <mergeCell ref="E75:F75"/>
    <mergeCell ref="F113:H113"/>
    <mergeCell ref="A83:E83"/>
    <mergeCell ref="R195:S195"/>
    <mergeCell ref="S260:Y260"/>
    <mergeCell ref="N194:P194"/>
    <mergeCell ref="A62:D62"/>
    <mergeCell ref="E14:F14"/>
    <mergeCell ref="S85:V85"/>
    <mergeCell ref="N147:Y147"/>
    <mergeCell ref="O273:Q273"/>
    <mergeCell ref="A205:E205"/>
    <mergeCell ref="F33:G33"/>
    <mergeCell ref="I182:K182"/>
    <mergeCell ref="A80:E80"/>
    <mergeCell ref="N178:Y178"/>
    <mergeCell ref="H228:L228"/>
    <mergeCell ref="A55:E55"/>
    <mergeCell ref="A147:L147"/>
    <mergeCell ref="E219:H219"/>
    <mergeCell ref="U165:Y165"/>
    <mergeCell ref="N207:Y207"/>
    <mergeCell ref="F273:G273"/>
    <mergeCell ref="R92:T92"/>
    <mergeCell ref="A15:C15"/>
    <mergeCell ref="V99:Y99"/>
    <mergeCell ref="A200:E200"/>
    <mergeCell ref="F50:L50"/>
    <mergeCell ref="A275:L275"/>
    <mergeCell ref="F110:L110"/>
    <mergeCell ref="A265:E265"/>
    <mergeCell ref="V39:Y39"/>
    <mergeCell ref="S175:V175"/>
    <mergeCell ref="N39:Q39"/>
    <mergeCell ref="A129:D129"/>
    <mergeCell ref="A202:E202"/>
    <mergeCell ref="N125:Y125"/>
    <mergeCell ref="B97:C97"/>
    <mergeCell ref="N20:R20"/>
    <mergeCell ref="O63:Q63"/>
    <mergeCell ref="R159:U159"/>
    <mergeCell ref="A260:E260"/>
    <mergeCell ref="F263:H263"/>
    <mergeCell ref="E254:F254"/>
    <mergeCell ref="S213:T213"/>
    <mergeCell ref="D7:F7"/>
    <mergeCell ref="N22:R22"/>
    <mergeCell ref="B243:D243"/>
    <mergeCell ref="F23:H23"/>
    <mergeCell ref="R285:S285"/>
    <mergeCell ref="E189:H189"/>
    <mergeCell ref="I9:L9"/>
    <mergeCell ref="I69:L69"/>
    <mergeCell ref="A135:C135"/>
    <mergeCell ref="N57:Y57"/>
    <mergeCell ref="R74:S74"/>
    <mergeCell ref="V129:Y129"/>
    <mergeCell ref="N32:Q32"/>
    <mergeCell ref="N195:P195"/>
    <mergeCell ref="A50:E50"/>
    <mergeCell ref="E15:F15"/>
    <mergeCell ref="N284:P284"/>
    <mergeCell ref="E242:G242"/>
    <mergeCell ref="R165:S165"/>
    <mergeCell ref="F53:H53"/>
    <mergeCell ref="N41:S41"/>
    <mergeCell ref="R212:T212"/>
    <mergeCell ref="H15:L15"/>
    <mergeCell ref="B93:D93"/>
    <mergeCell ref="A281:F281"/>
    <mergeCell ref="N75:P75"/>
    <mergeCell ref="F200:L200"/>
    <mergeCell ref="A88:L88"/>
    <mergeCell ref="I272:K272"/>
    <mergeCell ref="S153:T153"/>
    <mergeCell ref="I212:K212"/>
    <mergeCell ref="N298:Y298"/>
    <mergeCell ref="S203:U203"/>
    <mergeCell ref="I122:K122"/>
    <mergeCell ref="S20:Y20"/>
    <mergeCell ref="N279:Q279"/>
    <mergeCell ref="A27:L27"/>
    <mergeCell ref="A285:C285"/>
    <mergeCell ref="F260:L260"/>
    <mergeCell ref="N53:R53"/>
    <mergeCell ref="O157:P157"/>
    <mergeCell ref="R9:U9"/>
    <mergeCell ref="U105:Y105"/>
    <mergeCell ref="R32:T32"/>
    <mergeCell ref="N295:R295"/>
    <mergeCell ref="E74:F74"/>
    <mergeCell ref="A145:E145"/>
    <mergeCell ref="B33:D33"/>
    <mergeCell ref="N290:R290"/>
    <mergeCell ref="U195:Y195"/>
    <mergeCell ref="N65:Y65"/>
    <mergeCell ref="O3:Q3"/>
    <mergeCell ref="F80:L80"/>
    <mergeCell ref="A140:E140"/>
    <mergeCell ref="F145:I145"/>
    <mergeCell ref="N134:P134"/>
    <mergeCell ref="A207:L207"/>
    <mergeCell ref="E255:F255"/>
    <mergeCell ref="O247:P247"/>
    <mergeCell ref="Q97:S97"/>
    <mergeCell ref="A65:L65"/>
    <mergeCell ref="O7:P7"/>
    <mergeCell ref="R44:S44"/>
    <mergeCell ref="F203:H203"/>
    <mergeCell ref="E194:F194"/>
    <mergeCell ref="I249:L249"/>
    <mergeCell ref="A152:D152"/>
    <mergeCell ref="N203:R203"/>
    <mergeCell ref="B247:C247"/>
    <mergeCell ref="S265:V265"/>
    <mergeCell ref="E159:H159"/>
    <mergeCell ref="U108:Y108"/>
    <mergeCell ref="A298:L298"/>
    <mergeCell ref="F213:G213"/>
    <mergeCell ref="E105:F105"/>
    <mergeCell ref="A161:F161"/>
    <mergeCell ref="N118:Y118"/>
    <mergeCell ref="Q277:S277"/>
    <mergeCell ref="A155:L155"/>
    <mergeCell ref="I129:L129"/>
    <mergeCell ref="R134:S134"/>
    <mergeCell ref="N230:R230"/>
    <mergeCell ref="U255:Y255"/>
    <mergeCell ref="F295:I295"/>
    <mergeCell ref="A99:D99"/>
    <mergeCell ref="V279:Y279"/>
    <mergeCell ref="S143:U143"/>
    <mergeCell ref="N11:S11"/>
    <mergeCell ref="R182:T182"/>
    <mergeCell ref="A284:C284"/>
    <mergeCell ref="D247:F247"/>
    <mergeCell ref="N219:Q219"/>
    <mergeCell ref="H288:L288"/>
    <mergeCell ref="A115:E115"/>
    <mergeCell ref="A2:D2"/>
    <mergeCell ref="R225:S225"/>
    <mergeCell ref="A173:E173"/>
    <mergeCell ref="B277:C277"/>
    <mergeCell ref="A41:F41"/>
    <mergeCell ref="Q67:S67"/>
    <mergeCell ref="N267:Y267"/>
    <mergeCell ref="H78:L78"/>
    <mergeCell ref="A75:C75"/>
    <mergeCell ref="F63:G63"/>
    <mergeCell ref="N110:R110"/>
    <mergeCell ref="R249:U249"/>
    <mergeCell ref="N58:Y58"/>
    <mergeCell ref="O97:P97"/>
    <mergeCell ref="A104:C104"/>
    <mergeCell ref="U45:Y45"/>
    <mergeCell ref="A297:L297"/>
    <mergeCell ref="A14:C14"/>
    <mergeCell ref="B157:C157"/>
    <mergeCell ref="R45:S45"/>
    <mergeCell ref="E32:G32"/>
    <mergeCell ref="N122:Q122"/>
    <mergeCell ref="N82:R82"/>
    <mergeCell ref="N293:R293"/>
    <mergeCell ref="A290:E290"/>
    <mergeCell ref="F85:I85"/>
    <mergeCell ref="A11:F11"/>
    <mergeCell ref="N221:S221"/>
    <mergeCell ref="S290:Y290"/>
    <mergeCell ref="B273:D273"/>
    <mergeCell ref="N92:Q92"/>
    <mergeCell ref="N255:P255"/>
    <mergeCell ref="N131:S131"/>
    <mergeCell ref="A242:D242"/>
    <mergeCell ref="N165:P165"/>
    <mergeCell ref="V152:X152"/>
    <mergeCell ref="F140:L140"/>
    <mergeCell ref="N69:Q69"/>
    <mergeCell ref="O93:Q93"/>
    <mergeCell ref="S293:U293"/>
    <mergeCell ref="D97:F97"/>
    <mergeCell ref="S3:T3"/>
    <mergeCell ref="A110:E110"/>
    <mergeCell ref="N233:R233"/>
    <mergeCell ref="E44:F44"/>
    <mergeCell ref="R272:T272"/>
    <mergeCell ref="I99:L99"/>
    <mergeCell ref="E2:G2"/>
    <mergeCell ref="A251:F251"/>
    <mergeCell ref="N143:R143"/>
    <mergeCell ref="F175:I175"/>
    <mergeCell ref="O213:Q213"/>
    <mergeCell ref="A254:C254"/>
    <mergeCell ref="A39:D39"/>
    <mergeCell ref="R164:S164"/>
    <mergeCell ref="V219:Y219"/>
    <mergeCell ref="N235:R235"/>
    <mergeCell ref="R122:T122"/>
    <mergeCell ref="N285:P285"/>
    <mergeCell ref="A125:L125"/>
    <mergeCell ref="H45:L45"/>
    <mergeCell ref="B63:D63"/>
    <mergeCell ref="B123:D123"/>
    <mergeCell ref="N74:P74"/>
    <mergeCell ref="V242:X242"/>
    <mergeCell ref="O217:P217"/>
    <mergeCell ref="S233:U233"/>
    <mergeCell ref="A22:E22"/>
    <mergeCell ref="A263:E263"/>
    <mergeCell ref="E122:G122"/>
    <mergeCell ref="V2:X2"/>
    <mergeCell ref="D187:F187"/>
    <mergeCell ref="N189:Q189"/>
    <mergeCell ref="E134:F134"/>
    <mergeCell ref="A178:L178"/>
    <mergeCell ref="F143:H143"/>
    <mergeCell ref="S205:V205"/>
    <mergeCell ref="A32:D32"/>
    <mergeCell ref="N83:R83"/>
    <mergeCell ref="R254:S254"/>
    <mergeCell ref="A219:D219"/>
    <mergeCell ref="S55:V55"/>
    <mergeCell ref="N25:R25"/>
    <mergeCell ref="N85:R85"/>
    <mergeCell ref="E165:F165"/>
    <mergeCell ref="A267:L267"/>
    <mergeCell ref="F3:G3"/>
    <mergeCell ref="R39:U39"/>
    <mergeCell ref="S25:V25"/>
    <mergeCell ref="S83:U83"/>
    <mergeCell ref="N87:Y87"/>
    <mergeCell ref="A35:L35"/>
    <mergeCell ref="V159:Y159"/>
    <mergeCell ref="N245:Y245"/>
    <mergeCell ref="N159:Q159"/>
    <mergeCell ref="A28:L28"/>
    <mergeCell ref="V69:Y69"/>
    <mergeCell ref="E45:F45"/>
    <mergeCell ref="F20:L20"/>
    <mergeCell ref="B217:C217"/>
    <mergeCell ref="A245:L245"/>
    <mergeCell ref="F235:I235"/>
    <mergeCell ref="A53:E53"/>
    <mergeCell ref="A189:D189"/>
    <mergeCell ref="E9:H9"/>
    <mergeCell ref="Q37:S37"/>
    <mergeCell ref="E69:H69"/>
    <mergeCell ref="H105:L105"/>
    <mergeCell ref="U138:Y138"/>
    <mergeCell ref="R129:U129"/>
    <mergeCell ref="F123:G123"/>
    <mergeCell ref="O37:P37"/>
  </mergeCells>
  <pageMargins left="0.3" right="0.3" top="0.4" bottom="0.4" header="0.3" footer="0.3"/>
  <pageSetup orientation="landscape" paperSize="9" fitToHeight="0" fitToWidth="1"/>
  <headerFooter>
    <oddHeader>&amp;L&amp;1Internal</oddHeader>
    <oddFooter/>
    <evenHeader/>
    <evenFooter/>
    <firstHeader/>
    <firstFooter/>
  </headerFooter>
  <rowBreaks count="9" manualBreakCount="9">
    <brk id="30" min="0" max="16383" man="1"/>
    <brk id="60" min="0" max="16383" man="1"/>
    <brk id="90" min="0" max="16383" man="1"/>
    <brk id="120" min="0" max="16383" man="1"/>
    <brk id="150" min="0" max="16383" man="1"/>
    <brk id="180" min="0" max="16383" man="1"/>
    <brk id="210" min="0" max="16383" man="1"/>
    <brk id="240" min="0" max="16383" man="1"/>
    <brk id="270" min="0" max="16383" man="1"/>
  </rowBreaks>
</worksheet>
</file>

<file path=xl/worksheets/sheet3.xml><?xml version="1.0" encoding="utf-8"?>
<worksheet xmlns="http://schemas.openxmlformats.org/spreadsheetml/2006/main">
  <sheetPr>
    <tabColor rgb="00FF6F00"/>
    <outlinePr summaryBelow="1" summaryRight="1"/>
    <pageSetUpPr fitToPage="1"/>
  </sheetPr>
  <dimension ref="A5:D82"/>
  <sheetViews>
    <sheetView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22" customWidth="1" min="3" max="3"/>
    <col width="30" customWidth="1" min="4" max="4"/>
    <col width="15" customWidth="1" min="5" max="5"/>
  </cols>
  <sheetData>
    <row r="2" ht="6" customHeight="1"/>
    <row r="5" ht="38" customHeight="1">
      <c r="B5" s="29" t="inlineStr">
        <is>
          <t>Mercedes-Benz AG</t>
        </is>
      </c>
      <c r="D5" s="30" t="inlineStr">
        <is>
          <t>BG-Metall Nord-Süd</t>
        </is>
      </c>
    </row>
    <row r="6" ht="30" customHeight="1">
      <c r="B6" s="30" t="inlineStr">
        <is>
          <t>Mercedesstr. 1</t>
        </is>
      </c>
    </row>
    <row r="7" ht="30" customHeight="1">
      <c r="B7" s="30" t="inlineStr">
        <is>
          <t>76437 Rastatt</t>
        </is>
      </c>
    </row>
    <row r="9" ht="30" customHeight="1"/>
    <row r="10" ht="34" customHeight="1">
      <c r="A10" s="31" t="n">
        <v>1</v>
      </c>
      <c r="B10" s="32">
        <f>IF(Teilnehmer!B11&lt;&gt;"",Teilnehmer!B11&amp;", "&amp;Teilnehmer!C11,"")</f>
        <v/>
      </c>
      <c r="C10" s="33">
        <f>IF(Teilnehmer!D11&lt;&gt;"",Teilnehmer!D11,"")</f>
        <v/>
      </c>
    </row>
    <row r="11" ht="34" customHeight="1">
      <c r="A11" s="31" t="n">
        <v>2</v>
      </c>
      <c r="B11" s="32">
        <f>IF(Teilnehmer!B12&lt;&gt;"",Teilnehmer!B12&amp;", "&amp;Teilnehmer!C12,"")</f>
        <v/>
      </c>
      <c r="C11" s="33">
        <f>IF(Teilnehmer!D12&lt;&gt;"",Teilnehmer!D12,"")</f>
        <v/>
      </c>
    </row>
    <row r="12" ht="34" customHeight="1">
      <c r="A12" s="31" t="n">
        <v>3</v>
      </c>
      <c r="B12" s="32">
        <f>IF(Teilnehmer!B13&lt;&gt;"",Teilnehmer!B13&amp;", "&amp;Teilnehmer!C13,"")</f>
        <v/>
      </c>
      <c r="C12" s="33">
        <f>IF(Teilnehmer!D13&lt;&gt;"",Teilnehmer!D13,"")</f>
        <v/>
      </c>
    </row>
    <row r="13" ht="34" customHeight="1">
      <c r="A13" s="31" t="n">
        <v>4</v>
      </c>
      <c r="B13" s="32">
        <f>IF(Teilnehmer!B14&lt;&gt;"",Teilnehmer!B14&amp;", "&amp;Teilnehmer!C14,"")</f>
        <v/>
      </c>
      <c r="C13" s="33">
        <f>IF(Teilnehmer!D14&lt;&gt;"",Teilnehmer!D14,"")</f>
        <v/>
      </c>
    </row>
    <row r="14" ht="34" customHeight="1">
      <c r="A14" s="31" t="n">
        <v>5</v>
      </c>
      <c r="B14" s="32">
        <f>IF(Teilnehmer!B15&lt;&gt;"",Teilnehmer!B15&amp;", "&amp;Teilnehmer!C15,"")</f>
        <v/>
      </c>
      <c r="C14" s="33">
        <f>IF(Teilnehmer!D15&lt;&gt;"",Teilnehmer!D15,"")</f>
        <v/>
      </c>
    </row>
    <row r="15" ht="34" customHeight="1">
      <c r="A15" s="31" t="n">
        <v>6</v>
      </c>
      <c r="B15" s="32">
        <f>IF(Teilnehmer!B16&lt;&gt;"",Teilnehmer!B16&amp;", "&amp;Teilnehmer!C16,"")</f>
        <v/>
      </c>
      <c r="C15" s="33">
        <f>IF(Teilnehmer!D16&lt;&gt;"",Teilnehmer!D16,"")</f>
        <v/>
      </c>
    </row>
    <row r="16" ht="34" customHeight="1">
      <c r="A16" s="31" t="n">
        <v>7</v>
      </c>
      <c r="B16" s="32">
        <f>IF(Teilnehmer!B17&lt;&gt;"",Teilnehmer!B17&amp;", "&amp;Teilnehmer!C17,"")</f>
        <v/>
      </c>
      <c r="C16" s="33">
        <f>IF(Teilnehmer!D17&lt;&gt;"",Teilnehmer!D17,"")</f>
        <v/>
      </c>
    </row>
    <row r="17" ht="34" customHeight="1">
      <c r="A17" s="31" t="n">
        <v>8</v>
      </c>
      <c r="B17" s="32">
        <f>IF(Teilnehmer!B18&lt;&gt;"",Teilnehmer!B18&amp;", "&amp;Teilnehmer!C18,"")</f>
        <v/>
      </c>
      <c r="C17" s="33">
        <f>IF(Teilnehmer!D18&lt;&gt;"",Teilnehmer!D18,"")</f>
        <v/>
      </c>
    </row>
    <row r="18" ht="34" customHeight="1">
      <c r="A18" s="31" t="n">
        <v>9</v>
      </c>
      <c r="B18" s="32">
        <f>IF(Teilnehmer!B19&lt;&gt;"",Teilnehmer!B19&amp;", "&amp;Teilnehmer!C19,"")</f>
        <v/>
      </c>
      <c r="C18" s="33">
        <f>IF(Teilnehmer!D19&lt;&gt;"",Teilnehmer!D19,"")</f>
        <v/>
      </c>
    </row>
    <row r="19" ht="34" customHeight="1">
      <c r="A19" s="31" t="n">
        <v>10</v>
      </c>
      <c r="B19" s="32">
        <f>IF(Teilnehmer!B20&lt;&gt;"",Teilnehmer!B20&amp;", "&amp;Teilnehmer!C20,"")</f>
        <v/>
      </c>
      <c r="C19" s="33">
        <f>IF(Teilnehmer!D20&lt;&gt;"",Teilnehmer!D20,"")</f>
        <v/>
      </c>
    </row>
    <row r="21" ht="24" customHeight="1"/>
    <row r="22">
      <c r="B22" s="34" t="inlineStr">
        <is>
          <t>Dr. Schmidt, Sabine</t>
        </is>
      </c>
    </row>
    <row r="23">
      <c r="B23" s="34" t="inlineStr">
        <is>
          <t>07222/91-22111</t>
        </is>
      </c>
    </row>
    <row r="24">
      <c r="B24" s="35" t="inlineStr">
        <is>
          <t>sabine.m.schmidt@mercedes-benz.com</t>
        </is>
      </c>
    </row>
    <row r="25" ht="26" customHeight="1">
      <c r="D25" s="36">
        <f>Teilnehmer!C3</f>
        <v/>
      </c>
    </row>
    <row r="28" ht="8" customHeight="1"/>
    <row r="29">
      <c r="C29" s="36">
        <f>Teilnehmer!C3</f>
        <v/>
      </c>
    </row>
    <row r="31">
      <c r="B31" s="37" t="inlineStr">
        <is>
          <t xml:space="preserve">  7.0103</t>
        </is>
      </c>
      <c r="C31" s="38">
        <f>Teilnehmer!C4</f>
        <v/>
      </c>
    </row>
    <row r="33">
      <c r="B33" s="37">
        <f>"  "&amp;Teilnehmer!C5</f>
        <v/>
      </c>
      <c r="C33" s="38" t="inlineStr">
        <is>
          <t>Mercedes-Benz AG, PKW-Werk Rastatt</t>
        </is>
      </c>
    </row>
    <row r="36">
      <c r="C36" s="38" t="inlineStr">
        <is>
          <t>Mercedes-Benz AG</t>
        </is>
      </c>
    </row>
    <row r="37">
      <c r="C37" s="38" t="inlineStr">
        <is>
          <t>Werksärztlicher Dienst</t>
        </is>
      </c>
    </row>
    <row r="38">
      <c r="C38" s="38" t="inlineStr">
        <is>
          <t>PKW-Werk Rastatt</t>
        </is>
      </c>
    </row>
    <row r="39">
      <c r="C39" s="38" t="inlineStr">
        <is>
          <t>Mercedesstr. 1</t>
        </is>
      </c>
    </row>
    <row r="40">
      <c r="B40" s="36">
        <f>Teilnehmer!C3</f>
        <v/>
      </c>
      <c r="C40" s="38" t="inlineStr">
        <is>
          <t>76437 Rastatt</t>
        </is>
      </c>
    </row>
    <row r="44" ht="6" customHeight="1"/>
    <row r="47" ht="38" customHeight="1">
      <c r="B47" s="29" t="inlineStr">
        <is>
          <t>Mercedes-Benz AG</t>
        </is>
      </c>
      <c r="D47" s="30" t="inlineStr">
        <is>
          <t>BG-Metall Nord-Süd</t>
        </is>
      </c>
    </row>
    <row r="48" ht="30" customHeight="1">
      <c r="B48" s="30" t="inlineStr">
        <is>
          <t>Mercedesstr. 1</t>
        </is>
      </c>
    </row>
    <row r="49" ht="30" customHeight="1">
      <c r="B49" s="30" t="inlineStr">
        <is>
          <t>76437 Rastatt</t>
        </is>
      </c>
    </row>
    <row r="51" ht="30" customHeight="1"/>
    <row r="52" ht="34" customHeight="1">
      <c r="A52" s="31" t="n">
        <v>1</v>
      </c>
      <c r="B52" s="32">
        <f>IF(Teilnehmer!B21&lt;&gt;"",Teilnehmer!B21&amp;", "&amp;Teilnehmer!C21,"")</f>
        <v/>
      </c>
      <c r="C52" s="33">
        <f>IF(Teilnehmer!D21&lt;&gt;"",Teilnehmer!D21,"")</f>
        <v/>
      </c>
    </row>
    <row r="53" ht="34" customHeight="1">
      <c r="A53" s="31" t="n">
        <v>2</v>
      </c>
      <c r="B53" s="32">
        <f>IF(Teilnehmer!B22&lt;&gt;"",Teilnehmer!B22&amp;", "&amp;Teilnehmer!C22,"")</f>
        <v/>
      </c>
      <c r="C53" s="33">
        <f>IF(Teilnehmer!D22&lt;&gt;"",Teilnehmer!D22,"")</f>
        <v/>
      </c>
    </row>
    <row r="54" ht="34" customHeight="1">
      <c r="A54" s="31" t="n">
        <v>3</v>
      </c>
      <c r="B54" s="32">
        <f>IF(Teilnehmer!B23&lt;&gt;"",Teilnehmer!B23&amp;", "&amp;Teilnehmer!C23,"")</f>
        <v/>
      </c>
      <c r="C54" s="33">
        <f>IF(Teilnehmer!D23&lt;&gt;"",Teilnehmer!D23,"")</f>
        <v/>
      </c>
    </row>
    <row r="55" ht="34" customHeight="1">
      <c r="A55" s="31" t="n">
        <v>4</v>
      </c>
      <c r="B55" s="32">
        <f>IF(Teilnehmer!B24&lt;&gt;"",Teilnehmer!B24&amp;", "&amp;Teilnehmer!C24,"")</f>
        <v/>
      </c>
      <c r="C55" s="33">
        <f>IF(Teilnehmer!D24&lt;&gt;"",Teilnehmer!D24,"")</f>
        <v/>
      </c>
    </row>
    <row r="56" ht="34" customHeight="1">
      <c r="A56" s="31" t="n">
        <v>5</v>
      </c>
      <c r="B56" s="32">
        <f>IF(Teilnehmer!B25&lt;&gt;"",Teilnehmer!B25&amp;", "&amp;Teilnehmer!C25,"")</f>
        <v/>
      </c>
      <c r="C56" s="33">
        <f>IF(Teilnehmer!D25&lt;&gt;"",Teilnehmer!D25,"")</f>
        <v/>
      </c>
    </row>
    <row r="57" ht="34" customHeight="1">
      <c r="A57" s="31" t="n">
        <v>6</v>
      </c>
      <c r="B57" s="32">
        <f>IF(Teilnehmer!B26&lt;&gt;"",Teilnehmer!B26&amp;", "&amp;Teilnehmer!C26,"")</f>
        <v/>
      </c>
      <c r="C57" s="33">
        <f>IF(Teilnehmer!D26&lt;&gt;"",Teilnehmer!D26,"")</f>
        <v/>
      </c>
    </row>
    <row r="58" ht="34" customHeight="1">
      <c r="A58" s="31" t="n">
        <v>7</v>
      </c>
      <c r="B58" s="32">
        <f>IF(Teilnehmer!B27&lt;&gt;"",Teilnehmer!B27&amp;", "&amp;Teilnehmer!C27,"")</f>
        <v/>
      </c>
      <c r="C58" s="33">
        <f>IF(Teilnehmer!D27&lt;&gt;"",Teilnehmer!D27,"")</f>
        <v/>
      </c>
    </row>
    <row r="59" ht="34" customHeight="1">
      <c r="A59" s="31" t="n">
        <v>8</v>
      </c>
      <c r="B59" s="32">
        <f>IF(Teilnehmer!B28&lt;&gt;"",Teilnehmer!B28&amp;", "&amp;Teilnehmer!C28,"")</f>
        <v/>
      </c>
      <c r="C59" s="33">
        <f>IF(Teilnehmer!D28&lt;&gt;"",Teilnehmer!D28,"")</f>
        <v/>
      </c>
    </row>
    <row r="60" ht="34" customHeight="1">
      <c r="A60" s="31" t="n">
        <v>9</v>
      </c>
      <c r="B60" s="32">
        <f>IF(Teilnehmer!B29&lt;&gt;"",Teilnehmer!B29&amp;", "&amp;Teilnehmer!C29,"")</f>
        <v/>
      </c>
      <c r="C60" s="33">
        <f>IF(Teilnehmer!D29&lt;&gt;"",Teilnehmer!D29,"")</f>
        <v/>
      </c>
    </row>
    <row r="61" ht="34" customHeight="1">
      <c r="A61" s="31" t="n">
        <v>10</v>
      </c>
      <c r="B61" s="32">
        <f>IF(Teilnehmer!B30&lt;&gt;"",Teilnehmer!B30&amp;", "&amp;Teilnehmer!C30,"")</f>
        <v/>
      </c>
      <c r="C61" s="33">
        <f>IF(Teilnehmer!D30&lt;&gt;"",Teilnehmer!D30,"")</f>
        <v/>
      </c>
    </row>
    <row r="63" ht="24" customHeight="1"/>
    <row r="64">
      <c r="B64" s="34" t="inlineStr">
        <is>
          <t>Dr. Schmidt, Sabine</t>
        </is>
      </c>
    </row>
    <row r="65">
      <c r="B65" s="34" t="inlineStr">
        <is>
          <t>07222/91-22111</t>
        </is>
      </c>
    </row>
    <row r="66">
      <c r="B66" s="35" t="inlineStr">
        <is>
          <t>sabine.m.schmidt@mercedes-benz.com</t>
        </is>
      </c>
    </row>
    <row r="67" ht="26" customHeight="1">
      <c r="D67" s="36">
        <f>Teilnehmer!C3</f>
        <v/>
      </c>
    </row>
    <row r="70" ht="8" customHeight="1"/>
    <row r="71">
      <c r="C71" s="36">
        <f>Teilnehmer!C3</f>
        <v/>
      </c>
    </row>
    <row r="73">
      <c r="B73" s="37" t="inlineStr">
        <is>
          <t xml:space="preserve">  7.0103</t>
        </is>
      </c>
      <c r="C73" s="38">
        <f>Teilnehmer!C4</f>
        <v/>
      </c>
    </row>
    <row r="75">
      <c r="B75" s="37">
        <f>"  "&amp;Teilnehmer!C5</f>
        <v/>
      </c>
      <c r="C75" s="38" t="inlineStr">
        <is>
          <t>Mercedes-Benz AG, PKW-Werk Rastatt</t>
        </is>
      </c>
    </row>
    <row r="78">
      <c r="C78" s="38" t="inlineStr">
        <is>
          <t>Mercedes-Benz AG</t>
        </is>
      </c>
    </row>
    <row r="79">
      <c r="C79" s="38" t="inlineStr">
        <is>
          <t>Werksärztlicher Dienst</t>
        </is>
      </c>
    </row>
    <row r="80">
      <c r="C80" s="38" t="inlineStr">
        <is>
          <t>PKW-Werk Rastatt</t>
        </is>
      </c>
    </row>
    <row r="81">
      <c r="C81" s="38" t="inlineStr">
        <is>
          <t>Mercedesstr. 1</t>
        </is>
      </c>
    </row>
    <row r="82">
      <c r="B82" s="36">
        <f>Teilnehmer!C3</f>
        <v/>
      </c>
      <c r="C82" s="38" t="inlineStr">
        <is>
          <t>76437 Rastatt</t>
        </is>
      </c>
    </row>
  </sheetData>
  <mergeCells count="16">
    <mergeCell ref="C29:D29"/>
    <mergeCell ref="C38:D38"/>
    <mergeCell ref="C80:D80"/>
    <mergeCell ref="C82:D82"/>
    <mergeCell ref="C33:D33"/>
    <mergeCell ref="C81:D81"/>
    <mergeCell ref="C71:D71"/>
    <mergeCell ref="C37:D37"/>
    <mergeCell ref="C36:D36"/>
    <mergeCell ref="C75:D75"/>
    <mergeCell ref="C40:D40"/>
    <mergeCell ref="C31:D31"/>
    <mergeCell ref="C78:D78"/>
    <mergeCell ref="C79:D79"/>
    <mergeCell ref="C39:D39"/>
    <mergeCell ref="C73:D73"/>
  </mergeCells>
  <conditionalFormatting sqref="B10:B19">
    <cfRule type="cellIs" priority="1" operator="equal" dxfId="1">
      <formula>", "</formula>
    </cfRule>
  </conditionalFormatting>
  <conditionalFormatting sqref="C10:C19">
    <cfRule type="cellIs" priority="2" operator="equal" dxfId="1">
      <formula>0</formula>
    </cfRule>
  </conditionalFormatting>
  <conditionalFormatting sqref="B52:B61">
    <cfRule type="cellIs" priority="3" operator="equal" dxfId="1">
      <formula>", "</formula>
    </cfRule>
  </conditionalFormatting>
  <conditionalFormatting sqref="C52:C61">
    <cfRule type="cellIs" priority="4" operator="equal" dxfId="1">
      <formula>0</formula>
    </cfRule>
  </conditionalFormatting>
  <pageMargins left="0.2" right="0.1" top="0.4" bottom="0.4" header="0.5" footer="0.5"/>
  <pageSetup orientation="portrait" paperSize="9" fitToHeight="0" fitToWidth="1"/>
  <rowBreaks count="1" manualBreakCount="1">
    <brk id="42" min="0" max="16383" man="1"/>
  </rowBreaks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39" t="inlineStr">
        <is>
          <t>Lehrgangsdokumentation</t>
        </is>
      </c>
    </row>
    <row r="2" ht="18" customHeight="1">
      <c r="A2" s="40" t="inlineStr">
        <is>
          <t>gem. Abschnitt 2.4.6 DGUV Grundsatz 304-001</t>
        </is>
      </c>
    </row>
    <row r="4" ht="22" customHeight="1">
      <c r="B4" s="41" t="inlineStr">
        <is>
          <t>Angaben zur Ausbildungsstelle</t>
        </is>
      </c>
    </row>
    <row r="5" ht="14" customHeight="1">
      <c r="B5" s="42" t="inlineStr">
        <is>
          <t>Bezeichnung</t>
        </is>
      </c>
    </row>
    <row r="6" ht="20" customHeight="1">
      <c r="B6" s="43" t="inlineStr">
        <is>
          <t>Mercedes-Benz AG</t>
        </is>
      </c>
      <c r="E6" s="44" t="inlineStr">
        <is>
          <t>QSEH-Kennziffer:</t>
        </is>
      </c>
      <c r="F6" s="43">
        <f>Teilnehmer!F5</f>
        <v/>
      </c>
    </row>
    <row r="8" ht="14" customHeight="1">
      <c r="B8" s="42" t="inlineStr">
        <is>
          <t>Straße / Hausnr.</t>
        </is>
      </c>
    </row>
    <row r="9" ht="20" customHeight="1">
      <c r="B9" s="43" t="inlineStr">
        <is>
          <t>Mercedesstr. 1</t>
        </is>
      </c>
    </row>
    <row r="11" ht="14" customHeight="1">
      <c r="B11" s="42" t="inlineStr">
        <is>
          <t>PLZ / Ort</t>
        </is>
      </c>
    </row>
    <row r="12" ht="20" customHeight="1">
      <c r="B12" s="43" t="inlineStr">
        <is>
          <t>76437 Rastatt</t>
        </is>
      </c>
    </row>
    <row r="14" ht="22" customHeight="1">
      <c r="B14" s="41" t="inlineStr">
        <is>
          <t>Angaben zum Seminar</t>
        </is>
      </c>
    </row>
    <row r="15" ht="20" customHeight="1">
      <c r="B15" s="45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44" t="inlineStr">
        <is>
          <t>Registriernummer:</t>
        </is>
      </c>
      <c r="C17" s="43">
        <f>Teilnehmer!C5</f>
        <v/>
      </c>
      <c r="E17" s="44" t="inlineStr">
        <is>
          <t>Lehrgangsort:</t>
        </is>
      </c>
      <c r="F17" s="43" t="inlineStr">
        <is>
          <t>Mercedes-Benz AG, PKW-Werk Rastatt</t>
        </is>
      </c>
    </row>
    <row r="18" ht="14" customHeight="1">
      <c r="B18" s="42" t="inlineStr">
        <is>
          <t>(aus dem QSEH-Portal)</t>
        </is>
      </c>
      <c r="F18" s="42" t="inlineStr">
        <is>
          <t>Gebäude 39, Gesundheitszentrum 1.OG</t>
        </is>
      </c>
    </row>
    <row r="20" ht="20" customHeight="1">
      <c r="B20" s="44" t="inlineStr">
        <is>
          <t>Lehrgangsdatum:</t>
        </is>
      </c>
      <c r="C20" s="46">
        <f>Teilnehmer!C3</f>
        <v/>
      </c>
      <c r="E20" s="44" t="inlineStr">
        <is>
          <t>Uhrzeit:</t>
        </is>
      </c>
      <c r="F20" s="43">
        <f>"von "&amp;TEXT(Teilnehmer!F3,"HH:MM")&amp;" Uhr bis "&amp;TEXT(Teilnehmer!H3,"HH:MM")&amp;" Uhr"</f>
        <v/>
      </c>
    </row>
    <row r="22" ht="20" customHeight="1">
      <c r="B22" s="44" t="inlineStr">
        <is>
          <t>Name der Lehrkraft:</t>
        </is>
      </c>
      <c r="C22" s="43">
        <f>Teilnehmer!C4</f>
        <v/>
      </c>
    </row>
    <row r="24" ht="20" customHeight="1">
      <c r="B24" s="44" t="inlineStr">
        <is>
          <t>Verantwortlicher Arzt:</t>
        </is>
      </c>
      <c r="C24" s="43">
        <f>Teilnehmer!C7</f>
        <v/>
      </c>
    </row>
    <row r="26" ht="20" customHeight="1">
      <c r="B26" s="44" t="inlineStr">
        <is>
          <t>Masken-Charge:</t>
        </is>
      </c>
      <c r="C26" s="47">
        <f>Teilnehmer!C8</f>
        <v/>
      </c>
    </row>
    <row r="28" ht="22" customHeight="1">
      <c r="B28" s="41" t="inlineStr">
        <is>
          <t>Anzahl der Teilnehmenden</t>
        </is>
      </c>
    </row>
    <row r="30" ht="20" customHeight="1">
      <c r="B30" s="44" t="inlineStr">
        <is>
          <t>Gesamtanzahl der Teilnehmenden:</t>
        </is>
      </c>
      <c r="E30" s="48">
        <f>Teilnehmer!C32</f>
        <v/>
      </c>
    </row>
    <row r="31" ht="14" customHeight="1">
      <c r="B31" s="42" t="inlineStr">
        <is>
          <t>(entspricht der Anzahl der Teilnehmerdatenblätter)</t>
        </is>
      </c>
    </row>
    <row r="33" ht="20" customHeight="1">
      <c r="B33" s="44" t="inlineStr">
        <is>
          <t>davon betriebliche Ersthelfende:</t>
        </is>
      </c>
      <c r="E33" s="48">
        <f>Teilnehmer!E32</f>
        <v/>
      </c>
    </row>
    <row r="35" ht="22" customHeight="1">
      <c r="B35" s="41" t="inlineStr">
        <is>
          <t>Anlagen</t>
        </is>
      </c>
    </row>
    <row r="36" ht="16" customHeight="1">
      <c r="B36" s="45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45" t="inlineStr">
        <is>
          <t>Die Dokumentation ist fünf Jahre aufzubewahren und auf Anforderung dem Unfallversicherungsträger vorzulegen.</t>
        </is>
      </c>
    </row>
    <row r="42" ht="18" customHeight="1">
      <c r="B42" s="44" t="inlineStr">
        <is>
          <t>Für die Richtigkeit der Angaben:</t>
        </is>
      </c>
    </row>
    <row r="47" ht="18" customHeight="1">
      <c r="B47" s="49">
        <f>"Rastatt, "&amp;TEXT(Teilnehmer!C3,"DD.MM.YYYY")</f>
        <v/>
      </c>
      <c r="E47" s="49">
        <f>"Rastatt, "&amp;TEXT(Teilnehmer!C3,"DD.MM.YYYY")</f>
        <v/>
      </c>
    </row>
    <row r="48" ht="14" customHeight="1">
      <c r="B48" s="42" t="inlineStr">
        <is>
          <t>Ort, Datum     Unterschrift Lehrgangsleitung</t>
        </is>
      </c>
      <c r="E48" s="42" t="inlineStr">
        <is>
          <t>Ort, Datum     Unterschrift Ausbildungsstelle</t>
        </is>
      </c>
    </row>
    <row r="50" ht="14" customHeight="1">
      <c r="B50" s="50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2026-02-10T16:29:08Z</dcterms:created>
  <dcterms:modified xmlns:dcterms="http://purl.org/dc/terms/" xmlns:xsi="http://www.w3.org/2001/XMLSchema-instance" xsi:type="dcterms:W3CDTF">2026-02-10T16:29:08Z</dcterms:modified>
</cp:coreProperties>
</file>