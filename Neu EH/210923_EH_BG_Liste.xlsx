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G:\000_Verschluesselt\EH und LSM Ausbildung Rastatt\Organisatorisches\"/>
    </mc:Choice>
  </mc:AlternateContent>
  <xr:revisionPtr revIDLastSave="0" documentId="13_ncr:1_{3DB3A0FF-CD55-42F1-A6B3-2CA3CDC113B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Blatt1" sheetId="1" r:id="rId1"/>
    <sheet name="Blatt2" sheetId="4" r:id="rId2"/>
  </sheets>
  <externalReferences>
    <externalReference r:id="rId3"/>
  </externalReferences>
  <definedNames>
    <definedName name="_xlnm.Print_Area" localSheetId="0">Blatt1!$A$1:$E$51</definedName>
    <definedName name="_xlnm.Print_Area" localSheetId="1">Blatt2!$A$1:$E$51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B19" i="4" l="1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B40" i="4"/>
  <c r="B33" i="4"/>
  <c r="C31" i="4"/>
  <c r="C29" i="4"/>
  <c r="D25" i="4"/>
  <c r="J2" i="4"/>
  <c r="B33" i="1"/>
  <c r="C29" i="1"/>
  <c r="D25" i="1"/>
  <c r="B40" i="1" l="1"/>
  <c r="C31" i="1"/>
  <c r="C11" i="1" l="1"/>
  <c r="C12" i="1"/>
  <c r="C13" i="1"/>
  <c r="C14" i="1"/>
  <c r="C15" i="1"/>
  <c r="C16" i="1"/>
  <c r="C17" i="1"/>
  <c r="C18" i="1"/>
  <c r="C19" i="1"/>
  <c r="C10" i="1"/>
  <c r="B10" i="1" l="1"/>
  <c r="J2" i="1"/>
  <c r="B15" i="1"/>
  <c r="B11" i="1"/>
  <c r="B12" i="1"/>
  <c r="B13" i="1"/>
  <c r="B14" i="1"/>
  <c r="B16" i="1"/>
  <c r="B17" i="1"/>
  <c r="B18" i="1"/>
  <c r="B19" i="1"/>
</calcChain>
</file>

<file path=xl/sharedStrings.xml><?xml version="1.0" encoding="utf-8"?>
<sst xmlns="http://schemas.openxmlformats.org/spreadsheetml/2006/main" count="28" uniqueCount="12">
  <si>
    <t>Mercedes Benz AG</t>
  </si>
  <si>
    <t>Mercedsstr. 1</t>
  </si>
  <si>
    <t>76437 Rastatt</t>
  </si>
  <si>
    <t>BG-Metall Nord-Süd</t>
  </si>
  <si>
    <t>Dr. Schmidt, Sabine</t>
  </si>
  <si>
    <t>07222/91-22111</t>
  </si>
  <si>
    <t xml:space="preserve">  7.0103</t>
  </si>
  <si>
    <t>Werksärztlicher Dienst</t>
  </si>
  <si>
    <t>PKW-Werk Rastatt</t>
  </si>
  <si>
    <t>Mercedesstraße 1</t>
  </si>
  <si>
    <t>Mercedes Benz AG, PKW Werk</t>
  </si>
  <si>
    <t>sabine.m.schmidt@mercedes-benz.com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</si>
</sst>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medium">
        <color rgb="FF70D2A6"/>
      </right>
      <top style="medium">
        <color rgb="FF70D2A6"/>
      </top>
      <bottom style="medium">
        <color rgb="FF70D2A6"/>
      </bottom>
      <diagonal/>
    </border>
    <border>
      <left style="medium">
        <color rgb="FF70D2A6"/>
      </left>
      <right/>
      <top style="medium">
        <color rgb="FF70D2A6"/>
      </top>
      <bottom style="medium">
        <color rgb="FF70D2A6"/>
      </bottom>
      <diagonal/>
    </border>
    <border>
      <left style="thin">
        <color theme="9" tint="0.39994506668294322"/>
      </left>
      <right/>
      <top style="thin">
        <color theme="9" tint="0.39994506668294322"/>
      </top>
      <bottom/>
      <diagonal/>
    </border>
    <border>
      <left style="thin">
        <color theme="9" tint="0.39994506668294322"/>
      </left>
      <right/>
      <top/>
      <bottom style="thin">
        <color theme="9" tint="0.39994506668294322"/>
      </bottom>
      <diagonal/>
    </border>
    <border>
      <left/>
      <right/>
      <top/>
      <bottom style="medium">
        <color rgb="FF70D2A6"/>
      </bottom>
      <diagonal/>
    </border>
    <border>
      <left/>
      <right/>
      <top style="medium">
        <color rgb="FF70D2A6"/>
      </top>
      <bottom style="medium">
        <color rgb="FF70D2A6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0" borderId="2" xfId="0" applyNumberFormat="1" applyFont="1" applyBorder="1" applyAlignment="1">
      <alignment horizontal="center" vertical="center"/>
    </xf>
    <xf numFmtId="0" fontId="0" fillId="0" borderId="3" xfId="0" applyBorder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0" xfId="0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top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70D2A6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7</xdr:row>
      <xdr:rowOff>0</xdr:rowOff>
    </xdr:from>
    <xdr:to>
      <xdr:col>1</xdr:col>
      <xdr:colOff>38174</xdr:colOff>
      <xdr:row>19</xdr:row>
      <xdr:rowOff>29419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3495675"/>
          <a:ext cx="533474" cy="6049219"/>
        </a:xfrm>
        <a:prstGeom prst="rect">
          <a:avLst/>
        </a:prstGeom>
      </xdr:spPr>
    </xdr:pic>
    <xdr:clientData/>
  </xdr:twoCellAnchor>
  <xdr:twoCellAnchor editAs="oneCell">
    <xdr:from>
      <xdr:col>3</xdr:col>
      <xdr:colOff>2686050</xdr:colOff>
      <xdr:row>8</xdr:row>
      <xdr:rowOff>409575</xdr:rowOff>
    </xdr:from>
    <xdr:to>
      <xdr:col>4</xdr:col>
      <xdr:colOff>1381322</xdr:colOff>
      <xdr:row>19</xdr:row>
      <xdr:rowOff>210289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4600" y="4429125"/>
          <a:ext cx="1409897" cy="529663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1401762</xdr:colOff>
      <xdr:row>4</xdr:row>
      <xdr:rowOff>19336</xdr:rowOff>
    </xdr:to>
    <xdr:pic>
      <xdr:nvPicPr>
        <xdr:cNvPr id="33" name="Grafik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0"/>
          <a:ext cx="11374437" cy="2048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0</xdr:row>
      <xdr:rowOff>19050</xdr:rowOff>
    </xdr:from>
    <xdr:to>
      <xdr:col>1</xdr:col>
      <xdr:colOff>28647</xdr:colOff>
      <xdr:row>8</xdr:row>
      <xdr:rowOff>276822</xdr:rowOff>
    </xdr:to>
    <xdr:pic>
      <xdr:nvPicPr>
        <xdr:cNvPr id="34" name="Grafik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19050"/>
          <a:ext cx="514422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6</xdr:row>
      <xdr:rowOff>400050</xdr:rowOff>
    </xdr:from>
    <xdr:to>
      <xdr:col>4</xdr:col>
      <xdr:colOff>1392232</xdr:colOff>
      <xdr:row>9</xdr:row>
      <xdr:rowOff>114452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3486150"/>
          <a:ext cx="11336332" cy="1086002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4</xdr:row>
      <xdr:rowOff>495300</xdr:rowOff>
    </xdr:from>
    <xdr:to>
      <xdr:col>2</xdr:col>
      <xdr:colOff>1267607</xdr:colOff>
      <xdr:row>5</xdr:row>
      <xdr:rowOff>276269</xdr:rowOff>
    </xdr:to>
    <xdr:pic>
      <xdr:nvPicPr>
        <xdr:cNvPr id="37" name="Grafik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925" y="2524125"/>
          <a:ext cx="5601482" cy="314369"/>
        </a:xfrm>
        <a:prstGeom prst="rect">
          <a:avLst/>
        </a:prstGeom>
      </xdr:spPr>
    </xdr:pic>
    <xdr:clientData/>
  </xdr:twoCellAnchor>
  <xdr:twoCellAnchor editAs="oneCell">
    <xdr:from>
      <xdr:col>1</xdr:col>
      <xdr:colOff>3914775</xdr:colOff>
      <xdr:row>2</xdr:row>
      <xdr:rowOff>476250</xdr:rowOff>
    </xdr:from>
    <xdr:to>
      <xdr:col>2</xdr:col>
      <xdr:colOff>1562353</xdr:colOff>
      <xdr:row>7</xdr:row>
      <xdr:rowOff>219379</xdr:rowOff>
    </xdr:to>
    <xdr:pic>
      <xdr:nvPicPr>
        <xdr:cNvPr id="38" name="Grafik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29150" y="1533525"/>
          <a:ext cx="1810003" cy="218152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5</xdr:row>
      <xdr:rowOff>466725</xdr:rowOff>
    </xdr:from>
    <xdr:to>
      <xdr:col>2</xdr:col>
      <xdr:colOff>810379</xdr:colOff>
      <xdr:row>6</xdr:row>
      <xdr:rowOff>181008</xdr:rowOff>
    </xdr:to>
    <xdr:pic>
      <xdr:nvPicPr>
        <xdr:cNvPr id="39" name="Grafik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0" y="3028950"/>
          <a:ext cx="5401429" cy="238158"/>
        </a:xfrm>
        <a:prstGeom prst="rect">
          <a:avLst/>
        </a:prstGeom>
      </xdr:spPr>
    </xdr:pic>
    <xdr:clientData/>
  </xdr:twoCellAnchor>
  <xdr:twoCellAnchor editAs="oneCell">
    <xdr:from>
      <xdr:col>4</xdr:col>
      <xdr:colOff>942975</xdr:colOff>
      <xdr:row>2</xdr:row>
      <xdr:rowOff>161925</xdr:rowOff>
    </xdr:from>
    <xdr:to>
      <xdr:col>4</xdr:col>
      <xdr:colOff>1381186</xdr:colOff>
      <xdr:row>7</xdr:row>
      <xdr:rowOff>209897</xdr:rowOff>
    </xdr:to>
    <xdr:pic>
      <xdr:nvPicPr>
        <xdr:cNvPr id="40" name="Grafik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06150" y="1219200"/>
          <a:ext cx="438211" cy="2486372"/>
        </a:xfrm>
        <a:prstGeom prst="rect">
          <a:avLst/>
        </a:prstGeom>
      </xdr:spPr>
    </xdr:pic>
    <xdr:clientData/>
  </xdr:twoCellAnchor>
  <xdr:twoCellAnchor editAs="oneCell">
    <xdr:from>
      <xdr:col>2</xdr:col>
      <xdr:colOff>1019175</xdr:colOff>
      <xdr:row>5</xdr:row>
      <xdr:rowOff>142875</xdr:rowOff>
    </xdr:from>
    <xdr:to>
      <xdr:col>4</xdr:col>
      <xdr:colOff>1277124</xdr:colOff>
      <xdr:row>5</xdr:row>
      <xdr:rowOff>447718</xdr:rowOff>
    </xdr:to>
    <xdr:pic>
      <xdr:nvPicPr>
        <xdr:cNvPr id="41" name="Grafik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95975" y="2705100"/>
          <a:ext cx="5544324" cy="30484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1047750</xdr:colOff>
      <xdr:row>3</xdr:row>
      <xdr:rowOff>209550</xdr:rowOff>
    </xdr:from>
    <xdr:to>
      <xdr:col>4</xdr:col>
      <xdr:colOff>1172330</xdr:colOff>
      <xdr:row>4</xdr:row>
      <xdr:rowOff>200091</xdr:rowOff>
    </xdr:to>
    <xdr:pic>
      <xdr:nvPicPr>
        <xdr:cNvPr id="42" name="Grafik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24550" y="1752600"/>
          <a:ext cx="5410955" cy="476316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19</xdr:row>
      <xdr:rowOff>66675</xdr:rowOff>
    </xdr:from>
    <xdr:to>
      <xdr:col>4</xdr:col>
      <xdr:colOff>1392235</xdr:colOff>
      <xdr:row>20</xdr:row>
      <xdr:rowOff>304908</xdr:rowOff>
    </xdr:to>
    <xdr:pic>
      <xdr:nvPicPr>
        <xdr:cNvPr id="43" name="Grafik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0025" y="9572625"/>
          <a:ext cx="11355385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20</xdr:row>
      <xdr:rowOff>47625</xdr:rowOff>
    </xdr:from>
    <xdr:to>
      <xdr:col>1</xdr:col>
      <xdr:colOff>857443</xdr:colOff>
      <xdr:row>27</xdr:row>
      <xdr:rowOff>95632</xdr:rowOff>
    </xdr:to>
    <xdr:pic>
      <xdr:nvPicPr>
        <xdr:cNvPr id="44" name="Grafik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0" y="10096500"/>
          <a:ext cx="1381318" cy="273405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23</xdr:row>
      <xdr:rowOff>342900</xdr:rowOff>
    </xdr:from>
    <xdr:to>
      <xdr:col>2</xdr:col>
      <xdr:colOff>2058344</xdr:colOff>
      <xdr:row>25</xdr:row>
      <xdr:rowOff>219168</xdr:rowOff>
    </xdr:to>
    <xdr:pic>
      <xdr:nvPicPr>
        <xdr:cNvPr id="45" name="Grafik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1450" y="11563350"/>
          <a:ext cx="6763694" cy="666843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20</xdr:row>
      <xdr:rowOff>38100</xdr:rowOff>
    </xdr:from>
    <xdr:to>
      <xdr:col>2</xdr:col>
      <xdr:colOff>1076353</xdr:colOff>
      <xdr:row>25</xdr:row>
      <xdr:rowOff>19321</xdr:rowOff>
    </xdr:to>
    <xdr:pic>
      <xdr:nvPicPr>
        <xdr:cNvPr id="46" name="Grafik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53100" y="10086975"/>
          <a:ext cx="200053" cy="1943371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2057400</xdr:colOff>
      <xdr:row>24</xdr:row>
      <xdr:rowOff>95250</xdr:rowOff>
    </xdr:from>
    <xdr:to>
      <xdr:col>3</xdr:col>
      <xdr:colOff>276335</xdr:colOff>
      <xdr:row>25</xdr:row>
      <xdr:rowOff>28619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934200" y="11725275"/>
          <a:ext cx="790685" cy="314369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24</xdr:row>
      <xdr:rowOff>314325</xdr:rowOff>
    </xdr:from>
    <xdr:to>
      <xdr:col>4</xdr:col>
      <xdr:colOff>1372141</xdr:colOff>
      <xdr:row>27</xdr:row>
      <xdr:rowOff>85847</xdr:rowOff>
    </xdr:to>
    <xdr:pic>
      <xdr:nvPicPr>
        <xdr:cNvPr id="49" name="Grafik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58100" y="11944350"/>
          <a:ext cx="3877216" cy="876422"/>
        </a:xfrm>
        <a:prstGeom prst="rect">
          <a:avLst/>
        </a:prstGeom>
      </xdr:spPr>
    </xdr:pic>
    <xdr:clientData/>
  </xdr:twoCellAnchor>
  <xdr:twoCellAnchor editAs="oneCell">
    <xdr:from>
      <xdr:col>4</xdr:col>
      <xdr:colOff>904875</xdr:colOff>
      <xdr:row>20</xdr:row>
      <xdr:rowOff>0</xdr:rowOff>
    </xdr:from>
    <xdr:to>
      <xdr:col>4</xdr:col>
      <xdr:colOff>1409770</xdr:colOff>
      <xdr:row>25</xdr:row>
      <xdr:rowOff>200327</xdr:rowOff>
    </xdr:to>
    <xdr:pic>
      <xdr:nvPicPr>
        <xdr:cNvPr id="50" name="Grafik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68050" y="10048875"/>
          <a:ext cx="504895" cy="216247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25</xdr:row>
      <xdr:rowOff>60846</xdr:rowOff>
    </xdr:from>
    <xdr:to>
      <xdr:col>4</xdr:col>
      <xdr:colOff>1401749</xdr:colOff>
      <xdr:row>27</xdr:row>
      <xdr:rowOff>97346</xdr:rowOff>
    </xdr:to>
    <xdr:pic>
      <xdr:nvPicPr>
        <xdr:cNvPr id="52" name="Grafik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5750" y="12071871"/>
          <a:ext cx="11279174" cy="760400"/>
        </a:xfrm>
        <a:prstGeom prst="rect">
          <a:avLst/>
        </a:prstGeom>
      </xdr:spPr>
    </xdr:pic>
    <xdr:clientData/>
  </xdr:twoCellAnchor>
  <xdr:twoCellAnchor editAs="oneCell">
    <xdr:from>
      <xdr:col>3</xdr:col>
      <xdr:colOff>2679539</xdr:colOff>
      <xdr:row>25</xdr:row>
      <xdr:rowOff>265132</xdr:rowOff>
    </xdr:from>
    <xdr:to>
      <xdr:col>4</xdr:col>
      <xdr:colOff>1422442</xdr:colOff>
      <xdr:row>42</xdr:row>
      <xdr:rowOff>94584</xdr:rowOff>
    </xdr:to>
    <xdr:pic>
      <xdr:nvPicPr>
        <xdr:cNvPr id="56" name="Grafik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127727" y="12267838"/>
          <a:ext cx="1458493" cy="4727593"/>
        </a:xfrm>
        <a:prstGeom prst="rect">
          <a:avLst/>
        </a:prstGeom>
      </xdr:spPr>
    </xdr:pic>
    <xdr:clientData/>
  </xdr:twoCellAnchor>
  <xdr:twoCellAnchor editAs="oneCell">
    <xdr:from>
      <xdr:col>0</xdr:col>
      <xdr:colOff>284664</xdr:colOff>
      <xdr:row>31</xdr:row>
      <xdr:rowOff>54852</xdr:rowOff>
    </xdr:from>
    <xdr:to>
      <xdr:col>4</xdr:col>
      <xdr:colOff>590925</xdr:colOff>
      <xdr:row>32</xdr:row>
      <xdr:rowOff>45363</xdr:rowOff>
    </xdr:to>
    <xdr:pic>
      <xdr:nvPicPr>
        <xdr:cNvPr id="57" name="Grafik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84664" y="13742518"/>
          <a:ext cx="10470280" cy="255764"/>
        </a:xfrm>
        <a:prstGeom prst="rect">
          <a:avLst/>
        </a:prstGeom>
      </xdr:spPr>
    </xdr:pic>
    <xdr:clientData/>
  </xdr:twoCellAnchor>
  <xdr:twoCellAnchor editAs="oneCell">
    <xdr:from>
      <xdr:col>2</xdr:col>
      <xdr:colOff>841214</xdr:colOff>
      <xdr:row>27</xdr:row>
      <xdr:rowOff>43899</xdr:rowOff>
    </xdr:from>
    <xdr:to>
      <xdr:col>2</xdr:col>
      <xdr:colOff>993635</xdr:colOff>
      <xdr:row>42</xdr:row>
      <xdr:rowOff>111408</xdr:rowOff>
    </xdr:to>
    <xdr:pic>
      <xdr:nvPicPr>
        <xdr:cNvPr id="58" name="Grafik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18255" y="12770022"/>
          <a:ext cx="152421" cy="4242233"/>
        </a:xfrm>
        <a:prstGeom prst="rect">
          <a:avLst/>
        </a:prstGeom>
      </xdr:spPr>
    </xdr:pic>
    <xdr:clientData/>
  </xdr:twoCellAnchor>
  <xdr:twoCellAnchor editAs="oneCell">
    <xdr:from>
      <xdr:col>0</xdr:col>
      <xdr:colOff>192234</xdr:colOff>
      <xdr:row>29</xdr:row>
      <xdr:rowOff>7900</xdr:rowOff>
    </xdr:from>
    <xdr:to>
      <xdr:col>4</xdr:col>
      <xdr:colOff>946233</xdr:colOff>
      <xdr:row>30</xdr:row>
      <xdr:rowOff>55561</xdr:rowOff>
    </xdr:to>
    <xdr:pic>
      <xdr:nvPicPr>
        <xdr:cNvPr id="60" name="Grafik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2234" y="13162046"/>
          <a:ext cx="10918018" cy="258657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33</xdr:row>
      <xdr:rowOff>14208</xdr:rowOff>
    </xdr:from>
    <xdr:to>
      <xdr:col>4</xdr:col>
      <xdr:colOff>830184</xdr:colOff>
      <xdr:row>34</xdr:row>
      <xdr:rowOff>99972</xdr:rowOff>
    </xdr:to>
    <xdr:pic>
      <xdr:nvPicPr>
        <xdr:cNvPr id="62" name="Grafik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0975" y="14301708"/>
          <a:ext cx="10813228" cy="275661"/>
        </a:xfrm>
        <a:prstGeom prst="rect">
          <a:avLst/>
        </a:prstGeom>
      </xdr:spPr>
    </xdr:pic>
    <xdr:clientData/>
  </xdr:twoCellAnchor>
  <xdr:twoCellAnchor editAs="oneCell">
    <xdr:from>
      <xdr:col>0</xdr:col>
      <xdr:colOff>193031</xdr:colOff>
      <xdr:row>39</xdr:row>
      <xdr:rowOff>312275</xdr:rowOff>
    </xdr:from>
    <xdr:to>
      <xdr:col>4</xdr:col>
      <xdr:colOff>594555</xdr:colOff>
      <xdr:row>42</xdr:row>
      <xdr:rowOff>112568</xdr:rowOff>
    </xdr:to>
    <xdr:pic>
      <xdr:nvPicPr>
        <xdr:cNvPr id="63" name="Grafik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3031" y="16462576"/>
          <a:ext cx="10565543" cy="550839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26</xdr:row>
      <xdr:rowOff>197975</xdr:rowOff>
    </xdr:from>
    <xdr:to>
      <xdr:col>0</xdr:col>
      <xdr:colOff>285766</xdr:colOff>
      <xdr:row>40</xdr:row>
      <xdr:rowOff>198561</xdr:rowOff>
    </xdr:to>
    <xdr:pic>
      <xdr:nvPicPr>
        <xdr:cNvPr id="64" name="Grafik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1450" y="12523204"/>
          <a:ext cx="114316" cy="419640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39</xdr:row>
      <xdr:rowOff>47625</xdr:rowOff>
    </xdr:from>
    <xdr:to>
      <xdr:col>1</xdr:col>
      <xdr:colOff>1028801</xdr:colOff>
      <xdr:row>39</xdr:row>
      <xdr:rowOff>314362</xdr:rowOff>
    </xdr:to>
    <xdr:pic>
      <xdr:nvPicPr>
        <xdr:cNvPr id="65" name="Grafik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19175" y="16211550"/>
          <a:ext cx="724001" cy="266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7</xdr:row>
      <xdr:rowOff>0</xdr:rowOff>
    </xdr:from>
    <xdr:to>
      <xdr:col>1</xdr:col>
      <xdr:colOff>38174</xdr:colOff>
      <xdr:row>19</xdr:row>
      <xdr:rowOff>29419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3495675"/>
          <a:ext cx="533474" cy="6049219"/>
        </a:xfrm>
        <a:prstGeom prst="rect">
          <a:avLst/>
        </a:prstGeom>
      </xdr:spPr>
    </xdr:pic>
    <xdr:clientData/>
  </xdr:twoCellAnchor>
  <xdr:twoCellAnchor editAs="oneCell">
    <xdr:from>
      <xdr:col>3</xdr:col>
      <xdr:colOff>2686050</xdr:colOff>
      <xdr:row>8</xdr:row>
      <xdr:rowOff>409575</xdr:rowOff>
    </xdr:from>
    <xdr:to>
      <xdr:col>4</xdr:col>
      <xdr:colOff>1381322</xdr:colOff>
      <xdr:row>19</xdr:row>
      <xdr:rowOff>210289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4600" y="4429125"/>
          <a:ext cx="1409897" cy="529663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1401762</xdr:colOff>
      <xdr:row>4</xdr:row>
      <xdr:rowOff>19336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0"/>
          <a:ext cx="11374437" cy="2048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0</xdr:row>
      <xdr:rowOff>19050</xdr:rowOff>
    </xdr:from>
    <xdr:to>
      <xdr:col>1</xdr:col>
      <xdr:colOff>28647</xdr:colOff>
      <xdr:row>8</xdr:row>
      <xdr:rowOff>276822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19050"/>
          <a:ext cx="514422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6</xdr:row>
      <xdr:rowOff>400050</xdr:rowOff>
    </xdr:from>
    <xdr:to>
      <xdr:col>4</xdr:col>
      <xdr:colOff>1392232</xdr:colOff>
      <xdr:row>9</xdr:row>
      <xdr:rowOff>114452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3486150"/>
          <a:ext cx="11336332" cy="1086002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4</xdr:row>
      <xdr:rowOff>495300</xdr:rowOff>
    </xdr:from>
    <xdr:to>
      <xdr:col>2</xdr:col>
      <xdr:colOff>1267607</xdr:colOff>
      <xdr:row>5</xdr:row>
      <xdr:rowOff>276269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925" y="2524125"/>
          <a:ext cx="5601482" cy="314369"/>
        </a:xfrm>
        <a:prstGeom prst="rect">
          <a:avLst/>
        </a:prstGeom>
      </xdr:spPr>
    </xdr:pic>
    <xdr:clientData/>
  </xdr:twoCellAnchor>
  <xdr:twoCellAnchor editAs="oneCell">
    <xdr:from>
      <xdr:col>1</xdr:col>
      <xdr:colOff>3914775</xdr:colOff>
      <xdr:row>2</xdr:row>
      <xdr:rowOff>476250</xdr:rowOff>
    </xdr:from>
    <xdr:to>
      <xdr:col>2</xdr:col>
      <xdr:colOff>1562353</xdr:colOff>
      <xdr:row>7</xdr:row>
      <xdr:rowOff>219379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29150" y="1533525"/>
          <a:ext cx="1810003" cy="218152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5</xdr:row>
      <xdr:rowOff>466725</xdr:rowOff>
    </xdr:from>
    <xdr:to>
      <xdr:col>2</xdr:col>
      <xdr:colOff>810379</xdr:colOff>
      <xdr:row>6</xdr:row>
      <xdr:rowOff>181008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0" y="3028950"/>
          <a:ext cx="5401429" cy="238158"/>
        </a:xfrm>
        <a:prstGeom prst="rect">
          <a:avLst/>
        </a:prstGeom>
      </xdr:spPr>
    </xdr:pic>
    <xdr:clientData/>
  </xdr:twoCellAnchor>
  <xdr:twoCellAnchor editAs="oneCell">
    <xdr:from>
      <xdr:col>4</xdr:col>
      <xdr:colOff>942975</xdr:colOff>
      <xdr:row>2</xdr:row>
      <xdr:rowOff>161925</xdr:rowOff>
    </xdr:from>
    <xdr:to>
      <xdr:col>4</xdr:col>
      <xdr:colOff>1381186</xdr:colOff>
      <xdr:row>7</xdr:row>
      <xdr:rowOff>209897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06150" y="1219200"/>
          <a:ext cx="438211" cy="2486372"/>
        </a:xfrm>
        <a:prstGeom prst="rect">
          <a:avLst/>
        </a:prstGeom>
      </xdr:spPr>
    </xdr:pic>
    <xdr:clientData/>
  </xdr:twoCellAnchor>
  <xdr:twoCellAnchor editAs="oneCell">
    <xdr:from>
      <xdr:col>2</xdr:col>
      <xdr:colOff>1019175</xdr:colOff>
      <xdr:row>5</xdr:row>
      <xdr:rowOff>142875</xdr:rowOff>
    </xdr:from>
    <xdr:to>
      <xdr:col>4</xdr:col>
      <xdr:colOff>1277124</xdr:colOff>
      <xdr:row>5</xdr:row>
      <xdr:rowOff>447718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95975" y="2705100"/>
          <a:ext cx="5544324" cy="30484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1047750</xdr:colOff>
      <xdr:row>3</xdr:row>
      <xdr:rowOff>209550</xdr:rowOff>
    </xdr:from>
    <xdr:to>
      <xdr:col>4</xdr:col>
      <xdr:colOff>1172330</xdr:colOff>
      <xdr:row>4</xdr:row>
      <xdr:rowOff>200091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24550" y="1752600"/>
          <a:ext cx="5410955" cy="476316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19</xdr:row>
      <xdr:rowOff>66675</xdr:rowOff>
    </xdr:from>
    <xdr:to>
      <xdr:col>4</xdr:col>
      <xdr:colOff>1392235</xdr:colOff>
      <xdr:row>20</xdr:row>
      <xdr:rowOff>304908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0025" y="9582150"/>
          <a:ext cx="11355385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20</xdr:row>
      <xdr:rowOff>47625</xdr:rowOff>
    </xdr:from>
    <xdr:to>
      <xdr:col>1</xdr:col>
      <xdr:colOff>857443</xdr:colOff>
      <xdr:row>27</xdr:row>
      <xdr:rowOff>95632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0" y="10096500"/>
          <a:ext cx="1381318" cy="273405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23</xdr:row>
      <xdr:rowOff>342900</xdr:rowOff>
    </xdr:from>
    <xdr:to>
      <xdr:col>2</xdr:col>
      <xdr:colOff>2058344</xdr:colOff>
      <xdr:row>25</xdr:row>
      <xdr:rowOff>219168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1450" y="11563350"/>
          <a:ext cx="6763694" cy="666843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20</xdr:row>
      <xdr:rowOff>38100</xdr:rowOff>
    </xdr:from>
    <xdr:to>
      <xdr:col>2</xdr:col>
      <xdr:colOff>1076353</xdr:colOff>
      <xdr:row>25</xdr:row>
      <xdr:rowOff>19321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53100" y="10086975"/>
          <a:ext cx="200053" cy="1943371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2057400</xdr:colOff>
      <xdr:row>24</xdr:row>
      <xdr:rowOff>95250</xdr:rowOff>
    </xdr:from>
    <xdr:to>
      <xdr:col>3</xdr:col>
      <xdr:colOff>276335</xdr:colOff>
      <xdr:row>25</xdr:row>
      <xdr:rowOff>28619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934200" y="11725275"/>
          <a:ext cx="790685" cy="314369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24</xdr:row>
      <xdr:rowOff>314325</xdr:rowOff>
    </xdr:from>
    <xdr:to>
      <xdr:col>4</xdr:col>
      <xdr:colOff>1372141</xdr:colOff>
      <xdr:row>27</xdr:row>
      <xdr:rowOff>85847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58100" y="11944350"/>
          <a:ext cx="3877216" cy="876422"/>
        </a:xfrm>
        <a:prstGeom prst="rect">
          <a:avLst/>
        </a:prstGeom>
      </xdr:spPr>
    </xdr:pic>
    <xdr:clientData/>
  </xdr:twoCellAnchor>
  <xdr:twoCellAnchor editAs="oneCell">
    <xdr:from>
      <xdr:col>4</xdr:col>
      <xdr:colOff>904875</xdr:colOff>
      <xdr:row>20</xdr:row>
      <xdr:rowOff>0</xdr:rowOff>
    </xdr:from>
    <xdr:to>
      <xdr:col>4</xdr:col>
      <xdr:colOff>1409770</xdr:colOff>
      <xdr:row>25</xdr:row>
      <xdr:rowOff>200327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68050" y="10048875"/>
          <a:ext cx="504895" cy="216247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25</xdr:row>
      <xdr:rowOff>60846</xdr:rowOff>
    </xdr:from>
    <xdr:to>
      <xdr:col>4</xdr:col>
      <xdr:colOff>1401749</xdr:colOff>
      <xdr:row>27</xdr:row>
      <xdr:rowOff>97346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5750" y="12071871"/>
          <a:ext cx="11279174" cy="760400"/>
        </a:xfrm>
        <a:prstGeom prst="rect">
          <a:avLst/>
        </a:prstGeom>
      </xdr:spPr>
    </xdr:pic>
    <xdr:clientData/>
  </xdr:twoCellAnchor>
  <xdr:twoCellAnchor editAs="oneCell">
    <xdr:from>
      <xdr:col>3</xdr:col>
      <xdr:colOff>2679539</xdr:colOff>
      <xdr:row>25</xdr:row>
      <xdr:rowOff>265132</xdr:rowOff>
    </xdr:from>
    <xdr:to>
      <xdr:col>5</xdr:col>
      <xdr:colOff>3217</xdr:colOff>
      <xdr:row>42</xdr:row>
      <xdr:rowOff>94584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128089" y="12276157"/>
          <a:ext cx="1457528" cy="4734827"/>
        </a:xfrm>
        <a:prstGeom prst="rect">
          <a:avLst/>
        </a:prstGeom>
      </xdr:spPr>
    </xdr:pic>
    <xdr:clientData/>
  </xdr:twoCellAnchor>
  <xdr:twoCellAnchor editAs="oneCell">
    <xdr:from>
      <xdr:col>0</xdr:col>
      <xdr:colOff>284664</xdr:colOff>
      <xdr:row>31</xdr:row>
      <xdr:rowOff>54852</xdr:rowOff>
    </xdr:from>
    <xdr:to>
      <xdr:col>4</xdr:col>
      <xdr:colOff>590925</xdr:colOff>
      <xdr:row>32</xdr:row>
      <xdr:rowOff>45363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84664" y="13751802"/>
          <a:ext cx="10469436" cy="257211"/>
        </a:xfrm>
        <a:prstGeom prst="rect">
          <a:avLst/>
        </a:prstGeom>
      </xdr:spPr>
    </xdr:pic>
    <xdr:clientData/>
  </xdr:twoCellAnchor>
  <xdr:twoCellAnchor editAs="oneCell">
    <xdr:from>
      <xdr:col>2</xdr:col>
      <xdr:colOff>841214</xdr:colOff>
      <xdr:row>27</xdr:row>
      <xdr:rowOff>43899</xdr:rowOff>
    </xdr:from>
    <xdr:to>
      <xdr:col>2</xdr:col>
      <xdr:colOff>993635</xdr:colOff>
      <xdr:row>42</xdr:row>
      <xdr:rowOff>111408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18014" y="12778824"/>
          <a:ext cx="152421" cy="4248984"/>
        </a:xfrm>
        <a:prstGeom prst="rect">
          <a:avLst/>
        </a:prstGeom>
      </xdr:spPr>
    </xdr:pic>
    <xdr:clientData/>
  </xdr:twoCellAnchor>
  <xdr:twoCellAnchor editAs="oneCell">
    <xdr:from>
      <xdr:col>0</xdr:col>
      <xdr:colOff>192234</xdr:colOff>
      <xdr:row>29</xdr:row>
      <xdr:rowOff>7900</xdr:rowOff>
    </xdr:from>
    <xdr:to>
      <xdr:col>4</xdr:col>
      <xdr:colOff>946233</xdr:colOff>
      <xdr:row>30</xdr:row>
      <xdr:rowOff>55561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2234" y="13171450"/>
          <a:ext cx="10917174" cy="25721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33</xdr:row>
      <xdr:rowOff>14208</xdr:rowOff>
    </xdr:from>
    <xdr:to>
      <xdr:col>4</xdr:col>
      <xdr:colOff>830184</xdr:colOff>
      <xdr:row>34</xdr:row>
      <xdr:rowOff>99972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0975" y="14311233"/>
          <a:ext cx="10812384" cy="276264"/>
        </a:xfrm>
        <a:prstGeom prst="rect">
          <a:avLst/>
        </a:prstGeom>
      </xdr:spPr>
    </xdr:pic>
    <xdr:clientData/>
  </xdr:twoCellAnchor>
  <xdr:twoCellAnchor editAs="oneCell">
    <xdr:from>
      <xdr:col>0</xdr:col>
      <xdr:colOff>193031</xdr:colOff>
      <xdr:row>39</xdr:row>
      <xdr:rowOff>312275</xdr:rowOff>
    </xdr:from>
    <xdr:to>
      <xdr:col>4</xdr:col>
      <xdr:colOff>594555</xdr:colOff>
      <xdr:row>42</xdr:row>
      <xdr:rowOff>112568</xdr:rowOff>
    </xdr:to>
    <xdr:pic>
      <xdr:nvPicPr>
        <xdr:cNvPr id="26" name="Grafik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3031" y="16476200"/>
          <a:ext cx="10564699" cy="55276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26</xdr:row>
      <xdr:rowOff>197975</xdr:rowOff>
    </xdr:from>
    <xdr:to>
      <xdr:col>0</xdr:col>
      <xdr:colOff>285766</xdr:colOff>
      <xdr:row>40</xdr:row>
      <xdr:rowOff>198561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1450" y="12532850"/>
          <a:ext cx="114316" cy="420111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39</xdr:row>
      <xdr:rowOff>47625</xdr:rowOff>
    </xdr:from>
    <xdr:to>
      <xdr:col>1</xdr:col>
      <xdr:colOff>1028801</xdr:colOff>
      <xdr:row>39</xdr:row>
      <xdr:rowOff>314362</xdr:rowOff>
    </xdr:to>
    <xdr:pic>
      <xdr:nvPicPr>
        <xdr:cNvPr id="28" name="Grafik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19175" y="16211550"/>
          <a:ext cx="724001" cy="2667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_LIST_Namensliste_EH_Ku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/>
          <cell r="B2"/>
          <cell r="C2"/>
          <cell r="D2" t="str">
            <v>202512WBAH</v>
          </cell>
          <cell r="E2">
            <v>46057</v>
          </cell>
          <cell r="F2" t="str">
            <v>Siebert, Emanuel</v>
          </cell>
          <cell r="G2">
            <v>0.33333333333333331</v>
          </cell>
        </row>
        <row r="3">
          <cell r="A3"/>
          <cell r="B3"/>
          <cell r="C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 t="str">
            <v>Groß</v>
          </cell>
          <cell r="B12" t="str">
            <v>Arthur</v>
          </cell>
          <cell r="C12">
            <v>33164</v>
          </cell>
        </row>
        <row r="13">
          <cell r="A13" t="str">
            <v>Kern</v>
          </cell>
          <cell r="B13" t="str">
            <v>Christoph</v>
          </cell>
          <cell r="C13">
            <v>30134</v>
          </cell>
        </row>
        <row r="14">
          <cell r="A14" t="str">
            <v>Merkel</v>
          </cell>
          <cell r="B14" t="str">
            <v>Florian</v>
          </cell>
          <cell r="C14">
            <v>32685</v>
          </cell>
        </row>
        <row r="15">
          <cell r="A15" t="str">
            <v>Weber</v>
          </cell>
          <cell r="B15" t="str">
            <v>Harald</v>
          </cell>
          <cell r="C15">
            <v>26701</v>
          </cell>
        </row>
        <row r="16">
          <cell r="A16" t="str">
            <v>Kaiser</v>
          </cell>
          <cell r="B16" t="str">
            <v>Jasmin</v>
          </cell>
          <cell r="C16">
            <v>31305</v>
          </cell>
        </row>
        <row r="17">
          <cell r="A17" t="str">
            <v>Ehrenpreis</v>
          </cell>
          <cell r="B17" t="str">
            <v>Kirill</v>
          </cell>
          <cell r="C17">
            <v>32211</v>
          </cell>
        </row>
        <row r="18">
          <cell r="A18" t="str">
            <v>Jaeger</v>
          </cell>
          <cell r="B18" t="str">
            <v>Manuel</v>
          </cell>
          <cell r="C18">
            <v>32680</v>
          </cell>
        </row>
        <row r="19">
          <cell r="A19" t="str">
            <v>Rauschenberg</v>
          </cell>
          <cell r="B19" t="str">
            <v>Marco</v>
          </cell>
          <cell r="C19">
            <v>30866</v>
          </cell>
        </row>
        <row r="20">
          <cell r="A20" t="str">
            <v>Geuss</v>
          </cell>
          <cell r="B20" t="str">
            <v>Martin</v>
          </cell>
          <cell r="C20">
            <v>25652</v>
          </cell>
        </row>
        <row r="21">
          <cell r="A21" t="str">
            <v>Scharer</v>
          </cell>
          <cell r="B21" t="str">
            <v>Michael</v>
          </cell>
          <cell r="C21">
            <v>23887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showGridLines="0" topLeftCell="A10" zoomScaleNormal="100" workbookViewId="0">
      <selection activeCell="B22" sqref="B22"/>
    </sheetView>
  </sheetViews>
  <sheetFormatPr baseColWidth="10" defaultRowHeight="14.4" x14ac:dyDescent="0.3"/>
  <cols>
    <col min="1" max="1" width="10.6640625" customWidth="1"/>
    <col min="2" max="2" width="62.44140625" customWidth="1"/>
    <col min="3" max="3" width="38.5546875" customWidth="1"/>
    <col min="4" max="4" width="40.6640625" customWidth="1"/>
    <col min="5" max="5" width="21.6640625" customWidth="1"/>
    <col min="6" max="6" width="4.33203125" customWidth="1"/>
  </cols>
  <sheetData>
    <row r="1" spans="1:10" ht="42" customHeight="1" x14ac:dyDescent="0.3"/>
    <row r="2" spans="1:10" ht="41.25" customHeight="1" x14ac:dyDescent="0.3">
      <c r="D2" s="10"/>
      <c r="J2">
        <f>IF([1]Sheet1!$G$2,[1]Sheet1!$G$2,"")</f>
        <v>0.33333333333333331</v>
      </c>
    </row>
    <row r="3" spans="1:10" ht="38.25" customHeight="1" x14ac:dyDescent="0.3">
      <c r="D3" s="10"/>
    </row>
    <row r="4" spans="1:10" ht="38.25" customHeight="1" x14ac:dyDescent="0.3">
      <c r="D4" s="11"/>
    </row>
    <row r="5" spans="1:10" ht="42" customHeight="1" x14ac:dyDescent="0.5">
      <c r="B5" s="6" t="s">
        <v>0</v>
      </c>
      <c r="D5" s="15" t="s">
        <v>3</v>
      </c>
    </row>
    <row r="6" spans="1:10" ht="41.25" customHeight="1" x14ac:dyDescent="0.5">
      <c r="B6" s="9" t="s">
        <v>1</v>
      </c>
    </row>
    <row r="7" spans="1:10" ht="32.25" customHeight="1" x14ac:dyDescent="0.5">
      <c r="B7" s="9" t="s">
        <v>2</v>
      </c>
      <c r="D7" s="19">
        <v>2.2625568217600098E+19</v>
      </c>
    </row>
    <row r="8" spans="1:10" ht="41.25" customHeight="1" x14ac:dyDescent="0.3">
      <c r="D8" s="14"/>
    </row>
    <row r="9" spans="1:10" ht="34.5" customHeight="1" thickBot="1" x14ac:dyDescent="0.35">
      <c r="D9" s="11"/>
    </row>
    <row r="10" spans="1:10" ht="39.75" customHeight="1" thickBot="1" x14ac:dyDescent="0.35">
      <c r="A10" s="7">
        <v>1</v>
      </c>
      <c r="B10" s="8" t="str">
        <f>CONCATENATE([1]Sheet1!A2,", ",[1]Sheet1!B2)</f>
        <v xml:space="preserve">, </v>
      </c>
      <c r="C10" s="1" t="str">
        <f>IF([1]Sheet1!C2,[1]Sheet1!C2,"")</f>
        <v/>
      </c>
      <c r="D10" s="2"/>
    </row>
    <row r="11" spans="1:10" ht="39.75" customHeight="1" thickBot="1" x14ac:dyDescent="0.35">
      <c r="A11" s="7">
        <v>2</v>
      </c>
      <c r="B11" s="8" t="str">
        <f>CONCATENATE([1]Sheet1!A3,", ",[1]Sheet1!B3)</f>
        <v xml:space="preserve">, </v>
      </c>
      <c r="C11" s="1" t="str">
        <f>IF([1]Sheet1!C3,[1]Sheet1!C3,"")</f>
        <v/>
      </c>
      <c r="D11" s="12"/>
    </row>
    <row r="12" spans="1:10" ht="39.75" customHeight="1" thickBot="1" x14ac:dyDescent="0.35">
      <c r="A12" s="7">
        <v>3</v>
      </c>
      <c r="B12" s="8" t="str">
        <f>CONCATENATE([1]Sheet1!A4,", ",[1]Sheet1!B4)</f>
        <v xml:space="preserve">, </v>
      </c>
      <c r="C12" s="1" t="str">
        <f>IF([1]Sheet1!C4,[1]Sheet1!C4,"")</f>
        <v/>
      </c>
      <c r="D12" s="2"/>
    </row>
    <row r="13" spans="1:10" ht="39.75" customHeight="1" thickBot="1" x14ac:dyDescent="0.35">
      <c r="A13" s="7">
        <v>4</v>
      </c>
      <c r="B13" s="8" t="str">
        <f>CONCATENATE([1]Sheet1!A5,", ",[1]Sheet1!B5)</f>
        <v xml:space="preserve">, </v>
      </c>
      <c r="C13" s="1" t="str">
        <f>IF([1]Sheet1!C5,[1]Sheet1!C5,"")</f>
        <v/>
      </c>
      <c r="D13" s="2"/>
    </row>
    <row r="14" spans="1:10" ht="40.5" customHeight="1" thickBot="1" x14ac:dyDescent="0.35">
      <c r="A14" s="7">
        <v>5</v>
      </c>
      <c r="B14" s="8" t="str">
        <f>CONCATENATE([1]Sheet1!A6,", ",[1]Sheet1!B6)</f>
        <v xml:space="preserve">, </v>
      </c>
      <c r="C14" s="1" t="str">
        <f>IF([1]Sheet1!C6,[1]Sheet1!C6,"")</f>
        <v/>
      </c>
      <c r="D14" s="2"/>
    </row>
    <row r="15" spans="1:10" ht="39.75" customHeight="1" thickBot="1" x14ac:dyDescent="0.35">
      <c r="A15" s="7">
        <v>6</v>
      </c>
      <c r="B15" s="8" t="str">
        <f>CONCATENATE([1]Sheet1!A7,", ",[1]Sheet1!B7)</f>
        <v xml:space="preserve">, </v>
      </c>
      <c r="C15" s="1" t="str">
        <f>IF([1]Sheet1!C7,[1]Sheet1!C7,"")</f>
        <v/>
      </c>
      <c r="D15" s="2"/>
    </row>
    <row r="16" spans="1:10" ht="40.5" customHeight="1" thickBot="1" x14ac:dyDescent="0.35">
      <c r="A16" s="7">
        <v>7</v>
      </c>
      <c r="B16" s="8" t="str">
        <f>CONCATENATE([1]Sheet1!A8,", ",[1]Sheet1!B8)</f>
        <v xml:space="preserve">, </v>
      </c>
      <c r="C16" s="1" t="str">
        <f>IF([1]Sheet1!C8,[1]Sheet1!C8,"")</f>
        <v/>
      </c>
      <c r="D16" s="2"/>
    </row>
    <row r="17" spans="1:4" ht="39" customHeight="1" thickBot="1" x14ac:dyDescent="0.35">
      <c r="A17" s="7">
        <v>8</v>
      </c>
      <c r="B17" s="8" t="str">
        <f>CONCATENATE([1]Sheet1!A9,", ",[1]Sheet1!B9)</f>
        <v xml:space="preserve">, </v>
      </c>
      <c r="C17" s="1" t="str">
        <f>IF([1]Sheet1!C9,[1]Sheet1!C9,"")</f>
        <v/>
      </c>
      <c r="D17" s="2"/>
    </row>
    <row r="18" spans="1:4" ht="39.75" customHeight="1" thickBot="1" x14ac:dyDescent="0.35">
      <c r="A18" s="7">
        <v>9</v>
      </c>
      <c r="B18" s="8" t="str">
        <f>CONCATENATE([1]Sheet1!A10,", ",[1]Sheet1!B10)</f>
        <v xml:space="preserve">, </v>
      </c>
      <c r="C18" s="1" t="str">
        <f>IF([1]Sheet1!C10,[1]Sheet1!C10,"")</f>
        <v/>
      </c>
      <c r="D18" s="13"/>
    </row>
    <row r="19" spans="1:4" ht="39.75" customHeight="1" thickBot="1" x14ac:dyDescent="0.35">
      <c r="A19" s="7">
        <v>10</v>
      </c>
      <c r="B19" s="8" t="str">
        <f>CONCATENATE([1]Sheet1!A11,", ",[1]Sheet1!B11)</f>
        <v xml:space="preserve">, </v>
      </c>
      <c r="C19" s="1" t="str">
        <f>IF([1]Sheet1!C11,[1]Sheet1!C11,"")</f>
        <v/>
      </c>
      <c r="D19" s="2"/>
    </row>
    <row r="20" spans="1:4" ht="42" customHeight="1" x14ac:dyDescent="0.3"/>
    <row r="21" spans="1:4" ht="27.75" customHeight="1" x14ac:dyDescent="0.3"/>
    <row r="22" spans="1:4" ht="32.25" customHeight="1" x14ac:dyDescent="0.3">
      <c r="B22" s="16" t="s">
        <v>4</v>
      </c>
    </row>
    <row r="23" spans="1:4" ht="32.25" customHeight="1" x14ac:dyDescent="0.3">
      <c r="B23" s="16" t="s">
        <v>5</v>
      </c>
    </row>
    <row r="24" spans="1:4" ht="32.25" customHeight="1" x14ac:dyDescent="0.3">
      <c r="B24" s="21" t="s">
        <v>11</v>
      </c>
      <c r="D24" s="17"/>
    </row>
    <row r="25" spans="1:4" ht="30" customHeight="1" x14ac:dyDescent="0.3">
      <c r="D25" s="3">
        <f>[1]Sheet1!$E$2</f>
        <v>46057</v>
      </c>
    </row>
    <row r="26" spans="1:4" ht="25.5" customHeight="1" x14ac:dyDescent="0.3"/>
    <row r="27" spans="1:4" ht="31.5" customHeight="1" x14ac:dyDescent="0.3">
      <c r="C27" s="3"/>
    </row>
    <row r="28" spans="1:4" ht="8.25" customHeight="1" x14ac:dyDescent="0.3"/>
    <row r="29" spans="1:4" ht="25.5" customHeight="1" x14ac:dyDescent="0.3">
      <c r="C29" s="23">
        <f>[1]Sheet1!$E$2</f>
        <v>46057</v>
      </c>
      <c r="D29" s="23"/>
    </row>
    <row r="30" spans="1:4" ht="16.5" customHeight="1" x14ac:dyDescent="0.3"/>
    <row r="31" spans="1:4" ht="25.5" customHeight="1" x14ac:dyDescent="0.3">
      <c r="B31" s="18" t="s">
        <v>6</v>
      </c>
      <c r="C31" s="22" t="str">
        <f>[1]Sheet1!$F$2</f>
        <v>Siebert, Emanuel</v>
      </c>
      <c r="D31" s="22"/>
    </row>
    <row r="32" spans="1:4" ht="21" customHeight="1" x14ac:dyDescent="0.3">
      <c r="B32" s="4"/>
    </row>
    <row r="33" spans="2:4" ht="26.25" customHeight="1" x14ac:dyDescent="0.45">
      <c r="B33" s="5" t="str">
        <f>"  "&amp;[1]Sheet1!$D$2</f>
        <v xml:space="preserve">  202512WBAH</v>
      </c>
      <c r="C33" s="22" t="s">
        <v>10</v>
      </c>
      <c r="D33" s="22"/>
    </row>
    <row r="36" spans="2:4" ht="29.25" customHeight="1" x14ac:dyDescent="0.3">
      <c r="C36" s="22" t="s">
        <v>0</v>
      </c>
      <c r="D36" s="22"/>
    </row>
    <row r="37" spans="2:4" ht="29.25" customHeight="1" x14ac:dyDescent="0.3">
      <c r="C37" s="22" t="s">
        <v>7</v>
      </c>
      <c r="D37" s="22"/>
    </row>
    <row r="38" spans="2:4" ht="29.25" customHeight="1" x14ac:dyDescent="0.3">
      <c r="C38" s="22" t="s">
        <v>8</v>
      </c>
      <c r="D38" s="22"/>
    </row>
    <row r="39" spans="2:4" ht="29.25" customHeight="1" x14ac:dyDescent="0.3">
      <c r="C39" s="22" t="s">
        <v>9</v>
      </c>
      <c r="D39" s="22"/>
    </row>
    <row r="40" spans="2:4" ht="29.25" customHeight="1" x14ac:dyDescent="0.3">
      <c r="B40" s="3">
        <f>[1]Sheet1!$E$2</f>
        <v>46057</v>
      </c>
      <c r="C40" s="22" t="s">
        <v>2</v>
      </c>
      <c r="D40" s="22"/>
    </row>
    <row r="41" spans="2:4" ht="21" customHeight="1" x14ac:dyDescent="0.3"/>
    <row r="42" spans="2:4" ht="9" customHeight="1" x14ac:dyDescent="0.3"/>
    <row r="43" spans="2:4" ht="9" customHeight="1" x14ac:dyDescent="0.3"/>
  </sheetData>
  <sheetProtection sheet="1" selectLockedCells="1" selectUnlockedCells="1"/>
  <mergeCells count="8">
    <mergeCell ref="C39:D39"/>
    <mergeCell ref="C40:D40"/>
    <mergeCell ref="C29:D29"/>
    <mergeCell ref="C31:D31"/>
    <mergeCell ref="C33:D33"/>
    <mergeCell ref="C36:D36"/>
    <mergeCell ref="C37:D37"/>
    <mergeCell ref="C38:D38"/>
  </mergeCells>
  <conditionalFormatting sqref="B10:B19">
    <cfRule type="cellIs" dxfId="3" priority="1" operator="equal">
      <formula>", "</formula>
    </cfRule>
  </conditionalFormatting>
  <conditionalFormatting sqref="C10:C19">
    <cfRule type="cellIs" dxfId="2" priority="2" operator="equal">
      <formula>0</formula>
    </cfRule>
  </conditionalFormatting>
  <pageMargins left="0.19685039370078741" right="7.874015748031496E-2" top="0.39370078740157483" bottom="0.39370078740157483" header="0" footer="0"/>
  <pageSetup paperSize="9" scale="56" orientation="portrait" r:id="rId1"/>
  <headerFooter>
    <oddHeader>&amp;L&amp;"CorpoS"&amp;10&amp;K000000Internal&amp;1#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3"/>
  <sheetViews>
    <sheetView showGridLines="0" tabSelected="1" zoomScaleNormal="100" workbookViewId="0">
      <selection activeCell="C19" sqref="C19"/>
    </sheetView>
  </sheetViews>
  <sheetFormatPr baseColWidth="10" defaultRowHeight="14.4" x14ac:dyDescent="0.3"/>
  <cols>
    <col min="1" max="1" width="10.6640625" customWidth="1"/>
    <col min="2" max="2" width="62.44140625" customWidth="1"/>
    <col min="3" max="3" width="38.5546875" customWidth="1"/>
    <col min="4" max="4" width="40.6640625" customWidth="1"/>
    <col min="5" max="5" width="21.33203125" customWidth="1"/>
    <col min="6" max="6" width="4.33203125" customWidth="1"/>
  </cols>
  <sheetData>
    <row r="1" spans="1:10" ht="42" customHeight="1" x14ac:dyDescent="0.3"/>
    <row r="2" spans="1:10" ht="41.25" customHeight="1" x14ac:dyDescent="0.3">
      <c r="D2" s="10"/>
      <c r="J2">
        <f>IF([1]Sheet1!$G$2,[1]Sheet1!$G$2,"")</f>
        <v>0.33333333333333331</v>
      </c>
    </row>
    <row r="3" spans="1:10" ht="38.25" customHeight="1" x14ac:dyDescent="0.3">
      <c r="D3" s="10"/>
    </row>
    <row r="4" spans="1:10" ht="38.25" customHeight="1" x14ac:dyDescent="0.3">
      <c r="D4" s="11"/>
    </row>
    <row r="5" spans="1:10" ht="42" customHeight="1" x14ac:dyDescent="0.5">
      <c r="B5" s="6" t="s">
        <v>0</v>
      </c>
      <c r="D5" s="15" t="s">
        <v>3</v>
      </c>
    </row>
    <row r="6" spans="1:10" ht="41.25" customHeight="1" x14ac:dyDescent="0.5">
      <c r="B6" s="9" t="s">
        <v>1</v>
      </c>
    </row>
    <row r="7" spans="1:10" ht="32.25" customHeight="1" x14ac:dyDescent="0.5">
      <c r="B7" s="9" t="s">
        <v>2</v>
      </c>
      <c r="D7" s="19">
        <v>2.2625568217600098E+19</v>
      </c>
    </row>
    <row r="8" spans="1:10" ht="41.25" customHeight="1" x14ac:dyDescent="0.3">
      <c r="D8" s="14"/>
    </row>
    <row r="9" spans="1:10" ht="34.5" customHeight="1" thickBot="1" x14ac:dyDescent="0.35">
      <c r="D9" s="11"/>
    </row>
    <row r="10" spans="1:10" ht="39.75" customHeight="1" thickBot="1" x14ac:dyDescent="0.35">
      <c r="A10" s="7">
        <v>1</v>
      </c>
      <c r="B10" s="8" t="str">
        <f>CONCATENATE([1]Sheet1!A12,", ",[1]Sheet1!B12)</f>
        <v>Groß, Arthur</v>
      </c>
      <c r="C10" s="1">
        <f>IF([1]Sheet1!C12,[1]Sheet1!C12,"")</f>
        <v>33164</v>
      </c>
      <c r="D10" s="2"/>
    </row>
    <row r="11" spans="1:10" ht="39.75" customHeight="1" thickBot="1" x14ac:dyDescent="0.35">
      <c r="A11" s="7">
        <v>2</v>
      </c>
      <c r="B11" s="8" t="str">
        <f>CONCATENATE([1]Sheet1!A13,", ",[1]Sheet1!B13)</f>
        <v>Kern, Christoph</v>
      </c>
      <c r="C11" s="1">
        <f>IF([1]Sheet1!C13,[1]Sheet1!C13,"")</f>
        <v>30134</v>
      </c>
      <c r="D11" s="12"/>
    </row>
    <row r="12" spans="1:10" ht="39.75" customHeight="1" thickBot="1" x14ac:dyDescent="0.35">
      <c r="A12" s="7">
        <v>3</v>
      </c>
      <c r="B12" s="8" t="str">
        <f>CONCATENATE([1]Sheet1!A14,", ",[1]Sheet1!B14)</f>
        <v>Merkel, Florian</v>
      </c>
      <c r="C12" s="1">
        <f>IF([1]Sheet1!C14,[1]Sheet1!C14,"")</f>
        <v>32685</v>
      </c>
      <c r="D12" s="2"/>
    </row>
    <row r="13" spans="1:10" ht="39.75" customHeight="1" thickBot="1" x14ac:dyDescent="0.35">
      <c r="A13" s="7">
        <v>4</v>
      </c>
      <c r="B13" s="8" t="str">
        <f>CONCATENATE([1]Sheet1!A15,", ",[1]Sheet1!B15)</f>
        <v>Weber, Harald</v>
      </c>
      <c r="C13" s="1">
        <f>IF([1]Sheet1!C15,[1]Sheet1!C15,"")</f>
        <v>26701</v>
      </c>
      <c r="D13" s="2"/>
    </row>
    <row r="14" spans="1:10" ht="40.5" customHeight="1" thickBot="1" x14ac:dyDescent="0.35">
      <c r="A14" s="7">
        <v>5</v>
      </c>
      <c r="B14" s="8" t="str">
        <f>CONCATENATE([1]Sheet1!A16,", ",[1]Sheet1!B16)</f>
        <v>Kaiser, Jasmin</v>
      </c>
      <c r="C14" s="1">
        <f>IF([1]Sheet1!C16,[1]Sheet1!C16,"")</f>
        <v>31305</v>
      </c>
      <c r="D14" s="2"/>
    </row>
    <row r="15" spans="1:10" ht="39.75" customHeight="1" thickBot="1" x14ac:dyDescent="0.35">
      <c r="A15" s="7">
        <v>6</v>
      </c>
      <c r="B15" s="8" t="str">
        <f>CONCATENATE([1]Sheet1!A17,", ",[1]Sheet1!B17)</f>
        <v>Ehrenpreis, Kirill</v>
      </c>
      <c r="C15" s="1">
        <f>IF([1]Sheet1!C17,[1]Sheet1!C17,"")</f>
        <v>32211</v>
      </c>
      <c r="D15" s="2"/>
    </row>
    <row r="16" spans="1:10" ht="40.5" customHeight="1" thickBot="1" x14ac:dyDescent="0.35">
      <c r="A16" s="7">
        <v>7</v>
      </c>
      <c r="B16" s="8" t="str">
        <f>CONCATENATE([1]Sheet1!A18,", ",[1]Sheet1!B18)</f>
        <v>Jaeger, Manuel</v>
      </c>
      <c r="C16" s="1">
        <f>IF([1]Sheet1!C18,[1]Sheet1!C18,"")</f>
        <v>32680</v>
      </c>
      <c r="D16" s="2"/>
    </row>
    <row r="17" spans="1:4" ht="39" customHeight="1" thickBot="1" x14ac:dyDescent="0.35">
      <c r="A17" s="7">
        <v>8</v>
      </c>
      <c r="B17" s="8" t="str">
        <f>CONCATENATE([1]Sheet1!A19,", ",[1]Sheet1!B19)</f>
        <v>Rauschenberg, Marco</v>
      </c>
      <c r="C17" s="1">
        <f>IF([1]Sheet1!C19,[1]Sheet1!C19,"")</f>
        <v>30866</v>
      </c>
      <c r="D17" s="2"/>
    </row>
    <row r="18" spans="1:4" ht="39.75" customHeight="1" thickBot="1" x14ac:dyDescent="0.35">
      <c r="A18" s="7">
        <v>9</v>
      </c>
      <c r="B18" s="8" t="str">
        <f>CONCATENATE([1]Sheet1!A20,", ",[1]Sheet1!B20)</f>
        <v>Geuss, Martin</v>
      </c>
      <c r="C18" s="1">
        <f>IF([1]Sheet1!C20,[1]Sheet1!C20,"")</f>
        <v>25652</v>
      </c>
      <c r="D18" s="13"/>
    </row>
    <row r="19" spans="1:4" ht="39.75" customHeight="1" thickBot="1" x14ac:dyDescent="0.35">
      <c r="A19" s="7">
        <v>10</v>
      </c>
      <c r="B19" s="8" t="str">
        <f>CONCATENATE([1]Sheet1!A21,", ",[1]Sheet1!B21)</f>
        <v>Scharer, Michael</v>
      </c>
      <c r="C19" s="1">
        <f>IF([1]Sheet1!C21,[1]Sheet1!C21,"")</f>
        <v>23887</v>
      </c>
      <c r="D19" s="2"/>
    </row>
    <row r="20" spans="1:4" ht="42" customHeight="1" x14ac:dyDescent="0.3"/>
    <row r="21" spans="1:4" ht="27.75" customHeight="1" x14ac:dyDescent="0.3"/>
    <row r="22" spans="1:4" ht="32.25" customHeight="1" x14ac:dyDescent="0.3">
      <c r="B22" s="16" t="s">
        <v>4</v>
      </c>
    </row>
    <row r="23" spans="1:4" ht="32.25" customHeight="1" x14ac:dyDescent="0.3">
      <c r="B23" s="16" t="s">
        <v>5</v>
      </c>
    </row>
    <row r="24" spans="1:4" ht="32.25" customHeight="1" x14ac:dyDescent="0.3">
      <c r="B24" s="20" t="s">
        <v>11</v>
      </c>
      <c r="D24" s="17"/>
    </row>
    <row r="25" spans="1:4" ht="30" customHeight="1" x14ac:dyDescent="0.3">
      <c r="D25" s="3">
        <f>[1]Sheet1!$E$2</f>
        <v>46057</v>
      </c>
    </row>
    <row r="26" spans="1:4" ht="25.5" customHeight="1" x14ac:dyDescent="0.3"/>
    <row r="27" spans="1:4" ht="31.5" customHeight="1" x14ac:dyDescent="0.3">
      <c r="C27" s="3"/>
    </row>
    <row r="28" spans="1:4" ht="8.25" customHeight="1" x14ac:dyDescent="0.3"/>
    <row r="29" spans="1:4" ht="25.5" customHeight="1" x14ac:dyDescent="0.3">
      <c r="C29" s="23">
        <f>[1]Sheet1!$E$2</f>
        <v>46057</v>
      </c>
      <c r="D29" s="23"/>
    </row>
    <row r="30" spans="1:4" ht="16.5" customHeight="1" x14ac:dyDescent="0.3"/>
    <row r="31" spans="1:4" ht="25.5" customHeight="1" x14ac:dyDescent="0.3">
      <c r="B31" s="18" t="s">
        <v>6</v>
      </c>
      <c r="C31" s="22" t="str">
        <f>[1]Sheet1!$F$2</f>
        <v>Siebert, Emanuel</v>
      </c>
      <c r="D31" s="22"/>
    </row>
    <row r="32" spans="1:4" ht="21" customHeight="1" x14ac:dyDescent="0.3">
      <c r="B32" s="4"/>
    </row>
    <row r="33" spans="2:4" ht="26.25" customHeight="1" x14ac:dyDescent="0.45">
      <c r="B33" s="5" t="str">
        <f>"  "&amp;[1]Sheet1!$D$2</f>
        <v xml:space="preserve">  202512WBAH</v>
      </c>
      <c r="C33" s="22" t="s">
        <v>10</v>
      </c>
      <c r="D33" s="22"/>
    </row>
    <row r="36" spans="2:4" ht="29.25" customHeight="1" x14ac:dyDescent="0.3">
      <c r="C36" s="22" t="s">
        <v>0</v>
      </c>
      <c r="D36" s="22"/>
    </row>
    <row r="37" spans="2:4" ht="29.25" customHeight="1" x14ac:dyDescent="0.3">
      <c r="C37" s="22" t="s">
        <v>7</v>
      </c>
      <c r="D37" s="22"/>
    </row>
    <row r="38" spans="2:4" ht="29.25" customHeight="1" x14ac:dyDescent="0.3">
      <c r="C38" s="22" t="s">
        <v>8</v>
      </c>
      <c r="D38" s="22"/>
    </row>
    <row r="39" spans="2:4" ht="29.25" customHeight="1" x14ac:dyDescent="0.3">
      <c r="C39" s="22" t="s">
        <v>9</v>
      </c>
      <c r="D39" s="22"/>
    </row>
    <row r="40" spans="2:4" ht="29.25" customHeight="1" x14ac:dyDescent="0.3">
      <c r="B40" s="3">
        <f>[1]Sheet1!$E$2</f>
        <v>46057</v>
      </c>
      <c r="C40" s="22" t="s">
        <v>2</v>
      </c>
      <c r="D40" s="22"/>
    </row>
    <row r="41" spans="2:4" ht="21" customHeight="1" x14ac:dyDescent="0.3"/>
    <row r="42" spans="2:4" ht="9" customHeight="1" x14ac:dyDescent="0.3"/>
    <row r="43" spans="2:4" ht="9" customHeight="1" x14ac:dyDescent="0.3"/>
  </sheetData>
  <sheetProtection selectLockedCells="1" selectUnlockedCells="1"/>
  <mergeCells count="8">
    <mergeCell ref="C39:D39"/>
    <mergeCell ref="C40:D40"/>
    <mergeCell ref="C29:D29"/>
    <mergeCell ref="C31:D31"/>
    <mergeCell ref="C33:D33"/>
    <mergeCell ref="C36:D36"/>
    <mergeCell ref="C37:D37"/>
    <mergeCell ref="C38:D38"/>
  </mergeCells>
  <conditionalFormatting sqref="B10:B19">
    <cfRule type="cellIs" dxfId="1" priority="1" operator="equal">
      <formula>", "</formula>
    </cfRule>
  </conditionalFormatting>
  <conditionalFormatting sqref="C10:C19">
    <cfRule type="cellIs" dxfId="0" priority="2" operator="equal">
      <formula>0</formula>
    </cfRule>
  </conditionalFormatting>
  <pageMargins left="0.19685039370078741" right="7.874015748031496E-2" top="0.39370078740157483" bottom="0.39370078740157483" header="0" footer="0"/>
  <pageSetup paperSize="9" scale="53" orientation="portrait" r:id="rId1"/>
  <headerFooter>
    <oddHeader>&amp;L&amp;"CorpoS"&amp;10&amp;K000000Internal&amp;1#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98BB8107C5E64E980BF2F3A611F9C4" ma:contentTypeVersion="9" ma:contentTypeDescription="Ein neues Dokument erstellen." ma:contentTypeScope="" ma:versionID="2804a3da42ac3220a3394f6e0a7090f9">
  <xsd:schema xmlns:xsd="http://www.w3.org/2001/XMLSchema" xmlns:xs="http://www.w3.org/2001/XMLSchema" xmlns:p="http://schemas.microsoft.com/office/2006/metadata/properties" xmlns:ns2="c6446ba5-107c-4fcd-aded-4309ad54d738" targetNamespace="http://schemas.microsoft.com/office/2006/metadata/properties" ma:root="true" ma:fieldsID="26ccb30fe262f64c73d5e4e4caae1ce0" ns2:_="">
    <xsd:import namespace="c6446ba5-107c-4fcd-aded-4309ad54d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46ba5-107c-4fcd-aded-4309ad54d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7050f6e-97f2-48e7-ad72-ec3f75f900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46ba5-107c-4fcd-aded-4309ad54d7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9BEF39-747A-4684-863B-430391E4E378}"/>
</file>

<file path=customXml/itemProps2.xml><?xml version="1.0" encoding="utf-8"?>
<ds:datastoreItem xmlns:ds="http://schemas.openxmlformats.org/officeDocument/2006/customXml" ds:itemID="{13FE53F5-46E1-404D-BD05-3EDE34F83DEE}"/>
</file>

<file path=customXml/itemProps3.xml><?xml version="1.0" encoding="utf-8"?>
<ds:datastoreItem xmlns:ds="http://schemas.openxmlformats.org/officeDocument/2006/customXml" ds:itemID="{A075EE16-5A1D-4C10-94FD-74BB1E7E559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Blatt1</vt:lpstr>
      <vt:lpstr>Blatt2</vt:lpstr>
      <vt:lpstr>Blatt1!Druckbereich</vt:lpstr>
      <vt:lpstr>Blatt2!Druckbereich</vt:lpstr>
    </vt:vector>
  </TitlesOfParts>
  <Company>Daimler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Frei, Markus (054)</dc:creator>
  <cp:lastModifiedBy>Putschler, Walter (054)</cp:lastModifiedBy>
  <cp:lastPrinted>2026-02-04T08:58:08Z</cp:lastPrinted>
  <dcterms:created xsi:type="dcterms:W3CDTF">2019-01-28T08:32:22Z</dcterms:created>
  <dcterms:modified xsi:type="dcterms:W3CDTF">2026-02-04T09:02:32Z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2023-04-12T10:53:10Z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6b5214a3-d6d4-4817-86a6-9be587c0a9c4</vt:lpwstr>
  </property>
  <property fmtid="{D5CDD505-2E9C-101B-9397-08002B2CF9AE}" pid="8" name="MSIP_Label_924dbb1d-991d-4bbd-aad5-33bac1d8ffaf_ContentBits">
    <vt:lpwstr>1</vt:lpwstr>
  </property>
  <property fmtid="{D5CDD505-2E9C-101B-9397-08002B2CF9AE}" pid="9" name="ContentTypeId">
    <vt:lpwstr>0x010100FF98BB8107C5E64E980BF2F3A611F9C4</vt:lpwstr>
  </property>
</Properties>
</file>