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aaLaris" defaultThemeVersion="124226"/>
  <mc:AlternateContent xmlns:mc="http://schemas.openxmlformats.org/markup-compatibility/2006">
    <mc:Choice Requires="x15">
      <x15ac:absPath xmlns:x15ac="http://schemas.microsoft.com/office/spreadsheetml/2010/11/ac" url="C:\Users\EMSIEBE\Desktop\"/>
    </mc:Choice>
  </mc:AlternateContent>
  <xr:revisionPtr revIDLastSave="0" documentId="8_{100C2230-3942-4B45-9720-5901F3F176B4}" xr6:coauthVersionLast="47" xr6:coauthVersionMax="47" xr10:uidLastSave="{00000000-0000-0000-0000-000000000000}"/>
  <bookViews>
    <workbookView xWindow="4290" yWindow="4290" windowWidth="28800" windowHeight="15345" tabRatio="857" firstSheet="1" activeTab="1" xr2:uid="{00000000-000D-0000-FFFF-FFFF00000000}"/>
  </bookViews>
  <sheets>
    <sheet name="Info" sheetId="10" r:id="rId1"/>
    <sheet name="Sekretariat" sheetId="2" r:id="rId2"/>
    <sheet name="EDV" sheetId="4" r:id="rId3"/>
    <sheet name="Med.&amp;Verbr.-stoff" sheetId="3" r:id="rId4"/>
    <sheet name="WD-Fzg &amp; Schutzkleidg" sheetId="7" r:id="rId5"/>
    <sheet name="RTW &amp; MPG" sheetId="1" r:id="rId6"/>
    <sheet name="Organisation Ambulanz" sheetId="9" r:id="rId7"/>
    <sheet name="Ablauf&amp;Prozessprobleme" sheetId="11" r:id="rId8"/>
    <sheet name="BGF" sheetId="8" state="hidden" r:id="rId9"/>
    <sheet name="Getriebewerk" sheetId="12" state="hidden" r:id="rId10"/>
    <sheet name="Hygiene" sheetId="13" r:id="rId11"/>
    <sheet name="Hilfslisten" sheetId="5" r:id="rId12"/>
    <sheet name="Fehlerkategorien" sheetId="14" r:id="rId13"/>
  </sheets>
  <definedNames>
    <definedName name="AblProz">Hilfslisten!$Q$4:$Q$6</definedName>
    <definedName name="BGF">Hilfslisten!$O$4:$O$5</definedName>
    <definedName name="_xlnm.Print_Area" localSheetId="0">Info!$A$1:$H$50</definedName>
    <definedName name="EDV">Hilfslisten!$G$4:$G$6</definedName>
    <definedName name="Fehlerkategorie">Hilfslisten!$L$14:$L$17</definedName>
    <definedName name="Getriebewerk">Hilfslisten!$S$4:$S$6</definedName>
    <definedName name="Hygiene">Hilfslisten!$U$4:$U$6</definedName>
    <definedName name="MedVerbrstoff">Hilfslisten!$I$4:$I$6</definedName>
    <definedName name="Namen">OFFSET(Hilfslisten!$A$4,0,0,COUNTA(Hilfslisten!$A$4:$A$98),1)</definedName>
    <definedName name="OrganisationAmbulanz">Hilfslisten!$M$4:$M$6</definedName>
    <definedName name="Reko">OFFSET(Hilfslisten!$D$15,0,0,COUNTA(Hilfslisten!$D$15:$D$112),1)</definedName>
    <definedName name="RTWMPG">Hilfslisten!$E$4:$E$6</definedName>
    <definedName name="Sekretariat">Hilfslisten!$C$4:$C$6</definedName>
    <definedName name="WDFzgSchutzkleidung">Hilfslisten!$K$4:$K$6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5" l="1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F43" i="10" l="1"/>
  <c r="F45" i="10" l="1"/>
  <c r="D45" i="10"/>
  <c r="B45" i="10"/>
  <c r="D17" i="5" l="1"/>
  <c r="V11" i="5" l="1"/>
  <c r="V10" i="5"/>
  <c r="V9" i="5"/>
  <c r="V8" i="5"/>
  <c r="T11" i="5"/>
  <c r="T10" i="5"/>
  <c r="T9" i="5"/>
  <c r="T8" i="5"/>
  <c r="R11" i="5"/>
  <c r="R10" i="5"/>
  <c r="R9" i="5"/>
  <c r="R8" i="5"/>
  <c r="P11" i="5"/>
  <c r="P10" i="5"/>
  <c r="P9" i="5"/>
  <c r="P8" i="5"/>
  <c r="N11" i="5"/>
  <c r="N10" i="5"/>
  <c r="N9" i="5"/>
  <c r="N8" i="5"/>
  <c r="L11" i="5"/>
  <c r="L10" i="5"/>
  <c r="L9" i="5"/>
  <c r="L8" i="5"/>
  <c r="J11" i="5"/>
  <c r="J10" i="5"/>
  <c r="J9" i="5"/>
  <c r="J8" i="5"/>
  <c r="H11" i="5"/>
  <c r="H10" i="5"/>
  <c r="H9" i="5"/>
  <c r="H8" i="5"/>
  <c r="F11" i="5"/>
  <c r="F10" i="5"/>
  <c r="F9" i="5"/>
  <c r="F8" i="5"/>
  <c r="D11" i="5"/>
  <c r="D10" i="5"/>
  <c r="D9" i="5"/>
  <c r="D8" i="5"/>
  <c r="U9" i="5" l="1"/>
  <c r="U10" i="5"/>
  <c r="U11" i="5"/>
  <c r="U8" i="5"/>
  <c r="S9" i="5"/>
  <c r="S10" i="5"/>
  <c r="S11" i="5"/>
  <c r="S8" i="5"/>
  <c r="Q8" i="5"/>
  <c r="Q9" i="5"/>
  <c r="Q10" i="5"/>
  <c r="Q11" i="5"/>
  <c r="O9" i="5"/>
  <c r="O10" i="5"/>
  <c r="O11" i="5"/>
  <c r="O8" i="5"/>
  <c r="M9" i="5"/>
  <c r="M10" i="5"/>
  <c r="M11" i="5"/>
  <c r="M8" i="5"/>
  <c r="K9" i="5"/>
  <c r="K10" i="5"/>
  <c r="K11" i="5"/>
  <c r="K8" i="5"/>
  <c r="I9" i="5"/>
  <c r="I10" i="5"/>
  <c r="I11" i="5"/>
  <c r="I8" i="5"/>
  <c r="G9" i="5"/>
  <c r="G10" i="5"/>
  <c r="G11" i="5"/>
  <c r="G8" i="5"/>
  <c r="E9" i="5"/>
  <c r="E10" i="5"/>
  <c r="E11" i="5"/>
  <c r="E8" i="5"/>
  <c r="C9" i="5"/>
  <c r="C10" i="5"/>
  <c r="C11" i="5"/>
  <c r="C8" i="5"/>
  <c r="K14" i="5" l="1"/>
  <c r="K16" i="5"/>
  <c r="K17" i="5"/>
  <c r="K15" i="5"/>
  <c r="D3" i="13"/>
  <c r="C3" i="13"/>
  <c r="A1" i="13"/>
  <c r="F44" i="10" l="1"/>
  <c r="D44" i="10"/>
  <c r="B44" i="10"/>
  <c r="F40" i="10"/>
  <c r="D99" i="5" l="1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3" i="12"/>
  <c r="C3" i="12"/>
  <c r="A1" i="12"/>
  <c r="D3" i="11" l="1"/>
  <c r="C3" i="11"/>
  <c r="A1" i="11"/>
  <c r="A1" i="2" l="1"/>
  <c r="C3" i="5" s="1"/>
  <c r="B37" i="10" s="1"/>
  <c r="A1" i="8"/>
  <c r="O3" i="5" s="1"/>
  <c r="A1" i="9"/>
  <c r="M3" i="5" s="1"/>
  <c r="B42" i="10" s="1"/>
  <c r="A1" i="7"/>
  <c r="K3" i="5" s="1"/>
  <c r="B41" i="10" s="1"/>
  <c r="A1" i="3"/>
  <c r="I3" i="5" s="1"/>
  <c r="B40" i="10" s="1"/>
  <c r="A1" i="4"/>
  <c r="G3" i="5" s="1"/>
  <c r="B39" i="10" s="1"/>
  <c r="A1" i="1"/>
  <c r="E3" i="5" s="1"/>
  <c r="B38" i="10" s="1"/>
  <c r="F42" i="10"/>
  <c r="F39" i="10"/>
  <c r="D39" i="10"/>
  <c r="D42" i="10"/>
  <c r="F41" i="10"/>
  <c r="D41" i="10"/>
  <c r="D40" i="10"/>
  <c r="F38" i="10"/>
  <c r="F37" i="10"/>
  <c r="D43" i="10"/>
  <c r="D37" i="10"/>
  <c r="D38" i="10"/>
  <c r="C3" i="9"/>
  <c r="D3" i="9"/>
  <c r="D3" i="8"/>
  <c r="C3" i="8"/>
  <c r="D3" i="7"/>
  <c r="C3" i="7"/>
  <c r="D3" i="3"/>
  <c r="C3" i="3"/>
  <c r="D3" i="1"/>
  <c r="C3" i="1"/>
  <c r="D3" i="2"/>
  <c r="C3" i="2"/>
  <c r="D3" i="4"/>
  <c r="C3" i="4"/>
  <c r="B43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Velten, Manfred (054)</author>
  </authors>
  <commentList>
    <comment ref="K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 unsichere Handlung
B Beinahefehler ohne Folgen
C Fehler mit leichten bis mittelschweren Folgen
D Fehler mit gravierenden Folgen</t>
        </r>
      </text>
    </comment>
  </commentList>
</comments>
</file>

<file path=xl/sharedStrings.xml><?xml version="1.0" encoding="utf-8"?>
<sst xmlns="http://schemas.openxmlformats.org/spreadsheetml/2006/main" count="405" uniqueCount="148">
  <si>
    <t>Info zum Umgang mit LARIS</t>
  </si>
  <si>
    <t>Die Liste dient zur Meldung von :</t>
  </si>
  <si>
    <t>●</t>
  </si>
  <si>
    <t>Vorkommnissen</t>
  </si>
  <si>
    <t>fehlendem oder fehlerhaftem Material</t>
  </si>
  <si>
    <t>Administrationsbedarf im Bereich</t>
  </si>
  <si>
    <t>an den jeweiligen Bereichsleiter !</t>
  </si>
  <si>
    <t>Informationen die alle betreffen müssen über E-Mail kommuniziert werden !</t>
  </si>
  <si>
    <t>Erstellen einer Meldung</t>
  </si>
  <si>
    <t>Unten den entsprechenden Reiter für den Bereich auswählen</t>
  </si>
  <si>
    <r>
      <t>Im Feld "</t>
    </r>
    <r>
      <rPr>
        <b/>
        <sz val="10"/>
        <rFont val="Arial"/>
        <family val="2"/>
      </rPr>
      <t>Meldung durch</t>
    </r>
    <r>
      <rPr>
        <sz val="10"/>
        <rFont val="Arial"/>
        <family val="2"/>
      </rPr>
      <t>" den eigenen Namen auswählen (Datum wird automatisch befüllt)</t>
    </r>
  </si>
  <si>
    <r>
      <t>Info bei "</t>
    </r>
    <r>
      <rPr>
        <b/>
        <sz val="10"/>
        <rFont val="Arial"/>
        <family val="2"/>
      </rPr>
      <t>Thema</t>
    </r>
    <r>
      <rPr>
        <sz val="10"/>
        <rFont val="Arial"/>
        <family val="2"/>
      </rPr>
      <t>" eintragen</t>
    </r>
  </si>
  <si>
    <r>
      <t>Auf Button "</t>
    </r>
    <r>
      <rPr>
        <b/>
        <sz val="10"/>
        <rFont val="Arial"/>
        <family val="2"/>
      </rPr>
      <t>Mail an Bereichsleiter...</t>
    </r>
    <r>
      <rPr>
        <sz val="10"/>
        <rFont val="Arial"/>
        <family val="2"/>
      </rPr>
      <t>" drücken (Mail wird automatisch erstellt und versendet)</t>
    </r>
  </si>
  <si>
    <t>Speichern und Schließen</t>
  </si>
  <si>
    <t>Abarbeiten einer Meldung durch den Bereichsleiter</t>
  </si>
  <si>
    <r>
      <t>Bei Kenntnisnahme im Feld "</t>
    </r>
    <r>
      <rPr>
        <b/>
        <sz val="10"/>
        <rFont val="Arial"/>
        <family val="2"/>
      </rPr>
      <t>Kenntnisnahme durch</t>
    </r>
    <r>
      <rPr>
        <sz val="10"/>
        <rFont val="Arial"/>
        <family val="2"/>
      </rPr>
      <t>" eigenen Namen auswählen (Datum wird automatisch befüllt)</t>
    </r>
  </si>
  <si>
    <t>Massnahmen im entsprechenden Feld Dokumentieren</t>
  </si>
  <si>
    <r>
      <t>Nach Erledigung im Feld "</t>
    </r>
    <r>
      <rPr>
        <b/>
        <sz val="10"/>
        <rFont val="Arial"/>
        <family val="2"/>
      </rPr>
      <t>Erledigt durch</t>
    </r>
    <r>
      <rPr>
        <sz val="10"/>
        <rFont val="Arial"/>
        <family val="2"/>
      </rPr>
      <t>" eigenen Namen auswählen (Datum wird automatisch befüllt)</t>
    </r>
  </si>
  <si>
    <t>evtl. weitere Infos im entsprechenden Feld eintragen.</t>
  </si>
  <si>
    <t>Nach dem speichern werden beschriebene Zellen gesperrt, es sind dann keine Änderungen mehr möglich !</t>
  </si>
  <si>
    <t>Bereich</t>
  </si>
  <si>
    <t>Leiter</t>
  </si>
  <si>
    <t>Stellvertreter</t>
  </si>
  <si>
    <t>Meldungen</t>
  </si>
  <si>
    <t>Erledigt</t>
  </si>
  <si>
    <t>A unsichere Handlung
B Beinahefehler ohne Folgen
C Fehler mit leichten bis mittelschweren Folgen
D Fehler mit gravierenden Folgen</t>
  </si>
  <si>
    <t>Meldung am</t>
  </si>
  <si>
    <t>Meldung durch</t>
  </si>
  <si>
    <t>Thema</t>
  </si>
  <si>
    <t>Kenntnisnahme am</t>
  </si>
  <si>
    <t>Kenntnisnahme durch</t>
  </si>
  <si>
    <t>Massnahme</t>
  </si>
  <si>
    <t>Erledigt am</t>
  </si>
  <si>
    <t>Erledigt durch</t>
  </si>
  <si>
    <t>Kategorie</t>
  </si>
  <si>
    <t>Info</t>
  </si>
  <si>
    <t>In REKO oder Persönlich besprochen ?</t>
  </si>
  <si>
    <t>Dr.Frei</t>
  </si>
  <si>
    <t>Laris geht nicht richtig und Meldeliste muss aktualisiert werden und Mailbutton geht nicht und es zeigt di eMeldung der Active-X Inhalt ist blockiert</t>
  </si>
  <si>
    <t>Zuber</t>
  </si>
  <si>
    <t>Laris war nie kaputt, die Excel Anwendung muss für die Benutzung eingestellt werden im Bereich Active-X Inhalte</t>
  </si>
  <si>
    <t>C</t>
  </si>
  <si>
    <t>Nicht erforderlich</t>
  </si>
  <si>
    <t>Das Blatt Organisation Ambulanz in Laris hat einen Schreibschutz, so dass nichts eingetragen werden kann - bitte diesen entfernen</t>
  </si>
  <si>
    <t>Siebert</t>
  </si>
  <si>
    <t>Rechtsklick auf die Kachel -&gt; Schutz Pausieren</t>
  </si>
  <si>
    <t>A</t>
  </si>
  <si>
    <t>REKO</t>
  </si>
  <si>
    <t>Dr.Schmidt</t>
  </si>
  <si>
    <t>Reko Protokoll funktioniert, kein stabiler Prozess</t>
  </si>
  <si>
    <t xml:space="preserve">Speicher Geupdated, der Indexer muss noch ein Fehler behoben werden, in arbeit. </t>
  </si>
  <si>
    <t>Antibiotika sind teilweise abgelaufen, nicht geordent gelagert</t>
  </si>
  <si>
    <t xml:space="preserve">Es wurde ein Verfalls Tabelle angelegt an der Innenseite des Schranks die Monatlich kontrolliert wird </t>
  </si>
  <si>
    <t>Besprochen mit  Dr.Schmidt</t>
  </si>
  <si>
    <t>Dr. Vitez</t>
  </si>
  <si>
    <t>Hepatitis A-Impfstoff (Havrix) in November abgelaufen</t>
  </si>
  <si>
    <t>Einträge (siehe 15.12.25) in diesem Bereich werden nicht rückgemeldet bzw. abgearbeitet</t>
  </si>
  <si>
    <t>Barduschwäsche nur Herren raus gestellt, Damen volle Kiste stehen lassen</t>
  </si>
  <si>
    <t>Putschler</t>
  </si>
  <si>
    <t>Breig</t>
  </si>
  <si>
    <t>OP-Leuchte in Ambulanz 1 defekt</t>
  </si>
  <si>
    <t>Goepfrich</t>
  </si>
  <si>
    <t>Reperatur durch Reposition der Halterung (Dr. Frei)</t>
  </si>
  <si>
    <t>Besprochen mit  Dr.Frei</t>
  </si>
  <si>
    <t>Wunsch</t>
  </si>
  <si>
    <t>RR Manschette C3 aus dem RTW defekt, Leitung abgelöst durch MA der WF</t>
  </si>
  <si>
    <t xml:space="preserve">Neuteil am 24.09. erhalten u. eingeräumt. Zwischenzeitlich Nutzung d. RR-Manschette C3 KU. </t>
  </si>
  <si>
    <t>Fehlendes Sperrlager für defekte Medizinprodukte, Defekte RR Manschette vom 10.09. kann nicht entsprechend hinterlegt werden. Bitte Sperrlager definieren und kommunizieren.</t>
  </si>
  <si>
    <t>Einrichtung eines Sperrlagers für defekte Medizinprodukte u. -geräte in Physikalische Therapie im 029/10 Schrank 2.</t>
  </si>
  <si>
    <t>Besprochen mit  Zuber</t>
  </si>
  <si>
    <t>Krempl</t>
  </si>
  <si>
    <t>Cryo-Thermal Gerät im WD Kuppenheim lässt sich nicht hochfahren, Bildschirm bleibt schwarz</t>
  </si>
  <si>
    <t>Reparatur durch Hersteller</t>
  </si>
  <si>
    <t>Göpfrich</t>
  </si>
  <si>
    <t>Untersuchungsleuchte Ambulanz 1 defekt, Befestigung Lampenkopf gebrochen</t>
  </si>
  <si>
    <t>EDTA Röhrchen vom 18.8. ( K`heim) wurden in Rastatt nach dem Zentrifugieren in den Kühlschrank gelegt</t>
  </si>
  <si>
    <t>Rücksprache mit Labor; neue Verfahrensanweisung verschickt und visualisiert</t>
  </si>
  <si>
    <t>Laris Eintrag für Bereich bei EDV nicht möglich, obwohl Einträge in Bereichen zB  Sekretariat/Mail und an Bereichsleiter möglich sind</t>
  </si>
  <si>
    <t>Info an Harry Zuber--&gt; Bitte Fehler prüfen und beheben</t>
  </si>
  <si>
    <t>Bereich Med. &amp; Verbr.: Antibiotika sind teilweise abgelaufen, nicht geordent gelagert; hier Laris Eintrag nicht möglich, obwohl Einträge in Bereichen zB  Sekretariat/Mail und an Bereichsleiter möglich sind</t>
  </si>
  <si>
    <t>Bereichverantwortlicher hat Fehler abgestellt</t>
  </si>
  <si>
    <t>Dokument für Einverständniserklärung Blutabnahme wurden in falsche Akte gescannt</t>
  </si>
  <si>
    <t>Fehler durch Sekretariat erkannt und behoben</t>
  </si>
  <si>
    <t>Radimersky</t>
  </si>
  <si>
    <t>D</t>
  </si>
  <si>
    <t>Glucoseröhrchen wurden über Nachtnicht gekühlt, dafür aber nicht die EDTA-Röhrchen die am Vortag aus Kuppenheim gebracht wurden.</t>
  </si>
  <si>
    <t>Laborergebnis wird abgewartet; bei Abweichung werden die betreffenden Patienten erneut einbestellt</t>
  </si>
  <si>
    <t>Mit Mitarbeiter persönlich besprochen</t>
  </si>
  <si>
    <t>Serumröhrchen von drei Patienten aus Kuppenehim wurden am Vortag nicht aus der Zentrifuge genommen und waren 16 Stunden ungekühlt</t>
  </si>
  <si>
    <t>Serumröhrchen in den Kühlschrank getan; Rücksprache mit Arzt ob noch zu verwenden</t>
  </si>
  <si>
    <t>Testmeldung aus Qualitätsgründen</t>
  </si>
  <si>
    <t>Hygene Physikalische + Ruheraum, in lertzter Zeit öfters schmutzige Liegen &amp; Schwämme noch am Gerät</t>
  </si>
  <si>
    <t>Leere Zellen entsperren kann mehrere Minuten dauern !!!</t>
  </si>
  <si>
    <t>Namen</t>
  </si>
  <si>
    <t>E-Mail</t>
  </si>
  <si>
    <t>Ablauf&amp;Prozessprobleme</t>
  </si>
  <si>
    <t>Getriebewerk</t>
  </si>
  <si>
    <t>Hygiene</t>
  </si>
  <si>
    <t>markus.frei@mercedes-benz.com</t>
  </si>
  <si>
    <t>Emily Schmidt</t>
  </si>
  <si>
    <t>emily_kim.schmidt@mercedes-benz.com</t>
  </si>
  <si>
    <t>Markus.Goepfrich@mercedes-benz.com</t>
  </si>
  <si>
    <t>emanuel.siebert@mercedes-benz.com</t>
  </si>
  <si>
    <t>Zeller</t>
  </si>
  <si>
    <t>tobias_felix.zeller@mercedes-benz.com</t>
  </si>
  <si>
    <t>Fabian.Wunsch@mercedes-benz.com</t>
  </si>
  <si>
    <t>Zieger-Buchta</t>
  </si>
  <si>
    <t>katrin.zieger-buchta@mercedes-benz.com</t>
  </si>
  <si>
    <t>walter.putschler@mercedes-benz.com</t>
  </si>
  <si>
    <t>sabine.m.schmidt@mercedes-benz.com</t>
  </si>
  <si>
    <t>Larissa Radimerksy</t>
  </si>
  <si>
    <t>larissa.radimersky@mercedes-benz.com</t>
  </si>
  <si>
    <t>bernd.breig@mercedes-benz.com</t>
  </si>
  <si>
    <t>Müller-horn</t>
  </si>
  <si>
    <t>susanne.mueller-horn@mercedes-benz.com</t>
  </si>
  <si>
    <t>lilla.vitez@mercedes-benz.com</t>
  </si>
  <si>
    <t>elke.krempl@mercedes-benz.com</t>
  </si>
  <si>
    <t>Jochim</t>
  </si>
  <si>
    <t>benjamin.jochim@mercedes-benz.com</t>
  </si>
  <si>
    <t>harry.zuber@mercedes-benz.com</t>
  </si>
  <si>
    <t>Für Spalte "In REKO..." besprochen</t>
  </si>
  <si>
    <t>Immer Blindsenden an:</t>
  </si>
  <si>
    <t>Auswertung</t>
  </si>
  <si>
    <t>Fehlerkategorie</t>
  </si>
  <si>
    <t>Vor"wort"</t>
  </si>
  <si>
    <t>Reko</t>
  </si>
  <si>
    <t>Schmidt</t>
  </si>
  <si>
    <t xml:space="preserve">Besprochen mit </t>
  </si>
  <si>
    <t>B</t>
  </si>
  <si>
    <t>Müller-Horn</t>
  </si>
  <si>
    <t>Susanne.Mueller-Horn@mercedes-benz.com</t>
  </si>
  <si>
    <t>Titel</t>
  </si>
  <si>
    <t>Beschreibung</t>
  </si>
  <si>
    <t>Beispiele</t>
  </si>
  <si>
    <t>Fehler mit gravierenden Folgen, dass daraus schwere Gesundheitsschäden, wesentliche finanzielle Nachteile oder ein erheblicher Imageverlust resultieren.</t>
  </si>
  <si>
    <t>externe Kundenbeschwerde, 
Behandlungsfehler mit Folgen für den Patienten, 
Verstoß gegen gesetzliche Vorgaben</t>
  </si>
  <si>
    <t>gesetzl. vorgeschriebene Unterweisungen oder Überprüfungen liegen nicht vor, 
Behandlungsfehler mit Konsequenzen,
Defekte von Notfallgeräten</t>
  </si>
  <si>
    <t>Fehler mit leichten bis mittelschweren Folgen</t>
  </si>
  <si>
    <t xml:space="preserve">Fehler mit Gesundheitsschäden,
Einsatzfähigkeit HSM gefährdet, 
Fehler führte zu externer Kundenbeschwerde,
Vorgegebener Standard wird nicht durchgeführt </t>
  </si>
  <si>
    <t>Behandlungsfehler ohne Konsequenzen,
Termin- oder Materialkonflikt nicht rechtzeitig erkannt,
Ausgang von Medikamenten
NADOK Protokolle nicht vollständig ausgefüllt</t>
  </si>
  <si>
    <t>Beinahefehler ohne Folgen</t>
  </si>
  <si>
    <t>ein Fehler wurde noch vor seinem wirksamen Eintreten erkannt, bzw. durch Gegenmaßnahmen können Folgen noch abgefangen werden</t>
  </si>
  <si>
    <t>Termin- oder Materialkonflikt gerade noch rechtzeitig erkannt und behoben</t>
  </si>
  <si>
    <t>unsichere Handlung</t>
  </si>
  <si>
    <t>es wird unsauber gearbeitet, aber es entsteht kein Schaden</t>
  </si>
  <si>
    <t>Vorgaben werden nicht eingehalten, z.B. Eintrag der RTW Checks in FB 260</t>
  </si>
  <si>
    <t>test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</si>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</sst>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8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u/>
      <sz val="10"/>
      <name val="Arial"/>
      <family val="2"/>
    </font>
    <font>
      <b/>
      <sz val="10"/>
      <color indexed="10"/>
      <name val="Arial"/>
      <family val="2"/>
    </font>
    <font>
      <b/>
      <u/>
      <sz val="16"/>
      <name val="Arial"/>
      <family val="2"/>
    </font>
    <font>
      <i/>
      <sz val="10"/>
      <name val="Arial"/>
      <family val="2"/>
    </font>
    <font>
      <b/>
      <sz val="10"/>
      <color indexed="9"/>
      <name val="Arial"/>
      <family val="2"/>
    </font>
    <font>
      <u/>
      <sz val="10"/>
      <color indexed="9"/>
      <name val="Arial"/>
      <family val="2"/>
    </font>
    <font>
      <b/>
      <sz val="9"/>
      <color indexed="81"/>
      <name val="Tahoma"/>
      <family val="2"/>
    </font>
    <font>
      <b/>
      <sz val="12"/>
      <name val="CorpoS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indexed="11"/>
        <bgColor indexed="64"/>
      </patternFill>
    </fill>
  </fills>
  <borders count="31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70">
    <xf numFmtId="0" fontId="0" fillId="0" borderId="0" xfId="0"/>
    <xf numFmtId="0" fontId="0" fillId="2" borderId="0" xfId="0" applyFill="1"/>
    <xf numFmtId="0" fontId="6" fillId="0" borderId="0" xfId="0" applyFont="1"/>
    <xf numFmtId="0" fontId="0" fillId="0" borderId="0" xfId="0" applyAlignment="1">
      <alignment horizontal="right" vertical="center"/>
    </xf>
    <xf numFmtId="0" fontId="2" fillId="0" borderId="0" xfId="0" applyFont="1"/>
    <xf numFmtId="0" fontId="0" fillId="0" borderId="7" xfId="0" applyBorder="1"/>
    <xf numFmtId="0" fontId="0" fillId="0" borderId="9" xfId="0" applyBorder="1"/>
    <xf numFmtId="14" fontId="0" fillId="0" borderId="0" xfId="0" applyNumberFormat="1" applyAlignment="1" applyProtection="1">
      <alignment horizontal="left" vertical="center"/>
      <protection locked="0"/>
    </xf>
    <xf numFmtId="22" fontId="0" fillId="0" borderId="0" xfId="0" applyNumberForma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vertical="top" wrapText="1"/>
      <protection locked="0"/>
    </xf>
    <xf numFmtId="49" fontId="0" fillId="0" borderId="0" xfId="0" applyNumberFormat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>
      <alignment horizontal="left" vertical="center"/>
    </xf>
    <xf numFmtId="0" fontId="0" fillId="0" borderId="6" xfId="0" applyBorder="1"/>
    <xf numFmtId="0" fontId="1" fillId="0" borderId="6" xfId="0" applyFont="1" applyBorder="1"/>
    <xf numFmtId="0" fontId="0" fillId="2" borderId="0" xfId="0" applyFill="1" applyAlignment="1">
      <alignment horizontal="center"/>
    </xf>
    <xf numFmtId="14" fontId="0" fillId="2" borderId="0" xfId="0" applyNumberFormat="1" applyFill="1"/>
    <xf numFmtId="0" fontId="0" fillId="2" borderId="0" xfId="0" applyFill="1" applyAlignment="1">
      <alignment vertical="top" wrapText="1"/>
    </xf>
    <xf numFmtId="49" fontId="0" fillId="2" borderId="0" xfId="0" applyNumberFormat="1" applyFill="1" applyAlignment="1">
      <alignment vertical="top" wrapText="1"/>
    </xf>
    <xf numFmtId="0" fontId="0" fillId="2" borderId="0" xfId="0" applyFill="1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center"/>
    </xf>
    <xf numFmtId="14" fontId="0" fillId="2" borderId="0" xfId="0" applyNumberFormat="1" applyFill="1" applyAlignment="1">
      <alignment horizontal="center"/>
    </xf>
    <xf numFmtId="14" fontId="0" fillId="0" borderId="7" xfId="0" applyNumberFormat="1" applyBorder="1" applyAlignment="1">
      <alignment horizontal="center"/>
    </xf>
    <xf numFmtId="49" fontId="0" fillId="0" borderId="0" xfId="0" applyNumberFormat="1" applyAlignment="1">
      <alignment vertical="top" wrapText="1"/>
    </xf>
    <xf numFmtId="14" fontId="0" fillId="0" borderId="0" xfId="0" applyNumberFormat="1" applyAlignment="1">
      <alignment horizontal="center"/>
    </xf>
    <xf numFmtId="0" fontId="0" fillId="0" borderId="11" xfId="0" applyBorder="1"/>
    <xf numFmtId="14" fontId="0" fillId="0" borderId="12" xfId="0" applyNumberFormat="1" applyBorder="1" applyAlignment="1">
      <alignment horizontal="center"/>
    </xf>
    <xf numFmtId="0" fontId="2" fillId="2" borderId="0" xfId="0" applyFont="1" applyFill="1"/>
    <xf numFmtId="0" fontId="2" fillId="0" borderId="11" xfId="0" applyFont="1" applyBorder="1"/>
    <xf numFmtId="0" fontId="0" fillId="0" borderId="0" xfId="0" applyProtection="1">
      <protection locked="0"/>
    </xf>
    <xf numFmtId="0" fontId="0" fillId="0" borderId="15" xfId="0" applyBorder="1"/>
    <xf numFmtId="0" fontId="2" fillId="0" borderId="0" xfId="0" applyFont="1" applyAlignment="1">
      <alignment horizontal="left" vertical="top" wrapText="1"/>
    </xf>
    <xf numFmtId="0" fontId="4" fillId="0" borderId="0" xfId="1" applyAlignment="1" applyProtection="1"/>
    <xf numFmtId="0" fontId="1" fillId="0" borderId="0" xfId="1" applyFont="1" applyFill="1" applyBorder="1" applyAlignment="1" applyProtection="1"/>
    <xf numFmtId="0" fontId="7" fillId="2" borderId="0" xfId="1" applyFont="1" applyFill="1" applyBorder="1" applyAlignment="1" applyProtection="1"/>
    <xf numFmtId="0" fontId="13" fillId="2" borderId="0" xfId="1" applyFont="1" applyFill="1" applyBorder="1" applyAlignment="1" applyProtection="1"/>
    <xf numFmtId="0" fontId="7" fillId="2" borderId="0" xfId="0" applyFont="1" applyFill="1"/>
    <xf numFmtId="0" fontId="1" fillId="0" borderId="0" xfId="1" applyFont="1" applyAlignment="1" applyProtection="1"/>
    <xf numFmtId="0" fontId="1" fillId="0" borderId="0" xfId="0" applyFont="1"/>
    <xf numFmtId="0" fontId="2" fillId="0" borderId="0" xfId="1" applyFont="1" applyFill="1" applyBorder="1" applyAlignment="1" applyProtection="1"/>
    <xf numFmtId="0" fontId="0" fillId="0" borderId="16" xfId="0" applyBorder="1"/>
    <xf numFmtId="0" fontId="0" fillId="0" borderId="13" xfId="0" applyBorder="1"/>
    <xf numFmtId="0" fontId="0" fillId="0" borderId="27" xfId="0" applyBorder="1"/>
    <xf numFmtId="0" fontId="0" fillId="0" borderId="28" xfId="0" applyBorder="1"/>
    <xf numFmtId="0" fontId="2" fillId="0" borderId="13" xfId="0" applyFont="1" applyBorder="1" applyAlignment="1">
      <alignment horizontal="left" vertical="top" wrapText="1"/>
    </xf>
    <xf numFmtId="0" fontId="2" fillId="0" borderId="29" xfId="0" applyFont="1" applyBorder="1" applyAlignment="1">
      <alignment horizontal="left" vertical="top" wrapText="1"/>
    </xf>
    <xf numFmtId="0" fontId="0" fillId="0" borderId="30" xfId="0" applyBorder="1"/>
    <xf numFmtId="0" fontId="0" fillId="0" borderId="10" xfId="0" applyBorder="1"/>
    <xf numFmtId="0" fontId="2" fillId="0" borderId="28" xfId="0" applyFont="1" applyBorder="1" applyAlignment="1">
      <alignment horizontal="center" vertical="center"/>
    </xf>
    <xf numFmtId="0" fontId="4" fillId="0" borderId="27" xfId="1" applyFill="1" applyBorder="1" applyAlignment="1" applyProtection="1"/>
    <xf numFmtId="0" fontId="4" fillId="0" borderId="28" xfId="1" applyFill="1" applyBorder="1" applyAlignment="1" applyProtection="1"/>
    <xf numFmtId="0" fontId="0" fillId="0" borderId="29" xfId="0" applyBorder="1"/>
    <xf numFmtId="0" fontId="15" fillId="15" borderId="6" xfId="0" applyFont="1" applyFill="1" applyBorder="1" applyAlignment="1">
      <alignment horizontal="center" vertical="center"/>
    </xf>
    <xf numFmtId="0" fontId="2" fillId="16" borderId="6" xfId="0" applyFont="1" applyFill="1" applyBorder="1" applyAlignment="1">
      <alignment horizontal="center" vertical="center"/>
    </xf>
    <xf numFmtId="0" fontId="0" fillId="17" borderId="6" xfId="0" applyFill="1" applyBorder="1" applyAlignment="1">
      <alignment horizontal="left" vertical="center" wrapText="1" indent="1"/>
    </xf>
    <xf numFmtId="0" fontId="0" fillId="17" borderId="6" xfId="0" applyFill="1" applyBorder="1" applyAlignment="1">
      <alignment horizontal="left" vertical="center" indent="1"/>
    </xf>
    <xf numFmtId="0" fontId="0" fillId="17" borderId="0" xfId="0" applyFill="1" applyAlignment="1">
      <alignment horizontal="left" vertical="center" wrapText="1" indent="1"/>
    </xf>
    <xf numFmtId="22" fontId="0" fillId="0" borderId="27" xfId="0" applyNumberFormat="1" applyBorder="1"/>
    <xf numFmtId="0" fontId="0" fillId="0" borderId="14" xfId="0" applyBorder="1"/>
    <xf numFmtId="0" fontId="0" fillId="3" borderId="6" xfId="0" applyFill="1" applyBorder="1"/>
    <xf numFmtId="0" fontId="0" fillId="19" borderId="6" xfId="0" applyFill="1" applyBorder="1"/>
    <xf numFmtId="0" fontId="6" fillId="0" borderId="0" xfId="0" applyFont="1" applyAlignment="1">
      <alignment vertical="center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6" xfId="0" applyFill="1" applyBorder="1"/>
    <xf numFmtId="22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12" borderId="22" xfId="0" applyFill="1" applyBorder="1" applyAlignment="1">
      <alignment horizontal="left"/>
    </xf>
    <xf numFmtId="0" fontId="0" fillId="12" borderId="23" xfId="0" applyFill="1" applyBorder="1" applyAlignment="1">
      <alignment horizontal="left"/>
    </xf>
    <xf numFmtId="0" fontId="0" fillId="12" borderId="17" xfId="0" applyFill="1" applyBorder="1" applyAlignment="1">
      <alignment horizontal="left"/>
    </xf>
    <xf numFmtId="0" fontId="0" fillId="12" borderId="21" xfId="0" applyFill="1" applyBorder="1" applyAlignment="1">
      <alignment horizontal="left"/>
    </xf>
    <xf numFmtId="0" fontId="16" fillId="18" borderId="22" xfId="0" applyFont="1" applyFill="1" applyBorder="1" applyAlignment="1">
      <alignment horizontal="left"/>
    </xf>
    <xf numFmtId="0" fontId="16" fillId="18" borderId="23" xfId="0" applyFont="1" applyFill="1" applyBorder="1" applyAlignment="1">
      <alignment horizontal="left"/>
    </xf>
    <xf numFmtId="0" fontId="16" fillId="18" borderId="17" xfId="0" applyFont="1" applyFill="1" applyBorder="1" applyAlignment="1">
      <alignment horizontal="left"/>
    </xf>
    <xf numFmtId="0" fontId="16" fillId="18" borderId="21" xfId="0" applyFont="1" applyFill="1" applyBorder="1" applyAlignment="1">
      <alignment horizontal="left"/>
    </xf>
    <xf numFmtId="0" fontId="0" fillId="0" borderId="0" xfId="0" applyAlignment="1">
      <alignment horizontal="left" wrapText="1"/>
    </xf>
    <xf numFmtId="0" fontId="2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 wrapText="1"/>
    </xf>
    <xf numFmtId="0" fontId="0" fillId="0" borderId="0" xfId="0" applyAlignment="1">
      <alignment horizontal="left" vertical="top" wrapText="1"/>
    </xf>
    <xf numFmtId="0" fontId="1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8" borderId="17" xfId="0" applyFill="1" applyBorder="1" applyAlignment="1">
      <alignment horizontal="left"/>
    </xf>
    <xf numFmtId="0" fontId="7" fillId="9" borderId="18" xfId="0" applyFont="1" applyFill="1" applyBorder="1" applyAlignment="1">
      <alignment horizontal="left"/>
    </xf>
    <xf numFmtId="0" fontId="7" fillId="9" borderId="19" xfId="0" applyFont="1" applyFill="1" applyBorder="1" applyAlignment="1">
      <alignment horizontal="left"/>
    </xf>
    <xf numFmtId="0" fontId="0" fillId="10" borderId="18" xfId="0" applyFill="1" applyBorder="1" applyAlignment="1">
      <alignment horizontal="left"/>
    </xf>
    <xf numFmtId="0" fontId="0" fillId="10" borderId="19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8" borderId="22" xfId="0" applyFill="1" applyBorder="1" applyAlignment="1">
      <alignment horizontal="left"/>
    </xf>
    <xf numFmtId="0" fontId="0" fillId="8" borderId="23" xfId="0" applyFill="1" applyBorder="1" applyAlignment="1">
      <alignment horizontal="left"/>
    </xf>
    <xf numFmtId="0" fontId="0" fillId="11" borderId="6" xfId="0" applyFill="1" applyBorder="1" applyAlignment="1">
      <alignment horizontal="left"/>
    </xf>
    <xf numFmtId="0" fontId="0" fillId="11" borderId="20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7" fillId="9" borderId="6" xfId="0" applyFont="1" applyFill="1" applyBorder="1" applyAlignment="1">
      <alignment horizontal="left"/>
    </xf>
    <xf numFmtId="0" fontId="0" fillId="10" borderId="6" xfId="0" applyFill="1" applyBorder="1" applyAlignment="1">
      <alignment horizontal="left"/>
    </xf>
    <xf numFmtId="0" fontId="0" fillId="4" borderId="18" xfId="0" applyFill="1" applyBorder="1" applyAlignment="1">
      <alignment horizontal="left"/>
    </xf>
    <xf numFmtId="0" fontId="0" fillId="4" borderId="19" xfId="0" applyFill="1" applyBorder="1" applyAlignment="1">
      <alignment horizontal="left"/>
    </xf>
    <xf numFmtId="0" fontId="9" fillId="0" borderId="0" xfId="0" applyFont="1" applyAlignment="1">
      <alignment horizontal="left" wrapText="1"/>
    </xf>
    <xf numFmtId="0" fontId="0" fillId="4" borderId="20" xfId="0" applyFill="1" applyBorder="1" applyAlignment="1">
      <alignment horizontal="left"/>
    </xf>
    <xf numFmtId="0" fontId="7" fillId="9" borderId="20" xfId="0" applyFont="1" applyFill="1" applyBorder="1" applyAlignment="1">
      <alignment horizontal="left"/>
    </xf>
    <xf numFmtId="0" fontId="0" fillId="10" borderId="20" xfId="0" applyFill="1" applyBorder="1" applyAlignment="1">
      <alignment horizontal="left"/>
    </xf>
    <xf numFmtId="0" fontId="2" fillId="0" borderId="2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7" borderId="6" xfId="0" applyFill="1" applyBorder="1" applyAlignment="1">
      <alignment horizontal="left"/>
    </xf>
    <xf numFmtId="0" fontId="2" fillId="0" borderId="26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0" fillId="3" borderId="6" xfId="0" applyFill="1" applyBorder="1" applyAlignment="1">
      <alignment horizontal="left"/>
    </xf>
    <xf numFmtId="0" fontId="0" fillId="3" borderId="20" xfId="0" applyFill="1" applyBorder="1" applyAlignment="1">
      <alignment horizontal="left"/>
    </xf>
    <xf numFmtId="0" fontId="0" fillId="3" borderId="25" xfId="0" applyFill="1" applyBorder="1" applyAlignment="1">
      <alignment horizontal="left"/>
    </xf>
    <xf numFmtId="0" fontId="0" fillId="7" borderId="2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horizontal="left"/>
    </xf>
    <xf numFmtId="0" fontId="6" fillId="4" borderId="0" xfId="0" applyFont="1" applyFill="1" applyAlignment="1">
      <alignment horizontal="center" vertical="center"/>
    </xf>
    <xf numFmtId="0" fontId="1" fillId="2" borderId="0" xfId="0" applyFont="1" applyFill="1" applyProtection="1"/>
    <xf numFmtId="0" fontId="2" fillId="0" borderId="8" xfId="0" applyFont="1" applyBorder="1" applyAlignment="1" applyProtection="1">
      <alignment horizontal="center" vertical="center"/>
    </xf>
    <xf numFmtId="14" fontId="2" fillId="0" borderId="1" xfId="0" applyNumberFormat="1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top"/>
    </xf>
    <xf numFmtId="0" fontId="2" fillId="0" borderId="4" xfId="0" applyFont="1" applyBorder="1" applyAlignment="1" applyProtection="1">
      <alignment horizontal="center" vertical="center" wrapText="1"/>
    </xf>
    <xf numFmtId="49" fontId="2" fillId="0" borderId="4" xfId="0" applyNumberFormat="1" applyFont="1" applyBorder="1" applyAlignment="1" applyProtection="1">
      <alignment horizontal="center" vertical="center" wrapText="1"/>
    </xf>
    <xf numFmtId="0" fontId="2" fillId="0" borderId="6" xfId="0" applyFont="1" applyBorder="1" applyAlignment="1" applyProtection="1">
      <alignment horizontal="center" vertical="center" wrapText="1"/>
    </xf>
    <xf numFmtId="49" fontId="2" fillId="0" borderId="6" xfId="0" applyNumberFormat="1" applyFont="1" applyBorder="1" applyAlignment="1" applyProtection="1">
      <alignment horizontal="center" vertical="center" wrapText="1"/>
    </xf>
    <xf numFmtId="49" fontId="2" fillId="0" borderId="5" xfId="0" applyNumberFormat="1" applyFont="1" applyBorder="1" applyAlignment="1" applyProtection="1">
      <alignment horizontal="center" vertical="center" wrapText="1"/>
    </xf>
    <xf numFmtId="49" fontId="2" fillId="0" borderId="10" xfId="0" applyNumberFormat="1" applyFont="1" applyBorder="1" applyAlignment="1" applyProtection="1">
      <alignment horizontal="center" vertical="center" wrapText="1"/>
    </xf>
    <xf numFmtId="49" fontId="2" fillId="0" borderId="0" xfId="0" applyNumberFormat="1" applyFont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top"/>
    </xf>
    <xf numFmtId="0" fontId="2" fillId="0" borderId="5" xfId="0" applyFont="1" applyBorder="1" applyAlignment="1" applyProtection="1">
      <alignment horizontal="center" vertical="center" wrapText="1"/>
    </xf>
    <xf numFmtId="22" fontId="0" fillId="0" borderId="0" xfId="0" applyNumberFormat="1" applyAlignment="1" applyProtection="1">
      <alignment horizontal="left" vertical="center"/>
    </xf>
    <xf numFmtId="14" fontId="0" fillId="0" borderId="0" xfId="0" applyNumberFormat="1" applyAlignment="1" applyProtection="1">
      <alignment horizontal="left" vertical="center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horizontal="left" vertical="center"/>
    </xf>
    <xf numFmtId="49" fontId="0" fillId="0" borderId="0" xfId="0" applyNumberFormat="1" applyAlignment="1" applyProtection="1">
      <alignment horizontal="left" vertical="center" wrapText="1"/>
    </xf>
    <xf numFmtId="0" fontId="0" fillId="0" borderId="0" xfId="0" applyAlignment="1" applyProtection="1">
      <alignment horizontal="left" vertical="top" wrapText="1"/>
    </xf>
    <xf numFmtId="0" fontId="5" fillId="0" borderId="7" xfId="0" applyFont="1" applyBorder="1" applyAlignment="1" applyProtection="1">
      <alignment horizontal="center" vertical="top"/>
    </xf>
    <xf numFmtId="0" fontId="2" fillId="0" borderId="6" xfId="0" applyFont="1" applyBorder="1" applyAlignment="1" applyProtection="1">
      <alignment horizontal="center" vertical="center"/>
    </xf>
    <xf numFmtId="22" fontId="2" fillId="0" borderId="0" xfId="0" applyNumberFormat="1" applyFont="1" applyAlignment="1" applyProtection="1">
      <alignment horizontal="left" vertical="top" wrapText="1"/>
    </xf>
    <xf numFmtId="22" fontId="11" fillId="0" borderId="0" xfId="0" applyNumberFormat="1" applyFont="1" applyAlignment="1" applyProtection="1">
      <alignment horizontal="left" vertical="top" wrapText="1"/>
    </xf>
    <xf numFmtId="0" fontId="2" fillId="3" borderId="16" xfId="0" applyFont="1" applyFill="1" applyBorder="1" applyAlignment="1" applyProtection="1">
      <alignment horizontal="left" vertical="top" wrapText="1"/>
    </xf>
    <xf numFmtId="22" fontId="11" fillId="0" borderId="13" xfId="0" applyNumberFormat="1" applyFont="1" applyBorder="1" applyAlignment="1" applyProtection="1">
      <alignment horizontal="left" wrapText="1"/>
    </xf>
    <xf numFmtId="0" fontId="2" fillId="4" borderId="16" xfId="0" applyFont="1" applyFill="1" applyBorder="1" applyAlignment="1" applyProtection="1">
      <alignment horizontal="left" vertical="top" wrapText="1"/>
    </xf>
    <xf numFmtId="0" fontId="12" fillId="5" borderId="16" xfId="0" applyFont="1" applyFill="1" applyBorder="1" applyAlignment="1" applyProtection="1">
      <alignment horizontal="left" vertical="top" wrapText="1"/>
    </xf>
    <xf numFmtId="0" fontId="2" fillId="6" borderId="16" xfId="0" applyFont="1" applyFill="1" applyBorder="1" applyAlignment="1" applyProtection="1">
      <alignment horizontal="left" vertical="top" wrapText="1"/>
    </xf>
    <xf numFmtId="0" fontId="2" fillId="11" borderId="16" xfId="0" applyFont="1" applyFill="1" applyBorder="1" applyAlignment="1" applyProtection="1">
      <alignment horizontal="left" vertical="top" wrapText="1"/>
    </xf>
    <xf numFmtId="0" fontId="2" fillId="7" borderId="16" xfId="0" applyFont="1" applyFill="1" applyBorder="1" applyAlignment="1" applyProtection="1">
      <alignment horizontal="left" vertical="top" wrapText="1"/>
    </xf>
    <xf numFmtId="0" fontId="2" fillId="8" borderId="16" xfId="0" applyFont="1" applyFill="1" applyBorder="1" applyAlignment="1" applyProtection="1">
      <alignment horizontal="left" vertical="top" wrapText="1"/>
    </xf>
    <xf numFmtId="0" fontId="2" fillId="12" borderId="16" xfId="0" applyFont="1" applyFill="1" applyBorder="1" applyAlignment="1" applyProtection="1">
      <alignment horizontal="left" vertical="top" wrapText="1"/>
    </xf>
    <xf numFmtId="0" fontId="2" fillId="13" borderId="16" xfId="0" applyFont="1" applyFill="1" applyBorder="1" applyAlignment="1" applyProtection="1">
      <alignment horizontal="left" vertical="top" wrapText="1"/>
    </xf>
    <xf numFmtId="0" fontId="2" fillId="14" borderId="16" xfId="0" applyFont="1" applyFill="1" applyBorder="1" applyAlignment="1" applyProtection="1">
      <alignment horizontal="left" vertical="top" wrapText="1"/>
    </xf>
    <xf numFmtId="0" fontId="0" fillId="0" borderId="0" xfId="0" applyProtection="1"/>
    <xf numFmtId="0" fontId="0" fillId="19" borderId="0" xfId="0" applyFill="1" applyProtection="1"/>
    <xf numFmtId="22" fontId="0" fillId="0" borderId="14" xfId="0" applyNumberFormat="1" applyBorder="1" applyProtection="1"/>
    <xf numFmtId="0" fontId="0" fillId="0" borderId="14" xfId="0" applyBorder="1" applyProtection="1"/>
    <xf numFmtId="0" fontId="2" fillId="0" borderId="15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14" xfId="0" applyFont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2" fillId="0" borderId="28" xfId="0" applyFont="1" applyBorder="1" applyAlignment="1" applyProtection="1">
      <alignment horizontal="center" vertical="center"/>
    </xf>
    <xf numFmtId="0" fontId="1" fillId="0" borderId="0" xfId="0" applyFont="1" applyProtection="1"/>
  </cellXfs>
  <cellStyles count="2">
    <cellStyle name="Link" xfId="1" builtinId="8"/>
    <cellStyle name="Standard" xfId="0" builtinId="0"/>
  </cellStyles>
  <dxfs count="40"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auto="1"/>
      </font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auto="1"/>
      </font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auto="1"/>
      </font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auto="1"/>
      </font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auto="1"/>
      </font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auto="1"/>
      </font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auto="1"/>
      </font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auto="1"/>
      </font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auto="1"/>
      </font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auto="1"/>
      </font>
    </dxf>
    <dxf>
      <font>
        <b/>
        <i val="0"/>
        <condense val="0"/>
        <extend val="0"/>
        <color indexed="10"/>
      </font>
      <fill>
        <patternFill patternType="gray0625">
          <bgColor indexed="13"/>
        </patternFill>
      </fill>
    </dxf>
    <dxf>
      <font>
        <condense val="0"/>
        <extend val="0"/>
        <color indexed="8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9525</xdr:rowOff>
        </xdr:from>
        <xdr:to>
          <xdr:col>7</xdr:col>
          <xdr:colOff>3810000</xdr:colOff>
          <xdr:row>2</xdr:row>
          <xdr:rowOff>295275</xdr:rowOff>
        </xdr:to>
        <xdr:sp macro="" textlink="">
          <xdr:nvSpPr>
            <xdr:cNvPr id="2056" name="CommandButton1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9525</xdr:rowOff>
        </xdr:from>
        <xdr:to>
          <xdr:col>7</xdr:col>
          <xdr:colOff>3810000</xdr:colOff>
          <xdr:row>2</xdr:row>
          <xdr:rowOff>295275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9525</xdr:rowOff>
        </xdr:from>
        <xdr:to>
          <xdr:col>7</xdr:col>
          <xdr:colOff>3810000</xdr:colOff>
          <xdr:row>2</xdr:row>
          <xdr:rowOff>295275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7</xdr:col>
          <xdr:colOff>3819525</xdr:colOff>
          <xdr:row>2</xdr:row>
          <xdr:rowOff>295275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9525</xdr:rowOff>
        </xdr:from>
        <xdr:to>
          <xdr:col>7</xdr:col>
          <xdr:colOff>3810000</xdr:colOff>
          <xdr:row>2</xdr:row>
          <xdr:rowOff>295275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9525</xdr:rowOff>
        </xdr:from>
        <xdr:to>
          <xdr:col>7</xdr:col>
          <xdr:colOff>3810000</xdr:colOff>
          <xdr:row>2</xdr:row>
          <xdr:rowOff>295275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7</xdr:col>
          <xdr:colOff>3819525</xdr:colOff>
          <xdr:row>2</xdr:row>
          <xdr:rowOff>295275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7</xdr:col>
          <xdr:colOff>3819525</xdr:colOff>
          <xdr:row>2</xdr:row>
          <xdr:rowOff>295275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7</xdr:col>
          <xdr:colOff>3819525</xdr:colOff>
          <xdr:row>2</xdr:row>
          <xdr:rowOff>295275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7</xdr:col>
          <xdr:colOff>3819525</xdr:colOff>
          <xdr:row>2</xdr:row>
          <xdr:rowOff>295275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10</xdr:col>
          <xdr:colOff>790575</xdr:colOff>
          <xdr:row>1</xdr:row>
          <xdr:rowOff>0</xdr:rowOff>
        </xdr:to>
        <xdr:sp macro="" textlink="">
          <xdr:nvSpPr>
            <xdr:cNvPr id="9218" name="CmdBtn_Leere_Zellen_entsperren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B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xa"/>
  <dimension ref="B1:H48"/>
  <sheetViews>
    <sheetView showGridLines="0" workbookViewId="0">
      <selection activeCell="B33" sqref="B33:H33"/>
    </sheetView>
  </sheetViews>
  <sheetFormatPr baseColWidth="10" defaultColWidth="11.42578125" defaultRowHeight="12.75" x14ac:dyDescent="0.2"/>
  <cols>
    <col min="1" max="1" width="3" customWidth="1"/>
  </cols>
  <sheetData>
    <row r="1" spans="2:8" x14ac:dyDescent="0.2">
      <c r="C1" s="85" t="s">
        <v>0</v>
      </c>
      <c r="D1" s="85"/>
      <c r="E1" s="85"/>
      <c r="F1" s="85"/>
      <c r="G1" s="85"/>
    </row>
    <row r="2" spans="2:8" ht="15.75" customHeight="1" x14ac:dyDescent="0.2">
      <c r="C2" s="85"/>
      <c r="D2" s="85"/>
      <c r="E2" s="85"/>
      <c r="F2" s="85"/>
      <c r="G2" s="85"/>
    </row>
    <row r="3" spans="2:8" ht="12.75" customHeight="1" x14ac:dyDescent="0.25">
      <c r="B3" s="2"/>
      <c r="C3" s="2"/>
      <c r="D3" s="2"/>
    </row>
    <row r="5" spans="2:8" x14ac:dyDescent="0.2">
      <c r="B5" s="81" t="s">
        <v>1</v>
      </c>
      <c r="C5" s="81"/>
      <c r="D5" s="81"/>
      <c r="E5" s="81"/>
      <c r="F5" s="81"/>
      <c r="G5" s="81"/>
      <c r="H5" s="81"/>
    </row>
    <row r="6" spans="2:8" x14ac:dyDescent="0.2">
      <c r="B6" s="69"/>
      <c r="C6" s="69"/>
      <c r="D6" s="69"/>
      <c r="E6" s="69"/>
      <c r="F6" s="69"/>
      <c r="G6" s="69"/>
      <c r="H6" s="69"/>
    </row>
    <row r="7" spans="2:8" x14ac:dyDescent="0.2">
      <c r="B7" s="3" t="s">
        <v>2</v>
      </c>
      <c r="C7" s="69" t="s">
        <v>3</v>
      </c>
      <c r="D7" s="69"/>
      <c r="E7" s="69"/>
      <c r="F7" s="69"/>
      <c r="G7" s="69"/>
      <c r="H7" s="69"/>
    </row>
    <row r="8" spans="2:8" x14ac:dyDescent="0.2">
      <c r="B8" s="3" t="s">
        <v>2</v>
      </c>
      <c r="C8" s="69" t="s">
        <v>4</v>
      </c>
      <c r="D8" s="69"/>
      <c r="E8" s="69"/>
      <c r="F8" s="69"/>
      <c r="G8" s="69"/>
      <c r="H8" s="69"/>
    </row>
    <row r="9" spans="2:8" x14ac:dyDescent="0.2">
      <c r="B9" s="3" t="s">
        <v>2</v>
      </c>
      <c r="C9" s="69" t="s">
        <v>5</v>
      </c>
      <c r="D9" s="69"/>
      <c r="E9" s="69"/>
      <c r="F9" s="69"/>
      <c r="G9" s="69"/>
      <c r="H9" s="69"/>
    </row>
    <row r="10" spans="2:8" x14ac:dyDescent="0.2">
      <c r="B10" s="3"/>
      <c r="C10" s="69"/>
      <c r="D10" s="69"/>
      <c r="E10" s="69"/>
      <c r="F10" s="69"/>
      <c r="G10" s="69"/>
      <c r="H10" s="69"/>
    </row>
    <row r="11" spans="2:8" x14ac:dyDescent="0.2">
      <c r="C11" s="79" t="s">
        <v>6</v>
      </c>
      <c r="D11" s="79"/>
      <c r="E11" s="79"/>
      <c r="F11" s="79"/>
      <c r="G11" s="79"/>
      <c r="H11" s="79"/>
    </row>
    <row r="15" spans="2:8" x14ac:dyDescent="0.2">
      <c r="B15" s="80" t="s">
        <v>7</v>
      </c>
      <c r="C15" s="80"/>
      <c r="D15" s="80"/>
      <c r="E15" s="80"/>
      <c r="F15" s="80"/>
      <c r="G15" s="80"/>
      <c r="H15" s="80"/>
    </row>
    <row r="16" spans="2:8" x14ac:dyDescent="0.2">
      <c r="B16" s="86"/>
      <c r="C16" s="86"/>
      <c r="D16" s="86"/>
      <c r="E16" s="86"/>
      <c r="F16" s="86"/>
      <c r="G16" s="86"/>
      <c r="H16" s="86"/>
    </row>
    <row r="17" spans="2:8" x14ac:dyDescent="0.2">
      <c r="B17" s="86"/>
      <c r="C17" s="86"/>
      <c r="D17" s="86"/>
      <c r="E17" s="86"/>
      <c r="F17" s="86"/>
      <c r="G17" s="86"/>
      <c r="H17" s="86"/>
    </row>
    <row r="18" spans="2:8" x14ac:dyDescent="0.2">
      <c r="B18" s="81" t="s">
        <v>8</v>
      </c>
      <c r="C18" s="81"/>
      <c r="D18" s="81"/>
      <c r="E18" s="81"/>
      <c r="F18" s="81"/>
      <c r="G18" s="81"/>
      <c r="H18" s="81"/>
    </row>
    <row r="19" spans="2:8" x14ac:dyDescent="0.2">
      <c r="B19" s="82"/>
      <c r="C19" s="82"/>
      <c r="D19" s="82"/>
      <c r="E19" s="82"/>
      <c r="F19" s="82"/>
      <c r="G19" s="82"/>
      <c r="H19" s="82"/>
    </row>
    <row r="20" spans="2:8" x14ac:dyDescent="0.2">
      <c r="B20" s="3" t="s">
        <v>2</v>
      </c>
      <c r="C20" s="69" t="s">
        <v>9</v>
      </c>
      <c r="D20" s="69"/>
      <c r="E20" s="69"/>
      <c r="F20" s="69"/>
      <c r="G20" s="69"/>
      <c r="H20" s="69"/>
    </row>
    <row r="21" spans="2:8" ht="25.5" customHeight="1" x14ac:dyDescent="0.2">
      <c r="B21" s="3" t="s">
        <v>2</v>
      </c>
      <c r="C21" s="84" t="s">
        <v>10</v>
      </c>
      <c r="D21" s="84"/>
      <c r="E21" s="84"/>
      <c r="F21" s="84"/>
      <c r="G21" s="84"/>
      <c r="H21" s="84"/>
    </row>
    <row r="22" spans="2:8" x14ac:dyDescent="0.2">
      <c r="B22" s="3" t="s">
        <v>2</v>
      </c>
      <c r="C22" s="69" t="s">
        <v>11</v>
      </c>
      <c r="D22" s="69"/>
      <c r="E22" s="69"/>
      <c r="F22" s="69"/>
      <c r="G22" s="69"/>
      <c r="H22" s="69"/>
    </row>
    <row r="23" spans="2:8" ht="26.25" customHeight="1" x14ac:dyDescent="0.2">
      <c r="B23" s="3" t="s">
        <v>2</v>
      </c>
      <c r="C23" s="83" t="s">
        <v>12</v>
      </c>
      <c r="D23" s="78"/>
      <c r="E23" s="78"/>
      <c r="F23" s="78"/>
      <c r="G23" s="78"/>
      <c r="H23" s="78"/>
    </row>
    <row r="24" spans="2:8" x14ac:dyDescent="0.2">
      <c r="B24" s="3" t="s">
        <v>2</v>
      </c>
      <c r="C24" s="69" t="s">
        <v>13</v>
      </c>
      <c r="D24" s="69"/>
      <c r="E24" s="69"/>
      <c r="F24" s="69"/>
      <c r="G24" s="69"/>
      <c r="H24" s="69"/>
    </row>
    <row r="25" spans="2:8" x14ac:dyDescent="0.2">
      <c r="B25" s="4"/>
    </row>
    <row r="26" spans="2:8" x14ac:dyDescent="0.2">
      <c r="B26" s="81" t="s">
        <v>14</v>
      </c>
      <c r="C26" s="81"/>
      <c r="D26" s="81"/>
      <c r="E26" s="81"/>
      <c r="F26" s="81"/>
      <c r="G26" s="81"/>
      <c r="H26" s="81"/>
    </row>
    <row r="27" spans="2:8" x14ac:dyDescent="0.2">
      <c r="B27" s="82"/>
      <c r="C27" s="82"/>
      <c r="D27" s="82"/>
      <c r="E27" s="82"/>
      <c r="F27" s="82"/>
      <c r="G27" s="82"/>
      <c r="H27" s="82"/>
    </row>
    <row r="28" spans="2:8" ht="26.25" customHeight="1" x14ac:dyDescent="0.2">
      <c r="B28" s="3" t="s">
        <v>2</v>
      </c>
      <c r="C28" s="78" t="s">
        <v>15</v>
      </c>
      <c r="D28" s="78"/>
      <c r="E28" s="78"/>
      <c r="F28" s="78"/>
      <c r="G28" s="78"/>
      <c r="H28" s="78"/>
    </row>
    <row r="29" spans="2:8" x14ac:dyDescent="0.2">
      <c r="B29" s="3" t="s">
        <v>2</v>
      </c>
      <c r="C29" s="69" t="s">
        <v>16</v>
      </c>
      <c r="D29" s="69"/>
      <c r="E29" s="69"/>
      <c r="F29" s="69"/>
      <c r="G29" s="69"/>
      <c r="H29" s="69"/>
    </row>
    <row r="30" spans="2:8" ht="26.25" customHeight="1" x14ac:dyDescent="0.2">
      <c r="B30" s="3" t="s">
        <v>2</v>
      </c>
      <c r="C30" s="78" t="s">
        <v>17</v>
      </c>
      <c r="D30" s="78"/>
      <c r="E30" s="78"/>
      <c r="F30" s="78"/>
      <c r="G30" s="78"/>
      <c r="H30" s="78"/>
    </row>
    <row r="31" spans="2:8" x14ac:dyDescent="0.2">
      <c r="B31" s="3" t="s">
        <v>2</v>
      </c>
      <c r="C31" s="69" t="s">
        <v>18</v>
      </c>
      <c r="D31" s="69"/>
      <c r="E31" s="69"/>
      <c r="F31" s="69"/>
      <c r="G31" s="69"/>
      <c r="H31" s="69"/>
    </row>
    <row r="32" spans="2:8" x14ac:dyDescent="0.2">
      <c r="C32" s="69"/>
      <c r="D32" s="69"/>
      <c r="E32" s="69"/>
      <c r="F32" s="69"/>
      <c r="G32" s="69"/>
      <c r="H32" s="69"/>
    </row>
    <row r="33" spans="2:8" ht="25.5" customHeight="1" x14ac:dyDescent="0.2">
      <c r="B33" s="105" t="s">
        <v>19</v>
      </c>
      <c r="C33" s="105"/>
      <c r="D33" s="105"/>
      <c r="E33" s="105"/>
      <c r="F33" s="105"/>
      <c r="G33" s="105"/>
      <c r="H33" s="105"/>
    </row>
    <row r="34" spans="2:8" ht="13.5" thickBot="1" x14ac:dyDescent="0.25"/>
    <row r="35" spans="2:8" ht="13.5" thickTop="1" x14ac:dyDescent="0.2">
      <c r="B35" s="109" t="s">
        <v>20</v>
      </c>
      <c r="C35" s="110"/>
      <c r="D35" s="110" t="s">
        <v>21</v>
      </c>
      <c r="E35" s="110"/>
      <c r="F35" s="110" t="s">
        <v>22</v>
      </c>
      <c r="G35" s="114"/>
    </row>
    <row r="36" spans="2:8" x14ac:dyDescent="0.2">
      <c r="B36" s="111"/>
      <c r="C36" s="112"/>
      <c r="D36" s="112"/>
      <c r="E36" s="112"/>
      <c r="F36" s="112"/>
      <c r="G36" s="115"/>
    </row>
    <row r="37" spans="2:8" x14ac:dyDescent="0.2">
      <c r="B37" s="118" t="str">
        <f ca="1">Hilfslisten!C$3</f>
        <v>Sekretariat</v>
      </c>
      <c r="C37" s="116"/>
      <c r="D37" s="116" t="str">
        <f>Hilfslisten!$C4</f>
        <v>Emily Schmidt</v>
      </c>
      <c r="E37" s="116"/>
      <c r="F37" s="116" t="str">
        <f>Hilfslisten!$C5</f>
        <v>Larissa Radimerksy</v>
      </c>
      <c r="G37" s="117"/>
    </row>
    <row r="38" spans="2:8" x14ac:dyDescent="0.2">
      <c r="B38" s="103" t="str">
        <f ca="1">Hilfslisten!E$3</f>
        <v>RTW &amp; MPG</v>
      </c>
      <c r="C38" s="104"/>
      <c r="D38" s="100" t="str">
        <f>Hilfslisten!$E4</f>
        <v>Goepfrich</v>
      </c>
      <c r="E38" s="100"/>
      <c r="F38" s="100">
        <f>Hilfslisten!$E5</f>
        <v>0</v>
      </c>
      <c r="G38" s="106"/>
    </row>
    <row r="39" spans="2:8" x14ac:dyDescent="0.2">
      <c r="B39" s="88" t="str">
        <f ca="1">Hilfslisten!G$3</f>
        <v>EDV</v>
      </c>
      <c r="C39" s="89"/>
      <c r="D39" s="101" t="str">
        <f>Hilfslisten!$G4</f>
        <v>Siebert</v>
      </c>
      <c r="E39" s="101"/>
      <c r="F39" s="101">
        <f>Hilfslisten!$G5</f>
        <v>0</v>
      </c>
      <c r="G39" s="107"/>
    </row>
    <row r="40" spans="2:8" x14ac:dyDescent="0.2">
      <c r="B40" s="90" t="str">
        <f ca="1">Hilfslisten!I$3</f>
        <v>Med.&amp;Verbr.-stoff</v>
      </c>
      <c r="C40" s="91"/>
      <c r="D40" s="102" t="str">
        <f>Hilfslisten!$I4</f>
        <v>Zeller</v>
      </c>
      <c r="E40" s="102"/>
      <c r="F40" s="102" t="str">
        <f>Hilfslisten!$I5</f>
        <v>Breig</v>
      </c>
      <c r="G40" s="108"/>
    </row>
    <row r="41" spans="2:8" x14ac:dyDescent="0.2">
      <c r="B41" s="92" t="str">
        <f ca="1">Hilfslisten!K$3</f>
        <v>WD-Fzg &amp; Schutzkleidg</v>
      </c>
      <c r="C41" s="93"/>
      <c r="D41" s="98" t="str">
        <f>Hilfslisten!$K4</f>
        <v>Wunsch</v>
      </c>
      <c r="E41" s="98"/>
      <c r="F41" s="98">
        <f>Hilfslisten!$K5</f>
        <v>0</v>
      </c>
      <c r="G41" s="99"/>
    </row>
    <row r="42" spans="2:8" x14ac:dyDescent="0.2">
      <c r="B42" s="94" t="str">
        <f ca="1">Hilfslisten!M$3</f>
        <v>Organisation Ambulanz</v>
      </c>
      <c r="C42" s="95"/>
      <c r="D42" s="113" t="str">
        <f>Hilfslisten!$M4</f>
        <v>Wunsch</v>
      </c>
      <c r="E42" s="113"/>
      <c r="F42" s="113">
        <f>Hilfslisten!$M5</f>
        <v>0</v>
      </c>
      <c r="G42" s="119"/>
    </row>
    <row r="43" spans="2:8" ht="13.5" thickBot="1" x14ac:dyDescent="0.25">
      <c r="B43" s="96" t="str">
        <f ca="1">Hilfslisten!O$3</f>
        <v>BGF</v>
      </c>
      <c r="C43" s="97"/>
      <c r="D43" s="87" t="str">
        <f>Hilfslisten!$O4</f>
        <v>Zieger-Buchta</v>
      </c>
      <c r="E43" s="87"/>
      <c r="F43" s="87" t="str">
        <f>Hilfslisten!$O5</f>
        <v>Müller-horn</v>
      </c>
      <c r="G43" s="87"/>
    </row>
    <row r="44" spans="2:8" ht="14.25" thickTop="1" thickBot="1" x14ac:dyDescent="0.25">
      <c r="B44" s="70" t="str">
        <f>Hilfslisten!Q$3</f>
        <v>Ablauf&amp;Prozessprobleme</v>
      </c>
      <c r="C44" s="71"/>
      <c r="D44" s="72" t="str">
        <f>Hilfslisten!$Q4</f>
        <v>Putschler</v>
      </c>
      <c r="E44" s="72"/>
      <c r="F44" s="72">
        <f>Hilfslisten!$Q5</f>
        <v>0</v>
      </c>
      <c r="G44" s="73"/>
    </row>
    <row r="45" spans="2:8" ht="14.25" thickTop="1" thickBot="1" x14ac:dyDescent="0.25">
      <c r="B45" s="74" t="str">
        <f>Hilfslisten!U$3</f>
        <v>Hygiene</v>
      </c>
      <c r="C45" s="75"/>
      <c r="D45" s="76" t="str">
        <f>Hilfslisten!$U4</f>
        <v>Wunsch</v>
      </c>
      <c r="E45" s="76"/>
      <c r="F45" s="76">
        <f>Hilfslisten!$U5</f>
        <v>0</v>
      </c>
      <c r="G45" s="77"/>
    </row>
    <row r="46" spans="2:8" ht="13.5" thickTop="1" x14ac:dyDescent="0.2">
      <c r="B46" s="69"/>
      <c r="C46" s="69"/>
      <c r="D46" s="69"/>
      <c r="E46" s="69"/>
      <c r="F46" s="69"/>
      <c r="G46" s="69"/>
    </row>
    <row r="47" spans="2:8" x14ac:dyDescent="0.2">
      <c r="B47" s="69"/>
      <c r="C47" s="69"/>
      <c r="D47" s="69"/>
      <c r="E47" s="69"/>
      <c r="F47" s="69"/>
      <c r="G47" s="69"/>
    </row>
    <row r="48" spans="2:8" x14ac:dyDescent="0.2">
      <c r="B48" s="69"/>
      <c r="C48" s="69"/>
      <c r="D48" s="69"/>
      <c r="E48" s="69"/>
      <c r="F48" s="69"/>
      <c r="G48" s="69"/>
    </row>
  </sheetData>
  <sheetProtection selectLockedCells="1"/>
  <mergeCells count="65">
    <mergeCell ref="F35:G36"/>
    <mergeCell ref="F37:G37"/>
    <mergeCell ref="D37:E37"/>
    <mergeCell ref="B37:C37"/>
    <mergeCell ref="F42:G42"/>
    <mergeCell ref="F43:G43"/>
    <mergeCell ref="C28:H28"/>
    <mergeCell ref="B43:C43"/>
    <mergeCell ref="F41:G41"/>
    <mergeCell ref="D38:E38"/>
    <mergeCell ref="D39:E39"/>
    <mergeCell ref="D40:E40"/>
    <mergeCell ref="D41:E41"/>
    <mergeCell ref="B38:C38"/>
    <mergeCell ref="B33:H33"/>
    <mergeCell ref="F38:G38"/>
    <mergeCell ref="F39:G39"/>
    <mergeCell ref="F40:G40"/>
    <mergeCell ref="B35:C36"/>
    <mergeCell ref="D35:E36"/>
    <mergeCell ref="D42:E42"/>
    <mergeCell ref="D43:E43"/>
    <mergeCell ref="B39:C39"/>
    <mergeCell ref="B40:C40"/>
    <mergeCell ref="B41:C41"/>
    <mergeCell ref="B42:C42"/>
    <mergeCell ref="C1:G2"/>
    <mergeCell ref="B16:H16"/>
    <mergeCell ref="B17:H17"/>
    <mergeCell ref="B19:H19"/>
    <mergeCell ref="B18:H18"/>
    <mergeCell ref="B5:H5"/>
    <mergeCell ref="B6:H6"/>
    <mergeCell ref="C7:H7"/>
    <mergeCell ref="C8:H8"/>
    <mergeCell ref="C10:H10"/>
    <mergeCell ref="C32:H32"/>
    <mergeCell ref="C9:H9"/>
    <mergeCell ref="C29:H29"/>
    <mergeCell ref="C30:H30"/>
    <mergeCell ref="C31:H31"/>
    <mergeCell ref="C11:H11"/>
    <mergeCell ref="B15:H15"/>
    <mergeCell ref="C20:H20"/>
    <mergeCell ref="B26:H26"/>
    <mergeCell ref="B27:H27"/>
    <mergeCell ref="C22:H22"/>
    <mergeCell ref="C23:H23"/>
    <mergeCell ref="C24:H24"/>
    <mergeCell ref="C21:H21"/>
    <mergeCell ref="B44:C44"/>
    <mergeCell ref="D44:E44"/>
    <mergeCell ref="F44:G44"/>
    <mergeCell ref="B45:C45"/>
    <mergeCell ref="D45:E45"/>
    <mergeCell ref="F45:G45"/>
    <mergeCell ref="B48:C48"/>
    <mergeCell ref="D48:E48"/>
    <mergeCell ref="F48:G48"/>
    <mergeCell ref="B46:C46"/>
    <mergeCell ref="D46:E46"/>
    <mergeCell ref="F46:G46"/>
    <mergeCell ref="B47:C47"/>
    <mergeCell ref="D47:E47"/>
    <mergeCell ref="F47:G47"/>
  </mergeCells>
  <phoneticPr fontId="3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Header>&amp;R&amp;O</oddHeader>
    <oddFooter>&amp;LDaimler AG
Werksärztlicher Dienst Rastatt
PER/HSW&amp;CErstellt am: 20.07.2010
von: Manfred Velten&amp;RVerantwortlich:
Dr.Frei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xb">
    <tabColor indexed="13"/>
  </sheetPr>
  <dimension ref="A1:N33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11.42578125" defaultRowHeight="12.75" x14ac:dyDescent="0.2"/>
  <cols>
    <col min="1" max="1" width="2.42578125" style="1" customWidth="1"/>
    <col min="2" max="2" width="2.42578125" style="14" customWidth="1"/>
    <col min="3" max="3" width="16.5703125" style="13" customWidth="1"/>
    <col min="4" max="4" width="16.5703125" style="7" customWidth="1"/>
    <col min="5" max="5" width="60.5703125" style="10" customWidth="1"/>
    <col min="6" max="6" width="16.5703125" style="13" customWidth="1"/>
    <col min="7" max="7" width="15" style="9" customWidth="1"/>
    <col min="8" max="8" width="60.5703125" style="10" customWidth="1"/>
    <col min="9" max="9" width="16.5703125" style="13" customWidth="1"/>
    <col min="10" max="10" width="13.5703125" style="11" customWidth="1"/>
    <col min="11" max="11" width="9.85546875" style="11" bestFit="1" customWidth="1"/>
    <col min="12" max="12" width="60.5703125" style="12" customWidth="1"/>
    <col min="13" max="13" width="23.5703125" style="12" customWidth="1"/>
    <col min="14" max="14" width="2.140625" style="1" customWidth="1"/>
    <col min="15" max="15" width="11.5703125" customWidth="1"/>
  </cols>
  <sheetData>
    <row r="1" spans="1:14" ht="13.5" thickBot="1" x14ac:dyDescent="0.25">
      <c r="A1" s="125" t="str">
        <f ca="1">MID(CELL("dateiname",A1),FIND("]",CELL("dateiname",A1))+1,255)</f>
        <v>Sekretariat</v>
      </c>
      <c r="B1" s="1"/>
      <c r="C1" s="16"/>
      <c r="D1" s="17"/>
      <c r="E1" s="18"/>
      <c r="F1" s="16"/>
      <c r="G1" s="1"/>
      <c r="H1" s="18"/>
      <c r="I1" s="16"/>
      <c r="J1" s="19"/>
      <c r="K1" s="19"/>
      <c r="L1" s="20"/>
      <c r="M1" s="20"/>
    </row>
    <row r="2" spans="1:14" ht="25.35" customHeight="1" thickTop="1" x14ac:dyDescent="0.2">
      <c r="B2" s="5"/>
      <c r="C2" s="126" t="s">
        <v>23</v>
      </c>
      <c r="D2" s="127" t="s">
        <v>24</v>
      </c>
      <c r="E2" s="21"/>
      <c r="F2" s="22"/>
      <c r="G2"/>
      <c r="H2" s="21"/>
      <c r="I2" s="83" t="s">
        <v>25</v>
      </c>
      <c r="J2" s="83"/>
      <c r="K2" s="83"/>
      <c r="L2"/>
      <c r="M2" s="120"/>
    </row>
    <row r="3" spans="1:14" s="26" customFormat="1" ht="25.35" customHeight="1" thickBot="1" x14ac:dyDescent="0.25">
      <c r="A3" s="23"/>
      <c r="B3" s="24"/>
      <c r="C3" s="128">
        <f>COUNTA(D5:D64992)</f>
        <v>0</v>
      </c>
      <c r="D3" s="128">
        <f>COUNTA(J5:J64992)</f>
        <v>0</v>
      </c>
      <c r="E3" s="25"/>
      <c r="G3"/>
      <c r="H3" s="25"/>
      <c r="I3" s="122"/>
      <c r="J3" s="122"/>
      <c r="K3" s="122"/>
      <c r="L3" s="49"/>
      <c r="M3" s="121"/>
      <c r="N3" s="23"/>
    </row>
    <row r="4" spans="1:14" ht="30" customHeight="1" thickTop="1" x14ac:dyDescent="0.2">
      <c r="B4" s="27"/>
      <c r="C4" s="129" t="s">
        <v>26</v>
      </c>
      <c r="D4" s="130" t="s">
        <v>27</v>
      </c>
      <c r="E4" s="131" t="s">
        <v>28</v>
      </c>
      <c r="F4" s="132" t="s">
        <v>29</v>
      </c>
      <c r="G4" s="131" t="s">
        <v>30</v>
      </c>
      <c r="H4" s="132" t="s">
        <v>31</v>
      </c>
      <c r="I4" s="132" t="s">
        <v>32</v>
      </c>
      <c r="J4" s="133" t="s">
        <v>33</v>
      </c>
      <c r="K4" s="132" t="s">
        <v>34</v>
      </c>
      <c r="L4" s="134" t="s">
        <v>35</v>
      </c>
      <c r="M4" s="135" t="s">
        <v>36</v>
      </c>
    </row>
    <row r="5" spans="1:14" x14ac:dyDescent="0.2">
      <c r="C5" s="8"/>
    </row>
    <row r="6" spans="1:14" x14ac:dyDescent="0.2">
      <c r="C6" s="8"/>
      <c r="F6" s="8"/>
    </row>
    <row r="7" spans="1:14" x14ac:dyDescent="0.2">
      <c r="C7" s="8"/>
    </row>
    <row r="26" spans="3:4" x14ac:dyDescent="0.2">
      <c r="C26" s="8"/>
      <c r="D26" s="65"/>
    </row>
    <row r="33" spans="2:2" x14ac:dyDescent="0.2">
      <c r="B33" s="15"/>
    </row>
  </sheetData>
  <sheetProtection sheet="1" objects="1" scenarios="1"/>
  <mergeCells count="2">
    <mergeCell ref="M2:M3"/>
    <mergeCell ref="I2:K3"/>
  </mergeCells>
  <phoneticPr fontId="0" type="noConversion"/>
  <conditionalFormatting sqref="C3">
    <cfRule type="cellIs" dxfId="39" priority="1" stopIfTrue="1" operator="equal">
      <formula>$D$3</formula>
    </cfRule>
    <cfRule type="cellIs" dxfId="38" priority="2" stopIfTrue="1" operator="notEqual">
      <formula>$D$3</formula>
    </cfRule>
  </conditionalFormatting>
  <conditionalFormatting sqref="D3">
    <cfRule type="cellIs" dxfId="37" priority="3" stopIfTrue="1" operator="equal">
      <formula>$C$3</formula>
    </cfRule>
    <cfRule type="cellIs" dxfId="36" priority="4" stopIfTrue="1" operator="notEqual">
      <formula>$C$3</formula>
    </cfRule>
  </conditionalFormatting>
  <dataValidations count="4">
    <dataValidation type="list" allowBlank="1" showInputMessage="1" showErrorMessage="1" sqref="J5:J65528 G5:G65528" xr:uid="{00000000-0002-0000-0100-000000000000}">
      <formula1>Sekretariat</formula1>
    </dataValidation>
    <dataValidation type="list" allowBlank="1" showInputMessage="1" showErrorMessage="1" sqref="D5:D65528" xr:uid="{00000000-0002-0000-0100-000001000000}">
      <formula1>Namen</formula1>
    </dataValidation>
    <dataValidation type="list" allowBlank="1" showInputMessage="1" showErrorMessage="1" sqref="M5:M65528" xr:uid="{00000000-0002-0000-0100-000002000000}">
      <formula1>Reko</formula1>
    </dataValidation>
    <dataValidation type="list" allowBlank="1" showInputMessage="1" showErrorMessage="1" sqref="K5:K1048576" xr:uid="{00000000-0002-0000-0100-000003000000}">
      <formula1>Fehlerkategorie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6" r:id="rId4" name="CommandButton1">
          <controlPr locked="0" defaultSize="0" autoLine="0" r:id="rId5">
            <anchor moveWithCells="1">
              <from>
                <xdr:col>4</xdr:col>
                <xdr:colOff>28575</xdr:colOff>
                <xdr:row>1</xdr:row>
                <xdr:rowOff>9525</xdr:rowOff>
              </from>
              <to>
                <xdr:col>7</xdr:col>
                <xdr:colOff>3981450</xdr:colOff>
                <xdr:row>2</xdr:row>
                <xdr:rowOff>304800</xdr:rowOff>
              </to>
            </anchor>
          </controlPr>
        </control>
      </mc:Choice>
      <mc:Fallback>
        <control shapeId="205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xd">
    <tabColor indexed="12"/>
  </sheetPr>
  <dimension ref="A1:N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3" sqref="C3"/>
    </sheetView>
  </sheetViews>
  <sheetFormatPr baseColWidth="10" defaultColWidth="11.42578125" defaultRowHeight="12.75" x14ac:dyDescent="0.2"/>
  <cols>
    <col min="1" max="1" width="2.42578125" style="1" customWidth="1"/>
    <col min="2" max="2" width="2.42578125" style="14" customWidth="1"/>
    <col min="3" max="3" width="16.5703125" style="13" customWidth="1"/>
    <col min="4" max="4" width="16.5703125" style="7" customWidth="1"/>
    <col min="5" max="5" width="60.5703125" style="10" customWidth="1"/>
    <col min="6" max="6" width="16.5703125" style="13" customWidth="1"/>
    <col min="7" max="7" width="15" style="9" customWidth="1"/>
    <col min="8" max="8" width="60.5703125" style="10" customWidth="1"/>
    <col min="9" max="9" width="16.5703125" style="13" customWidth="1"/>
    <col min="10" max="10" width="13.5703125" style="11" customWidth="1"/>
    <col min="11" max="11" width="9.85546875" style="11" bestFit="1" customWidth="1"/>
    <col min="12" max="12" width="60.5703125" style="12" customWidth="1"/>
    <col min="13" max="13" width="23.5703125" style="12" customWidth="1"/>
    <col min="14" max="14" width="2.140625" style="1" customWidth="1"/>
  </cols>
  <sheetData>
    <row r="1" spans="1:14" ht="13.5" thickBot="1" x14ac:dyDescent="0.25">
      <c r="A1" s="125" t="str">
        <f ca="1">MID(CELL("dateiname",A1),FIND("]",CELL("dateiname",A1))+1,255)</f>
        <v>EDV</v>
      </c>
      <c r="B1" s="1"/>
      <c r="C1" s="16"/>
      <c r="D1" s="17"/>
      <c r="E1" s="18"/>
      <c r="F1" s="16"/>
      <c r="G1" s="1"/>
      <c r="H1" s="18"/>
      <c r="I1" s="16"/>
      <c r="J1" s="19"/>
      <c r="K1" s="19"/>
      <c r="L1" s="20"/>
      <c r="M1" s="20"/>
    </row>
    <row r="2" spans="1:14" ht="25.35" customHeight="1" thickTop="1" x14ac:dyDescent="0.2">
      <c r="B2" s="6"/>
      <c r="C2" s="126" t="s">
        <v>23</v>
      </c>
      <c r="D2" s="127" t="s">
        <v>24</v>
      </c>
      <c r="E2" s="21"/>
      <c r="F2" s="22"/>
      <c r="G2"/>
      <c r="H2" s="21"/>
      <c r="I2" s="83" t="s">
        <v>25</v>
      </c>
      <c r="J2" s="69"/>
      <c r="K2" s="69"/>
      <c r="L2"/>
      <c r="M2" s="120"/>
    </row>
    <row r="3" spans="1:14" s="26" customFormat="1" ht="25.35" customHeight="1" thickBot="1" x14ac:dyDescent="0.25">
      <c r="A3" s="23"/>
      <c r="B3" s="28"/>
      <c r="C3" s="128">
        <f>COUNTA(D5:D64940)</f>
        <v>3</v>
      </c>
      <c r="D3" s="136">
        <f>COUNTA(J5:J64960)</f>
        <v>2</v>
      </c>
      <c r="E3" s="25"/>
      <c r="G3"/>
      <c r="H3" s="25"/>
      <c r="I3" s="123"/>
      <c r="J3" s="123"/>
      <c r="K3" s="123"/>
      <c r="L3" s="49"/>
      <c r="M3" s="121"/>
      <c r="N3" s="23"/>
    </row>
    <row r="4" spans="1:14" ht="30" customHeight="1" thickTop="1" x14ac:dyDescent="0.2">
      <c r="B4" s="27"/>
      <c r="C4" s="137" t="s">
        <v>26</v>
      </c>
      <c r="D4" s="133" t="s">
        <v>27</v>
      </c>
      <c r="E4" s="131" t="s">
        <v>28</v>
      </c>
      <c r="F4" s="132" t="s">
        <v>29</v>
      </c>
      <c r="G4" s="131" t="s">
        <v>30</v>
      </c>
      <c r="H4" s="132" t="s">
        <v>31</v>
      </c>
      <c r="I4" s="132" t="s">
        <v>32</v>
      </c>
      <c r="J4" s="132" t="s">
        <v>33</v>
      </c>
      <c r="K4" s="132" t="s">
        <v>34</v>
      </c>
      <c r="L4" s="132" t="s">
        <v>35</v>
      </c>
      <c r="M4" s="135" t="s">
        <v>36</v>
      </c>
    </row>
    <row r="5" spans="1:14" ht="38.25" x14ac:dyDescent="0.2">
      <c r="B5" s="62"/>
      <c r="C5" s="138">
        <v>45883.661365740743</v>
      </c>
      <c r="D5" s="139" t="s">
        <v>37</v>
      </c>
      <c r="E5" s="140" t="s">
        <v>38</v>
      </c>
      <c r="F5" s="138">
        <v>45884.453831018516</v>
      </c>
      <c r="G5" s="141" t="s">
        <v>39</v>
      </c>
      <c r="H5" s="140" t="s">
        <v>40</v>
      </c>
      <c r="I5" s="138">
        <v>45884.453969907408</v>
      </c>
      <c r="J5" s="142" t="s">
        <v>39</v>
      </c>
      <c r="K5" s="142" t="s">
        <v>41</v>
      </c>
      <c r="M5" s="143" t="s">
        <v>42</v>
      </c>
    </row>
    <row r="6" spans="1:14" ht="25.5" x14ac:dyDescent="0.2">
      <c r="B6" s="67"/>
      <c r="C6" s="138">
        <v>45926.351493055554</v>
      </c>
      <c r="D6" s="139" t="s">
        <v>37</v>
      </c>
      <c r="E6" s="140" t="s">
        <v>43</v>
      </c>
      <c r="F6" s="138">
        <v>45926.459722222222</v>
      </c>
      <c r="G6" s="141" t="s">
        <v>44</v>
      </c>
      <c r="H6" s="140" t="s">
        <v>45</v>
      </c>
      <c r="I6" s="138">
        <v>45926.459722222222</v>
      </c>
      <c r="J6" s="142" t="s">
        <v>44</v>
      </c>
      <c r="K6" s="142" t="s">
        <v>46</v>
      </c>
      <c r="L6" s="64"/>
      <c r="M6" s="143" t="s">
        <v>47</v>
      </c>
    </row>
    <row r="7" spans="1:14" ht="25.5" x14ac:dyDescent="0.2">
      <c r="B7" s="67"/>
      <c r="C7" s="138">
        <v>46045.397048611114</v>
      </c>
      <c r="D7" s="139" t="s">
        <v>48</v>
      </c>
      <c r="E7" s="140" t="s">
        <v>49</v>
      </c>
      <c r="F7" s="138">
        <v>46049.333333333336</v>
      </c>
      <c r="G7" s="141" t="s">
        <v>44</v>
      </c>
      <c r="H7" s="140" t="s">
        <v>50</v>
      </c>
      <c r="I7" s="8"/>
      <c r="J7" s="66"/>
      <c r="K7" s="66"/>
      <c r="M7" s="64"/>
    </row>
    <row r="8" spans="1:14" x14ac:dyDescent="0.2">
      <c r="F8" s="8"/>
      <c r="G8" s="13"/>
      <c r="I8" s="8"/>
      <c r="J8" s="66"/>
      <c r="K8" s="66"/>
      <c r="M8" s="64"/>
    </row>
    <row r="9" spans="1:14" x14ac:dyDescent="0.2">
      <c r="F9" s="8"/>
      <c r="G9" s="13"/>
      <c r="I9" s="8"/>
      <c r="J9" s="66"/>
      <c r="K9" s="66"/>
      <c r="M9" s="64"/>
    </row>
  </sheetData>
  <sheetProtection sheet="1" objects="1" scenarios="1"/>
  <dataConsolidate/>
  <mergeCells count="2">
    <mergeCell ref="M2:M3"/>
    <mergeCell ref="I2:K3"/>
  </mergeCells>
  <phoneticPr fontId="0" type="noConversion"/>
  <conditionalFormatting sqref="C3">
    <cfRule type="cellIs" dxfId="35" priority="1" stopIfTrue="1" operator="equal">
      <formula>$D$3</formula>
    </cfRule>
    <cfRule type="cellIs" dxfId="34" priority="2" stopIfTrue="1" operator="notEqual">
      <formula>$D$3</formula>
    </cfRule>
  </conditionalFormatting>
  <conditionalFormatting sqref="D3">
    <cfRule type="cellIs" dxfId="33" priority="3" stopIfTrue="1" operator="equal">
      <formula>$C$3</formula>
    </cfRule>
    <cfRule type="cellIs" dxfId="32" priority="4" stopIfTrue="1" operator="notEqual">
      <formula>$C$3</formula>
    </cfRule>
  </conditionalFormatting>
  <dataValidations count="4">
    <dataValidation type="list" allowBlank="1" showInputMessage="1" showErrorMessage="1" sqref="G5:G65495 J5:J65495" xr:uid="{00000000-0002-0000-0200-000000000000}">
      <formula1>EDV</formula1>
    </dataValidation>
    <dataValidation type="list" allowBlank="1" showInputMessage="1" showErrorMessage="1" sqref="M5:M65495" xr:uid="{00000000-0002-0000-0200-000002000000}">
      <formula1>Reko</formula1>
    </dataValidation>
    <dataValidation type="list" allowBlank="1" showInputMessage="1" showErrorMessage="1" sqref="K5:K1048576" xr:uid="{00000000-0002-0000-0200-000003000000}">
      <formula1>Fehlerkategorie</formula1>
    </dataValidation>
    <dataValidation type="list" allowBlank="1" showInputMessage="1" showErrorMessage="1" sqref="D5:D65475" xr:uid="{00000000-0002-0000-0200-000001000000}">
      <formula1>Namen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locked="0" defaultSize="0" autoLine="0" r:id="rId5">
            <anchor moveWithCells="1">
              <from>
                <xdr:col>4</xdr:col>
                <xdr:colOff>28575</xdr:colOff>
                <xdr:row>1</xdr:row>
                <xdr:rowOff>9525</xdr:rowOff>
              </from>
              <to>
                <xdr:col>7</xdr:col>
                <xdr:colOff>3981450</xdr:colOff>
                <xdr:row>2</xdr:row>
                <xdr:rowOff>304800</xdr:rowOff>
              </to>
            </anchor>
          </controlPr>
        </control>
      </mc:Choice>
      <mc:Fallback>
        <control shapeId="307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xe">
    <tabColor indexed="17"/>
  </sheetPr>
  <dimension ref="A1:N18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3" sqref="C3"/>
    </sheetView>
  </sheetViews>
  <sheetFormatPr baseColWidth="10" defaultColWidth="11.42578125" defaultRowHeight="12.75" x14ac:dyDescent="0.2"/>
  <cols>
    <col min="1" max="1" width="2.42578125" style="1" customWidth="1"/>
    <col min="2" max="2" width="2.42578125" style="14" customWidth="1"/>
    <col min="3" max="3" width="16.5703125" style="13" customWidth="1"/>
    <col min="4" max="4" width="16.5703125" style="7" customWidth="1"/>
    <col min="5" max="5" width="60.5703125" style="10" customWidth="1"/>
    <col min="6" max="6" width="16.5703125" style="13" customWidth="1"/>
    <col min="7" max="7" width="15" style="9" customWidth="1"/>
    <col min="8" max="8" width="60.5703125" style="10" customWidth="1"/>
    <col min="9" max="9" width="16.5703125" style="13" customWidth="1"/>
    <col min="10" max="10" width="13.5703125" style="11" customWidth="1"/>
    <col min="11" max="11" width="9.85546875" style="11" bestFit="1" customWidth="1"/>
    <col min="12" max="12" width="60.5703125" style="12" customWidth="1"/>
    <col min="13" max="13" width="23.5703125" style="12" customWidth="1"/>
    <col min="14" max="14" width="2.42578125" style="1" customWidth="1"/>
  </cols>
  <sheetData>
    <row r="1" spans="1:14" ht="13.5" thickBot="1" x14ac:dyDescent="0.25">
      <c r="A1" s="125" t="str">
        <f ca="1">MID(CELL("dateiname",A1),FIND("]",CELL("dateiname",A1))+1,255)</f>
        <v>Med.&amp;Verbr.-stoff</v>
      </c>
      <c r="B1" s="1"/>
      <c r="C1" s="16"/>
      <c r="D1" s="17"/>
      <c r="E1" s="18"/>
      <c r="F1" s="16"/>
      <c r="G1" s="1"/>
      <c r="H1" s="18"/>
      <c r="I1" s="16"/>
      <c r="J1" s="19"/>
      <c r="K1" s="19"/>
      <c r="L1" s="20"/>
      <c r="M1" s="20"/>
    </row>
    <row r="2" spans="1:14" ht="25.35" customHeight="1" thickTop="1" x14ac:dyDescent="0.2">
      <c r="B2" s="6"/>
      <c r="C2" s="126" t="s">
        <v>23</v>
      </c>
      <c r="D2" s="127" t="s">
        <v>24</v>
      </c>
      <c r="E2" s="21"/>
      <c r="F2" s="22"/>
      <c r="G2"/>
      <c r="H2" s="21"/>
      <c r="I2" s="83" t="s">
        <v>25</v>
      </c>
      <c r="J2" s="69"/>
      <c r="K2" s="69"/>
      <c r="L2"/>
      <c r="M2" s="120"/>
    </row>
    <row r="3" spans="1:14" s="26" customFormat="1" ht="25.35" customHeight="1" thickBot="1" x14ac:dyDescent="0.25">
      <c r="A3" s="23"/>
      <c r="B3" s="28"/>
      <c r="C3" s="144">
        <f>COUNTA(D5:D64989)</f>
        <v>3</v>
      </c>
      <c r="D3" s="136">
        <f>COUNTA(J5:J64989)</f>
        <v>1</v>
      </c>
      <c r="E3" s="25"/>
      <c r="G3"/>
      <c r="H3" s="25"/>
      <c r="I3" s="123"/>
      <c r="J3" s="123"/>
      <c r="K3" s="123"/>
      <c r="L3" s="49"/>
      <c r="M3" s="121"/>
      <c r="N3" s="23"/>
    </row>
    <row r="4" spans="1:14" ht="30" customHeight="1" thickTop="1" x14ac:dyDescent="0.2">
      <c r="B4" s="27"/>
      <c r="C4" s="129" t="s">
        <v>26</v>
      </c>
      <c r="D4" s="133" t="s">
        <v>27</v>
      </c>
      <c r="E4" s="131" t="s">
        <v>28</v>
      </c>
      <c r="F4" s="132" t="s">
        <v>29</v>
      </c>
      <c r="G4" s="131" t="s">
        <v>30</v>
      </c>
      <c r="H4" s="132" t="s">
        <v>31</v>
      </c>
      <c r="I4" s="132" t="s">
        <v>32</v>
      </c>
      <c r="J4" s="132" t="s">
        <v>33</v>
      </c>
      <c r="K4" s="132" t="s">
        <v>34</v>
      </c>
      <c r="L4" s="132" t="s">
        <v>35</v>
      </c>
      <c r="M4" s="135" t="s">
        <v>36</v>
      </c>
    </row>
    <row r="5" spans="1:14" ht="25.5" x14ac:dyDescent="0.2">
      <c r="B5" s="62"/>
      <c r="C5" s="138">
        <v>45901.471435185187</v>
      </c>
      <c r="D5" s="139" t="s">
        <v>48</v>
      </c>
      <c r="E5" s="140" t="s">
        <v>51</v>
      </c>
      <c r="F5" s="8"/>
      <c r="G5" s="13"/>
      <c r="H5" s="140" t="s">
        <v>52</v>
      </c>
      <c r="I5" s="138">
        <v>45926.455034722225</v>
      </c>
      <c r="J5" s="142" t="s">
        <v>44</v>
      </c>
      <c r="K5" s="142" t="s">
        <v>41</v>
      </c>
      <c r="M5" s="143" t="s">
        <v>53</v>
      </c>
    </row>
    <row r="6" spans="1:14" x14ac:dyDescent="0.2">
      <c r="B6" s="67"/>
      <c r="C6" s="138">
        <v>46006.695752314816</v>
      </c>
      <c r="D6" s="139" t="s">
        <v>54</v>
      </c>
      <c r="E6" s="140" t="s">
        <v>55</v>
      </c>
      <c r="F6" s="8"/>
      <c r="I6" s="8"/>
      <c r="K6" s="142" t="s">
        <v>41</v>
      </c>
    </row>
    <row r="7" spans="1:14" ht="25.5" x14ac:dyDescent="0.2">
      <c r="B7" s="67"/>
      <c r="C7" s="138">
        <v>46045.399131944447</v>
      </c>
      <c r="D7" s="139" t="s">
        <v>48</v>
      </c>
      <c r="E7" s="140" t="s">
        <v>56</v>
      </c>
      <c r="F7" s="8"/>
      <c r="I7" s="8"/>
    </row>
    <row r="8" spans="1:14" x14ac:dyDescent="0.2">
      <c r="C8" s="8"/>
      <c r="F8" s="8"/>
      <c r="I8" s="8"/>
    </row>
    <row r="9" spans="1:14" x14ac:dyDescent="0.2">
      <c r="C9" s="8"/>
      <c r="I9" s="8"/>
    </row>
    <row r="10" spans="1:14" x14ac:dyDescent="0.2">
      <c r="C10" s="8"/>
      <c r="F10" s="8"/>
      <c r="I10" s="8"/>
    </row>
    <row r="11" spans="1:14" x14ac:dyDescent="0.2">
      <c r="C11" s="8"/>
      <c r="F11" s="8"/>
      <c r="I11" s="8"/>
    </row>
    <row r="12" spans="1:14" x14ac:dyDescent="0.2">
      <c r="C12" s="8"/>
      <c r="F12" s="8"/>
      <c r="I12" s="8"/>
    </row>
    <row r="13" spans="1:14" x14ac:dyDescent="0.2">
      <c r="C13" s="8"/>
      <c r="F13" s="8"/>
      <c r="I13" s="8"/>
    </row>
    <row r="14" spans="1:14" x14ac:dyDescent="0.2">
      <c r="C14" s="8"/>
      <c r="F14" s="8"/>
      <c r="I14" s="8"/>
    </row>
    <row r="15" spans="1:14" x14ac:dyDescent="0.2">
      <c r="C15" s="8"/>
      <c r="F15" s="8"/>
      <c r="I15" s="8"/>
    </row>
    <row r="16" spans="1:14" x14ac:dyDescent="0.2">
      <c r="C16" s="8"/>
      <c r="F16" s="8"/>
    </row>
    <row r="17" spans="3:3" x14ac:dyDescent="0.2">
      <c r="C17" s="8"/>
    </row>
    <row r="18" spans="3:3" x14ac:dyDescent="0.2">
      <c r="C18" s="8"/>
    </row>
  </sheetData>
  <sheetProtection sheet="1" objects="1" scenarios="1"/>
  <mergeCells count="2">
    <mergeCell ref="M2:M3"/>
    <mergeCell ref="I2:K3"/>
  </mergeCells>
  <phoneticPr fontId="0" type="noConversion"/>
  <conditionalFormatting sqref="C3">
    <cfRule type="cellIs" dxfId="31" priority="1" stopIfTrue="1" operator="equal">
      <formula>$D$3</formula>
    </cfRule>
    <cfRule type="cellIs" dxfId="30" priority="2" stopIfTrue="1" operator="notEqual">
      <formula>$D$3</formula>
    </cfRule>
  </conditionalFormatting>
  <conditionalFormatting sqref="D3">
    <cfRule type="cellIs" dxfId="29" priority="3" stopIfTrue="1" operator="equal">
      <formula>$C$3</formula>
    </cfRule>
    <cfRule type="cellIs" dxfId="28" priority="4" stopIfTrue="1" operator="notEqual">
      <formula>$C$3</formula>
    </cfRule>
  </conditionalFormatting>
  <dataValidations count="4">
    <dataValidation type="list" allowBlank="1" showInputMessage="1" showErrorMessage="1" sqref="G5:G65524 J5:J65524" xr:uid="{00000000-0002-0000-0300-000000000000}">
      <formula1>MedVerbrstoff</formula1>
    </dataValidation>
    <dataValidation type="list" allowBlank="1" showInputMessage="1" showErrorMessage="1" sqref="D5:D65524" xr:uid="{00000000-0002-0000-0300-000001000000}">
      <formula1>Namen</formula1>
    </dataValidation>
    <dataValidation type="list" allowBlank="1" showInputMessage="1" showErrorMessage="1" sqref="M5:M65524" xr:uid="{00000000-0002-0000-0300-000002000000}">
      <formula1>Reko</formula1>
    </dataValidation>
    <dataValidation type="list" allowBlank="1" showInputMessage="1" showErrorMessage="1" sqref="K5:K1048576" xr:uid="{00000000-0002-0000-0300-000004000000}">
      <formula1>Fehlerkategorie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locked="0" defaultSize="0" autoLine="0" r:id="rId5">
            <anchor moveWithCells="1">
              <from>
                <xdr:col>4</xdr:col>
                <xdr:colOff>28575</xdr:colOff>
                <xdr:row>1</xdr:row>
                <xdr:rowOff>9525</xdr:rowOff>
              </from>
              <to>
                <xdr:col>7</xdr:col>
                <xdr:colOff>3981450</xdr:colOff>
                <xdr:row>2</xdr:row>
                <xdr:rowOff>304800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xf">
    <tabColor indexed="53"/>
  </sheetPr>
  <dimension ref="A1:N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3" sqref="C3"/>
    </sheetView>
  </sheetViews>
  <sheetFormatPr baseColWidth="10" defaultColWidth="11.42578125" defaultRowHeight="12.75" x14ac:dyDescent="0.2"/>
  <cols>
    <col min="1" max="1" width="2.42578125" style="1" customWidth="1"/>
    <col min="2" max="2" width="2.42578125" style="14" customWidth="1"/>
    <col min="3" max="3" width="16.5703125" style="13" customWidth="1"/>
    <col min="4" max="4" width="16.5703125" style="7" customWidth="1"/>
    <col min="5" max="5" width="60.5703125" style="10" customWidth="1"/>
    <col min="6" max="6" width="16.5703125" style="13" customWidth="1"/>
    <col min="7" max="7" width="15" style="9" customWidth="1"/>
    <col min="8" max="8" width="60.5703125" style="10" customWidth="1"/>
    <col min="9" max="9" width="16.5703125" style="13" customWidth="1"/>
    <col min="10" max="10" width="13.5703125" style="11" customWidth="1"/>
    <col min="11" max="11" width="9.85546875" style="11" bestFit="1" customWidth="1"/>
    <col min="12" max="12" width="60.5703125" style="12" customWidth="1"/>
    <col min="13" max="13" width="23.5703125" style="12" customWidth="1"/>
    <col min="14" max="14" width="2.42578125" style="1" customWidth="1"/>
  </cols>
  <sheetData>
    <row r="1" spans="1:14" ht="13.5" thickBot="1" x14ac:dyDescent="0.25">
      <c r="A1" s="125" t="str">
        <f ca="1">MID(CELL("dateiname",A1),FIND("]",CELL("dateiname",A1))+1,255)</f>
        <v>WD-Fzg &amp; Schutzkleidg</v>
      </c>
      <c r="B1" s="1"/>
      <c r="C1" s="16"/>
      <c r="D1" s="17"/>
      <c r="E1" s="18"/>
      <c r="F1" s="16"/>
      <c r="G1" s="1"/>
      <c r="H1" s="18"/>
      <c r="I1" s="16"/>
      <c r="J1" s="19"/>
      <c r="K1" s="19"/>
      <c r="L1" s="20"/>
      <c r="M1" s="20"/>
    </row>
    <row r="2" spans="1:14" ht="25.35" customHeight="1" thickTop="1" x14ac:dyDescent="0.2">
      <c r="B2" s="6"/>
      <c r="C2" s="126" t="s">
        <v>23</v>
      </c>
      <c r="D2" s="127" t="s">
        <v>24</v>
      </c>
      <c r="E2" s="21"/>
      <c r="F2" s="22"/>
      <c r="G2"/>
      <c r="H2" s="21"/>
      <c r="I2" s="83" t="s">
        <v>25</v>
      </c>
      <c r="J2" s="69"/>
      <c r="K2" s="69"/>
      <c r="L2"/>
      <c r="M2" s="120"/>
    </row>
    <row r="3" spans="1:14" s="26" customFormat="1" ht="25.35" customHeight="1" thickBot="1" x14ac:dyDescent="0.25">
      <c r="A3" s="23"/>
      <c r="B3" s="28"/>
      <c r="C3" s="128">
        <f>COUNTA(D5:D64989)</f>
        <v>2</v>
      </c>
      <c r="D3" s="136">
        <f>COUNTA(J5:J64989)</f>
        <v>0</v>
      </c>
      <c r="E3" s="25"/>
      <c r="G3"/>
      <c r="H3" s="25"/>
      <c r="I3" s="123"/>
      <c r="J3" s="123"/>
      <c r="K3" s="123"/>
      <c r="L3" s="49"/>
      <c r="M3" s="121"/>
      <c r="N3" s="23"/>
    </row>
    <row r="4" spans="1:14" ht="30" customHeight="1" thickTop="1" x14ac:dyDescent="0.2">
      <c r="B4" s="27"/>
      <c r="C4" s="137" t="s">
        <v>26</v>
      </c>
      <c r="D4" s="133" t="s">
        <v>27</v>
      </c>
      <c r="E4" s="131" t="s">
        <v>28</v>
      </c>
      <c r="F4" s="132" t="s">
        <v>29</v>
      </c>
      <c r="G4" s="131" t="s">
        <v>30</v>
      </c>
      <c r="H4" s="132" t="s">
        <v>31</v>
      </c>
      <c r="I4" s="132" t="s">
        <v>32</v>
      </c>
      <c r="J4" s="132" t="s">
        <v>33</v>
      </c>
      <c r="K4" s="132" t="s">
        <v>34</v>
      </c>
      <c r="L4" s="132" t="s">
        <v>35</v>
      </c>
      <c r="M4" s="135" t="s">
        <v>36</v>
      </c>
    </row>
    <row r="5" spans="1:14" ht="25.5" x14ac:dyDescent="0.2">
      <c r="B5" s="67"/>
      <c r="C5" s="138">
        <v>45974.37909722222</v>
      </c>
      <c r="D5" s="139" t="s">
        <v>39</v>
      </c>
      <c r="E5" s="140" t="s">
        <v>57</v>
      </c>
      <c r="F5" s="8"/>
      <c r="I5" s="8"/>
    </row>
    <row r="6" spans="1:14" x14ac:dyDescent="0.2">
      <c r="B6" s="67"/>
      <c r="C6" s="138">
        <v>46056.333333333336</v>
      </c>
      <c r="D6" s="139" t="s">
        <v>58</v>
      </c>
      <c r="E6" s="140" t="s">
        <v>147</v>
      </c>
      <c r="H6" s="140" t="s">
        <v>147</v>
      </c>
    </row>
  </sheetData>
  <sheetProtection sheet="1" objects="1" scenarios="1"/>
  <mergeCells count="2">
    <mergeCell ref="M2:M3"/>
    <mergeCell ref="I2:K3"/>
  </mergeCells>
  <phoneticPr fontId="0" type="noConversion"/>
  <conditionalFormatting sqref="C3">
    <cfRule type="cellIs" dxfId="27" priority="1" stopIfTrue="1" operator="equal">
      <formula>$D$3</formula>
    </cfRule>
    <cfRule type="cellIs" dxfId="26" priority="2" stopIfTrue="1" operator="notEqual">
      <formula>$D$3</formula>
    </cfRule>
  </conditionalFormatting>
  <conditionalFormatting sqref="D3">
    <cfRule type="cellIs" dxfId="25" priority="3" stopIfTrue="1" operator="equal">
      <formula>$C$3</formula>
    </cfRule>
    <cfRule type="cellIs" dxfId="24" priority="4" stopIfTrue="1" operator="notEqual">
      <formula>$C$3</formula>
    </cfRule>
  </conditionalFormatting>
  <dataValidations count="4">
    <dataValidation type="list" allowBlank="1" showInputMessage="1" showErrorMessage="1" sqref="G5:G65525 J5:J65525" xr:uid="{00000000-0002-0000-0400-000000000000}">
      <formula1>WDFzgSchutzkleidung</formula1>
    </dataValidation>
    <dataValidation type="list" allowBlank="1" showInputMessage="1" showErrorMessage="1" sqref="D5:D65525" xr:uid="{00000000-0002-0000-0400-000001000000}">
      <formula1>Namen</formula1>
    </dataValidation>
    <dataValidation type="list" allowBlank="1" showInputMessage="1" showErrorMessage="1" sqref="M5:M65525" xr:uid="{00000000-0002-0000-0400-000002000000}">
      <formula1>Reko</formula1>
    </dataValidation>
    <dataValidation type="list" allowBlank="1" showInputMessage="1" showErrorMessage="1" sqref="K5:K1048576" xr:uid="{00000000-0002-0000-0400-000003000000}">
      <formula1>Fehlerkategorie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locked="0"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7</xdr:col>
                <xdr:colOff>3990975</xdr:colOff>
                <xdr:row>2</xdr:row>
                <xdr:rowOff>304800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xc">
    <tabColor indexed="10"/>
  </sheetPr>
  <dimension ref="A1:N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3" sqref="C3"/>
    </sheetView>
  </sheetViews>
  <sheetFormatPr baseColWidth="10" defaultColWidth="11.42578125" defaultRowHeight="12.75" x14ac:dyDescent="0.2"/>
  <cols>
    <col min="1" max="1" width="2.42578125" style="1" customWidth="1"/>
    <col min="2" max="2" width="2.42578125" style="14" customWidth="1"/>
    <col min="3" max="3" width="16.5703125" style="13" customWidth="1"/>
    <col min="4" max="4" width="16.5703125" style="7" customWidth="1"/>
    <col min="5" max="5" width="60.5703125" style="10" customWidth="1"/>
    <col min="6" max="6" width="16.5703125" style="13" customWidth="1"/>
    <col min="7" max="7" width="15" style="9" customWidth="1"/>
    <col min="8" max="8" width="60.5703125" style="10" customWidth="1"/>
    <col min="9" max="9" width="16.5703125" style="13" customWidth="1"/>
    <col min="10" max="10" width="13.5703125" style="11" customWidth="1"/>
    <col min="11" max="11" width="9.85546875" style="11" bestFit="1" customWidth="1"/>
    <col min="12" max="12" width="60.5703125" style="12" customWidth="1"/>
    <col min="13" max="13" width="23.5703125" style="12" customWidth="1"/>
    <col min="14" max="14" width="2.42578125" style="1" customWidth="1"/>
    <col min="15" max="15" width="11.5703125" customWidth="1"/>
  </cols>
  <sheetData>
    <row r="1" spans="1:14" ht="13.5" thickBot="1" x14ac:dyDescent="0.25">
      <c r="A1" s="125" t="str">
        <f ca="1">MID(CELL("dateiname",A1),FIND("]",CELL("dateiname",A1))+1,255)</f>
        <v>RTW &amp; MPG</v>
      </c>
      <c r="B1" s="1"/>
      <c r="C1" s="16"/>
      <c r="D1" s="17"/>
      <c r="E1" s="18"/>
      <c r="F1" s="16"/>
      <c r="G1" s="1"/>
      <c r="H1" s="18"/>
      <c r="I1" s="16"/>
      <c r="J1" s="19"/>
      <c r="K1" s="19"/>
      <c r="L1" s="20"/>
      <c r="M1" s="20"/>
    </row>
    <row r="2" spans="1:14" ht="25.35" customHeight="1" thickTop="1" x14ac:dyDescent="0.2">
      <c r="B2" s="6"/>
      <c r="C2" s="126" t="s">
        <v>23</v>
      </c>
      <c r="D2" s="127" t="s">
        <v>24</v>
      </c>
      <c r="E2" s="21"/>
      <c r="F2" s="22"/>
      <c r="G2"/>
      <c r="H2" s="21"/>
      <c r="I2" s="83" t="s">
        <v>25</v>
      </c>
      <c r="J2" s="69"/>
      <c r="K2" s="69"/>
      <c r="L2"/>
      <c r="M2" s="120"/>
    </row>
    <row r="3" spans="1:14" s="26" customFormat="1" ht="25.35" customHeight="1" thickBot="1" x14ac:dyDescent="0.25">
      <c r="A3" s="23"/>
      <c r="B3" s="28"/>
      <c r="C3" s="128">
        <f>COUNTA(D5:D64871)</f>
        <v>5</v>
      </c>
      <c r="D3" s="144">
        <f>COUNTA(J5:J64871)</f>
        <v>4</v>
      </c>
      <c r="E3" s="25"/>
      <c r="G3"/>
      <c r="H3" s="25"/>
      <c r="I3" s="123"/>
      <c r="J3" s="123"/>
      <c r="K3" s="123"/>
      <c r="L3" s="49"/>
      <c r="M3" s="121"/>
      <c r="N3" s="23"/>
    </row>
    <row r="4" spans="1:14" s="4" customFormat="1" ht="30" customHeight="1" thickTop="1" x14ac:dyDescent="0.2">
      <c r="A4" s="29"/>
      <c r="B4" s="30"/>
      <c r="C4" s="137" t="s">
        <v>26</v>
      </c>
      <c r="D4" s="130" t="s">
        <v>27</v>
      </c>
      <c r="E4" s="131" t="s">
        <v>28</v>
      </c>
      <c r="F4" s="132" t="s">
        <v>29</v>
      </c>
      <c r="G4" s="131" t="s">
        <v>30</v>
      </c>
      <c r="H4" s="132" t="s">
        <v>31</v>
      </c>
      <c r="I4" s="132" t="s">
        <v>32</v>
      </c>
      <c r="J4" s="132" t="s">
        <v>33</v>
      </c>
      <c r="K4" s="132" t="s">
        <v>34</v>
      </c>
      <c r="L4" s="145" t="s">
        <v>35</v>
      </c>
      <c r="M4" s="135" t="s">
        <v>36</v>
      </c>
      <c r="N4" s="29"/>
    </row>
    <row r="5" spans="1:14" x14ac:dyDescent="0.2">
      <c r="B5" s="61"/>
      <c r="C5" s="138">
        <v>45841.201898148145</v>
      </c>
      <c r="D5" s="139" t="s">
        <v>59</v>
      </c>
      <c r="E5" s="140" t="s">
        <v>60</v>
      </c>
      <c r="F5" s="138">
        <v>45889.717615740738</v>
      </c>
      <c r="G5" s="141" t="s">
        <v>61</v>
      </c>
      <c r="H5" s="140" t="s">
        <v>62</v>
      </c>
      <c r="I5" s="138">
        <v>45889.717511574076</v>
      </c>
      <c r="J5" s="142" t="s">
        <v>61</v>
      </c>
      <c r="K5" s="142" t="s">
        <v>46</v>
      </c>
      <c r="M5" s="143" t="s">
        <v>63</v>
      </c>
    </row>
    <row r="6" spans="1:14" ht="25.5" x14ac:dyDescent="0.2">
      <c r="B6" s="62"/>
      <c r="C6" s="138">
        <v>45910.914560185185</v>
      </c>
      <c r="D6" s="139" t="s">
        <v>64</v>
      </c>
      <c r="E6" s="140" t="s">
        <v>65</v>
      </c>
      <c r="F6" s="138">
        <v>45913.260069444441</v>
      </c>
      <c r="G6" s="141" t="s">
        <v>61</v>
      </c>
      <c r="H6" s="140" t="s">
        <v>66</v>
      </c>
      <c r="I6" s="138">
        <v>45924.475474537037</v>
      </c>
      <c r="J6" s="142" t="s">
        <v>61</v>
      </c>
      <c r="K6" s="142" t="s">
        <v>46</v>
      </c>
      <c r="M6" s="143" t="s">
        <v>53</v>
      </c>
    </row>
    <row r="7" spans="1:14" ht="38.25" x14ac:dyDescent="0.2">
      <c r="B7" s="62"/>
      <c r="C7" s="138">
        <v>45912.171851851854</v>
      </c>
      <c r="D7" s="139" t="s">
        <v>39</v>
      </c>
      <c r="E7" s="140" t="s">
        <v>67</v>
      </c>
      <c r="F7" s="138">
        <v>45913.260092592594</v>
      </c>
      <c r="G7" s="141" t="s">
        <v>61</v>
      </c>
      <c r="H7" s="140" t="s">
        <v>68</v>
      </c>
      <c r="I7" s="138">
        <v>45954.88721064815</v>
      </c>
      <c r="J7" s="142" t="s">
        <v>61</v>
      </c>
      <c r="K7" s="142" t="s">
        <v>46</v>
      </c>
      <c r="M7" s="143" t="s">
        <v>69</v>
      </c>
    </row>
    <row r="8" spans="1:14" ht="25.5" x14ac:dyDescent="0.2">
      <c r="B8" s="62"/>
      <c r="C8" s="138">
        <v>45967</v>
      </c>
      <c r="D8" s="139" t="s">
        <v>70</v>
      </c>
      <c r="E8" s="140" t="s">
        <v>71</v>
      </c>
      <c r="F8" s="138">
        <v>45995.64162037037</v>
      </c>
      <c r="G8" s="141" t="s">
        <v>61</v>
      </c>
      <c r="H8" s="140" t="s">
        <v>72</v>
      </c>
      <c r="I8" s="138">
        <v>46050.174861111111</v>
      </c>
      <c r="J8" s="142" t="s">
        <v>61</v>
      </c>
      <c r="K8" s="142" t="s">
        <v>46</v>
      </c>
      <c r="M8" s="143" t="s">
        <v>63</v>
      </c>
    </row>
    <row r="9" spans="1:14" ht="25.5" x14ac:dyDescent="0.2">
      <c r="B9" s="61"/>
      <c r="C9" s="138">
        <v>45995.641932870371</v>
      </c>
      <c r="D9" s="139" t="s">
        <v>73</v>
      </c>
      <c r="E9" s="140" t="s">
        <v>74</v>
      </c>
      <c r="F9" s="138">
        <v>45995.642199074071</v>
      </c>
      <c r="G9" s="141" t="s">
        <v>61</v>
      </c>
    </row>
  </sheetData>
  <sheetProtection sheet="1" objects="1" scenarios="1"/>
  <mergeCells count="2">
    <mergeCell ref="M2:M3"/>
    <mergeCell ref="I2:K3"/>
  </mergeCells>
  <phoneticPr fontId="0" type="noConversion"/>
  <conditionalFormatting sqref="C3">
    <cfRule type="cellIs" dxfId="23" priority="1" stopIfTrue="1" operator="equal">
      <formula>$D$3</formula>
    </cfRule>
    <cfRule type="cellIs" dxfId="22" priority="2" stopIfTrue="1" operator="notEqual">
      <formula>$D$3</formula>
    </cfRule>
  </conditionalFormatting>
  <conditionalFormatting sqref="D3">
    <cfRule type="cellIs" dxfId="21" priority="3" stopIfTrue="1" operator="equal">
      <formula>$C$3</formula>
    </cfRule>
    <cfRule type="cellIs" dxfId="20" priority="4" stopIfTrue="1" operator="notEqual">
      <formula>$C$3</formula>
    </cfRule>
  </conditionalFormatting>
  <dataValidations count="4">
    <dataValidation type="list" allowBlank="1" showInputMessage="1" showErrorMessage="1" sqref="J5:J65408 G5:G65408" xr:uid="{00000000-0002-0000-0500-000000000000}">
      <formula1>RTWMPG</formula1>
    </dataValidation>
    <dataValidation type="list" allowBlank="1" showInputMessage="1" showErrorMessage="1" sqref="D5:D65408" xr:uid="{00000000-0002-0000-0500-000001000000}">
      <formula1>Namen</formula1>
    </dataValidation>
    <dataValidation type="list" allowBlank="1" showInputMessage="1" showErrorMessage="1" sqref="M5:M65408" xr:uid="{00000000-0002-0000-0500-000002000000}">
      <formula1>Reko</formula1>
    </dataValidation>
    <dataValidation type="list" allowBlank="1" showInputMessage="1" showErrorMessage="1" sqref="K5:K1048576" xr:uid="{00000000-0002-0000-0500-000003000000}">
      <formula1>Fehlerkategorie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locked="0" defaultSize="0" autoFill="0" autoLine="0" r:id="rId5">
            <anchor moveWithCells="1">
              <from>
                <xdr:col>4</xdr:col>
                <xdr:colOff>28575</xdr:colOff>
                <xdr:row>1</xdr:row>
                <xdr:rowOff>9525</xdr:rowOff>
              </from>
              <to>
                <xdr:col>7</xdr:col>
                <xdr:colOff>3981450</xdr:colOff>
                <xdr:row>2</xdr:row>
                <xdr:rowOff>304800</xdr:rowOff>
              </to>
            </anchor>
          </controlPr>
        </control>
      </mc:Choice>
      <mc:Fallback>
        <control shapeId="1030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xg">
    <tabColor indexed="46"/>
  </sheetPr>
  <dimension ref="A1:N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11.42578125" defaultRowHeight="12.75" x14ac:dyDescent="0.2"/>
  <cols>
    <col min="1" max="1" width="2.42578125" style="1" customWidth="1"/>
    <col min="2" max="2" width="2.42578125" style="14" customWidth="1"/>
    <col min="3" max="3" width="16.5703125" style="13" customWidth="1"/>
    <col min="4" max="4" width="16.5703125" style="7" customWidth="1"/>
    <col min="5" max="5" width="60.5703125" style="10" customWidth="1"/>
    <col min="6" max="6" width="16.5703125" style="13" customWidth="1"/>
    <col min="7" max="7" width="15" style="9" customWidth="1"/>
    <col min="8" max="8" width="60.5703125" style="10" customWidth="1"/>
    <col min="9" max="9" width="16.5703125" style="13" customWidth="1"/>
    <col min="10" max="10" width="13.5703125" style="11" customWidth="1"/>
    <col min="11" max="11" width="9.85546875" style="11" bestFit="1" customWidth="1"/>
    <col min="12" max="12" width="60.5703125" style="12" customWidth="1"/>
    <col min="13" max="13" width="23.5703125" style="12" customWidth="1"/>
    <col min="14" max="14" width="2.42578125" style="1" customWidth="1"/>
  </cols>
  <sheetData>
    <row r="1" spans="1:14" ht="13.5" thickBot="1" x14ac:dyDescent="0.25">
      <c r="A1" s="125" t="str">
        <f ca="1">MID(CELL("dateiname",A1),FIND("]",CELL("dateiname",A1))+1,255)</f>
        <v>Organisation Ambulanz</v>
      </c>
      <c r="B1" s="1"/>
      <c r="C1" s="16"/>
      <c r="D1" s="17"/>
      <c r="E1" s="18"/>
      <c r="F1" s="16"/>
      <c r="G1" s="1"/>
      <c r="H1" s="18"/>
      <c r="I1" s="16"/>
      <c r="J1" s="19"/>
      <c r="K1" s="19"/>
      <c r="L1" s="20"/>
      <c r="M1" s="20"/>
    </row>
    <row r="2" spans="1:14" ht="25.35" customHeight="1" thickTop="1" x14ac:dyDescent="0.2">
      <c r="B2" s="6"/>
      <c r="C2" s="126" t="s">
        <v>23</v>
      </c>
      <c r="D2" s="127" t="s">
        <v>24</v>
      </c>
      <c r="E2" s="21"/>
      <c r="F2" s="22"/>
      <c r="G2"/>
      <c r="H2" s="21"/>
      <c r="I2" s="83" t="s">
        <v>25</v>
      </c>
      <c r="J2" s="69"/>
      <c r="K2" s="69"/>
      <c r="L2"/>
      <c r="M2" s="120"/>
    </row>
    <row r="3" spans="1:14" s="26" customFormat="1" ht="25.35" customHeight="1" x14ac:dyDescent="0.2">
      <c r="A3" s="23"/>
      <c r="B3" s="28"/>
      <c r="C3" s="144">
        <f>COUNTA(D5:D64892)</f>
        <v>1</v>
      </c>
      <c r="D3" s="144">
        <f>COUNTA(J5:J64892)</f>
        <v>1</v>
      </c>
      <c r="E3" s="25"/>
      <c r="G3"/>
      <c r="H3" s="25"/>
      <c r="I3" s="123"/>
      <c r="J3" s="123"/>
      <c r="K3" s="123"/>
      <c r="L3" s="49"/>
      <c r="M3" s="121"/>
      <c r="N3" s="23"/>
    </row>
    <row r="4" spans="1:14" ht="30" customHeight="1" x14ac:dyDescent="0.2">
      <c r="B4" s="27"/>
      <c r="C4" s="131" t="s">
        <v>26</v>
      </c>
      <c r="D4" s="132" t="s">
        <v>27</v>
      </c>
      <c r="E4" s="131" t="s">
        <v>28</v>
      </c>
      <c r="F4" s="132" t="s">
        <v>29</v>
      </c>
      <c r="G4" s="131" t="s">
        <v>30</v>
      </c>
      <c r="H4" s="132" t="s">
        <v>31</v>
      </c>
      <c r="I4" s="132" t="s">
        <v>32</v>
      </c>
      <c r="J4" s="132" t="s">
        <v>33</v>
      </c>
      <c r="K4" s="132" t="s">
        <v>34</v>
      </c>
      <c r="L4" s="132" t="s">
        <v>35</v>
      </c>
      <c r="M4" s="135" t="s">
        <v>36</v>
      </c>
    </row>
    <row r="5" spans="1:14" x14ac:dyDescent="0.2">
      <c r="E5" s="13"/>
      <c r="F5" s="9"/>
      <c r="G5" s="10"/>
    </row>
    <row r="6" spans="1:14" ht="25.5" x14ac:dyDescent="0.2">
      <c r="B6" s="62"/>
      <c r="C6" s="138">
        <v>45888.452523148146</v>
      </c>
      <c r="D6" s="139" t="s">
        <v>58</v>
      </c>
      <c r="E6" s="140" t="s">
        <v>75</v>
      </c>
      <c r="F6" s="138">
        <v>45888.457199074073</v>
      </c>
      <c r="G6" s="141" t="s">
        <v>58</v>
      </c>
      <c r="H6" s="140" t="s">
        <v>76</v>
      </c>
      <c r="I6" s="138">
        <v>45888.460023148145</v>
      </c>
      <c r="J6" s="142" t="s">
        <v>58</v>
      </c>
      <c r="K6" s="142" t="s">
        <v>46</v>
      </c>
    </row>
    <row r="7" spans="1:14" x14ac:dyDescent="0.2">
      <c r="B7" s="62"/>
      <c r="C7" s="65"/>
      <c r="D7" s="21"/>
      <c r="E7" s="13"/>
      <c r="F7" s="68"/>
      <c r="G7" s="10"/>
      <c r="I7" s="8"/>
    </row>
  </sheetData>
  <sheetProtection sheet="1" objects="1" scenarios="1"/>
  <mergeCells count="2">
    <mergeCell ref="M2:M3"/>
    <mergeCell ref="I2:K3"/>
  </mergeCells>
  <phoneticPr fontId="0" type="noConversion"/>
  <conditionalFormatting sqref="C3">
    <cfRule type="cellIs" dxfId="19" priority="1" stopIfTrue="1" operator="equal">
      <formula>$D$3</formula>
    </cfRule>
    <cfRule type="cellIs" dxfId="18" priority="2" stopIfTrue="1" operator="notEqual">
      <formula>$D$3</formula>
    </cfRule>
  </conditionalFormatting>
  <conditionalFormatting sqref="D3">
    <cfRule type="cellIs" dxfId="17" priority="3" stopIfTrue="1" operator="equal">
      <formula>$C$3</formula>
    </cfRule>
    <cfRule type="cellIs" dxfId="16" priority="4" stopIfTrue="1" operator="notEqual">
      <formula>$C$3</formula>
    </cfRule>
  </conditionalFormatting>
  <dataValidations count="4">
    <dataValidation type="list" allowBlank="1" showInputMessage="1" showErrorMessage="1" sqref="G5:G65428 J5:J65428" xr:uid="{00000000-0002-0000-0600-000000000000}">
      <formula1>OrganisationAmbulanz</formula1>
    </dataValidation>
    <dataValidation type="list" allowBlank="1" showInputMessage="1" showErrorMessage="1" sqref="D5:D65428" xr:uid="{00000000-0002-0000-0600-000001000000}">
      <formula1>Namen</formula1>
    </dataValidation>
    <dataValidation type="list" allowBlank="1" showInputMessage="1" showErrorMessage="1" sqref="M5:M65428" xr:uid="{00000000-0002-0000-0600-000002000000}">
      <formula1>Reko</formula1>
    </dataValidation>
    <dataValidation type="list" allowBlank="1" showInputMessage="1" showErrorMessage="1" sqref="K5:K1048576" xr:uid="{00000000-0002-0000-0600-000003000000}">
      <formula1>Fehlerkategorie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locked="0" defaultSize="0" autoLine="0" r:id="rId5">
            <anchor moveWithCells="1">
              <from>
                <xdr:col>4</xdr:col>
                <xdr:colOff>28575</xdr:colOff>
                <xdr:row>1</xdr:row>
                <xdr:rowOff>9525</xdr:rowOff>
              </from>
              <to>
                <xdr:col>7</xdr:col>
                <xdr:colOff>3981450</xdr:colOff>
                <xdr:row>2</xdr:row>
                <xdr:rowOff>304800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xh1">
    <tabColor theme="5" tint="-0.499984740745262"/>
  </sheetPr>
  <dimension ref="A1:N37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3" sqref="C3"/>
    </sheetView>
  </sheetViews>
  <sheetFormatPr baseColWidth="10" defaultColWidth="11.42578125" defaultRowHeight="12.75" x14ac:dyDescent="0.2"/>
  <cols>
    <col min="1" max="1" width="2.42578125" style="1" customWidth="1"/>
    <col min="2" max="2" width="2.42578125" style="14" customWidth="1"/>
    <col min="3" max="3" width="16.5703125" style="13" customWidth="1"/>
    <col min="4" max="4" width="16.5703125" style="7" customWidth="1"/>
    <col min="5" max="5" width="60.5703125" style="10" customWidth="1"/>
    <col min="6" max="6" width="16.5703125" style="13" customWidth="1"/>
    <col min="7" max="7" width="15" style="9" customWidth="1"/>
    <col min="8" max="8" width="60.5703125" style="10" customWidth="1"/>
    <col min="9" max="9" width="16.5703125" style="13" customWidth="1"/>
    <col min="10" max="10" width="13.5703125" style="11" customWidth="1"/>
    <col min="11" max="11" width="9.85546875" style="11" bestFit="1" customWidth="1"/>
    <col min="12" max="12" width="60.5703125" style="12" customWidth="1"/>
    <col min="13" max="13" width="23.5703125" style="12" customWidth="1"/>
    <col min="14" max="14" width="2.42578125" style="1" customWidth="1"/>
  </cols>
  <sheetData>
    <row r="1" spans="1:14" ht="13.5" thickBot="1" x14ac:dyDescent="0.25">
      <c r="A1" s="125" t="str">
        <f ca="1">MID(CELL("dateiname",A1),FIND("]",CELL("dateiname",A1))+1,255)</f>
        <v>Ablauf&amp;Prozessprobleme</v>
      </c>
      <c r="B1" s="1"/>
      <c r="C1" s="16"/>
      <c r="D1" s="17"/>
      <c r="E1" s="18"/>
      <c r="F1" s="16"/>
      <c r="G1" s="1"/>
      <c r="H1" s="18"/>
      <c r="I1" s="16"/>
      <c r="J1" s="19"/>
      <c r="K1" s="19"/>
      <c r="L1" s="20"/>
      <c r="M1" s="20"/>
    </row>
    <row r="2" spans="1:14" ht="25.35" customHeight="1" thickTop="1" x14ac:dyDescent="0.2">
      <c r="B2" s="6"/>
      <c r="C2" s="126" t="s">
        <v>23</v>
      </c>
      <c r="D2" s="127" t="s">
        <v>24</v>
      </c>
      <c r="E2" s="21"/>
      <c r="F2" s="22"/>
      <c r="G2"/>
      <c r="H2" s="21"/>
      <c r="I2" s="83" t="s">
        <v>25</v>
      </c>
      <c r="J2" s="69"/>
      <c r="K2" s="69"/>
      <c r="L2"/>
      <c r="M2" s="120"/>
    </row>
    <row r="3" spans="1:14" s="26" customFormat="1" ht="25.35" customHeight="1" thickBot="1" x14ac:dyDescent="0.25">
      <c r="A3" s="23"/>
      <c r="B3" s="28"/>
      <c r="C3" s="128">
        <f>COUNTA(D5:D64920)</f>
        <v>6</v>
      </c>
      <c r="D3" s="136">
        <f>COUNTA(J5:J64920)</f>
        <v>3</v>
      </c>
      <c r="E3" s="25"/>
      <c r="G3"/>
      <c r="H3" s="25"/>
      <c r="I3" s="123"/>
      <c r="J3" s="123"/>
      <c r="K3" s="123"/>
      <c r="L3" s="49"/>
      <c r="M3" s="121"/>
      <c r="N3" s="23"/>
    </row>
    <row r="4" spans="1:14" ht="30" customHeight="1" thickTop="1" x14ac:dyDescent="0.2">
      <c r="B4" s="27"/>
      <c r="C4" s="137" t="s">
        <v>26</v>
      </c>
      <c r="D4" s="133" t="s">
        <v>27</v>
      </c>
      <c r="E4" s="131" t="s">
        <v>28</v>
      </c>
      <c r="F4" s="132" t="s">
        <v>29</v>
      </c>
      <c r="G4" s="131" t="s">
        <v>30</v>
      </c>
      <c r="H4" s="132" t="s">
        <v>31</v>
      </c>
      <c r="I4" s="132" t="s">
        <v>32</v>
      </c>
      <c r="J4" s="132" t="s">
        <v>33</v>
      </c>
      <c r="K4" s="132" t="s">
        <v>34</v>
      </c>
      <c r="L4" s="132" t="s">
        <v>35</v>
      </c>
      <c r="M4" s="135" t="s">
        <v>36</v>
      </c>
    </row>
    <row r="5" spans="1:14" ht="25.5" x14ac:dyDescent="0.2">
      <c r="B5" s="67"/>
      <c r="C5" s="138">
        <v>45901.463587962964</v>
      </c>
      <c r="D5" s="139" t="s">
        <v>48</v>
      </c>
      <c r="E5" s="140" t="s">
        <v>77</v>
      </c>
      <c r="F5" s="139">
        <v>45922</v>
      </c>
      <c r="G5" s="141" t="s">
        <v>58</v>
      </c>
      <c r="H5" s="140" t="s">
        <v>78</v>
      </c>
      <c r="I5" s="9"/>
      <c r="K5" s="142" t="s">
        <v>46</v>
      </c>
    </row>
    <row r="6" spans="1:14" ht="38.25" x14ac:dyDescent="0.2">
      <c r="B6" s="67"/>
      <c r="C6" s="138">
        <v>45901.470949074072</v>
      </c>
      <c r="D6" s="139" t="s">
        <v>48</v>
      </c>
      <c r="E6" s="140" t="s">
        <v>79</v>
      </c>
      <c r="F6" s="139">
        <v>45902</v>
      </c>
      <c r="G6" s="141" t="s">
        <v>58</v>
      </c>
      <c r="H6" s="140" t="s">
        <v>80</v>
      </c>
      <c r="I6" s="139">
        <v>45904</v>
      </c>
      <c r="J6" s="142" t="s">
        <v>44</v>
      </c>
      <c r="K6" s="142" t="s">
        <v>41</v>
      </c>
    </row>
    <row r="7" spans="1:14" ht="25.5" x14ac:dyDescent="0.2">
      <c r="B7" s="67"/>
      <c r="C7" s="138">
        <v>45923.370972222219</v>
      </c>
      <c r="D7" s="139" t="s">
        <v>48</v>
      </c>
      <c r="E7" s="140" t="s">
        <v>81</v>
      </c>
      <c r="F7" s="139">
        <v>45923</v>
      </c>
      <c r="G7" s="141" t="s">
        <v>58</v>
      </c>
      <c r="H7" s="140" t="s">
        <v>82</v>
      </c>
      <c r="I7" s="139">
        <v>45923</v>
      </c>
      <c r="J7" s="142" t="s">
        <v>83</v>
      </c>
      <c r="K7" s="142" t="s">
        <v>84</v>
      </c>
    </row>
    <row r="8" spans="1:14" ht="25.5" x14ac:dyDescent="0.2">
      <c r="B8" s="67"/>
      <c r="C8" s="138">
        <v>45923.663946759261</v>
      </c>
      <c r="D8" s="139" t="s">
        <v>70</v>
      </c>
      <c r="E8" s="140" t="s">
        <v>85</v>
      </c>
      <c r="F8" s="139">
        <v>45924</v>
      </c>
      <c r="G8" s="141" t="s">
        <v>58</v>
      </c>
      <c r="H8" s="140" t="s">
        <v>86</v>
      </c>
      <c r="I8" s="139">
        <v>45924</v>
      </c>
      <c r="J8" s="142" t="s">
        <v>58</v>
      </c>
      <c r="K8" s="142" t="s">
        <v>41</v>
      </c>
      <c r="L8" s="143" t="s">
        <v>87</v>
      </c>
    </row>
    <row r="9" spans="1:14" ht="25.5" x14ac:dyDescent="0.2">
      <c r="B9" s="67"/>
      <c r="C9" s="138">
        <v>45926.343518518515</v>
      </c>
      <c r="D9" s="139" t="s">
        <v>58</v>
      </c>
      <c r="E9" s="140" t="s">
        <v>88</v>
      </c>
      <c r="F9" s="138">
        <v>45926.343298611115</v>
      </c>
      <c r="G9" s="141" t="s">
        <v>58</v>
      </c>
      <c r="H9" s="140" t="s">
        <v>89</v>
      </c>
      <c r="I9" s="9"/>
      <c r="K9" s="142" t="s">
        <v>41</v>
      </c>
    </row>
    <row r="10" spans="1:14" x14ac:dyDescent="0.2">
      <c r="B10" s="67"/>
      <c r="C10" s="138">
        <v>45950.298101851855</v>
      </c>
      <c r="D10" s="139" t="s">
        <v>39</v>
      </c>
      <c r="E10" s="140" t="s">
        <v>90</v>
      </c>
      <c r="F10" s="9"/>
      <c r="I10" s="9"/>
    </row>
    <row r="11" spans="1:14" x14ac:dyDescent="0.2">
      <c r="C11" s="9"/>
      <c r="F11" s="9"/>
      <c r="I11" s="9"/>
    </row>
    <row r="12" spans="1:14" x14ac:dyDescent="0.2">
      <c r="C12" s="9"/>
      <c r="F12" s="9"/>
      <c r="I12" s="9"/>
    </row>
    <row r="13" spans="1:14" x14ac:dyDescent="0.2">
      <c r="C13" s="9"/>
      <c r="F13" s="9"/>
      <c r="I13" s="9"/>
    </row>
    <row r="14" spans="1:14" x14ac:dyDescent="0.2">
      <c r="C14" s="9"/>
      <c r="F14" s="9"/>
      <c r="I14" s="9"/>
    </row>
    <row r="15" spans="1:14" x14ac:dyDescent="0.2">
      <c r="C15" s="9"/>
      <c r="F15" s="9"/>
      <c r="I15" s="9"/>
    </row>
    <row r="16" spans="1:14" x14ac:dyDescent="0.2">
      <c r="C16" s="9"/>
      <c r="F16" s="9"/>
      <c r="I16" s="9"/>
    </row>
    <row r="17" spans="3:9" x14ac:dyDescent="0.2">
      <c r="C17" s="9"/>
      <c r="F17" s="9"/>
      <c r="I17" s="9"/>
    </row>
    <row r="18" spans="3:9" x14ac:dyDescent="0.2">
      <c r="C18" s="7"/>
      <c r="F18" s="9"/>
      <c r="I18" s="9"/>
    </row>
    <row r="19" spans="3:9" x14ac:dyDescent="0.2">
      <c r="C19" s="9"/>
      <c r="F19" s="9"/>
      <c r="I19" s="9"/>
    </row>
    <row r="20" spans="3:9" x14ac:dyDescent="0.2">
      <c r="C20" s="9"/>
      <c r="F20" s="9"/>
      <c r="I20" s="9"/>
    </row>
    <row r="21" spans="3:9" x14ac:dyDescent="0.2">
      <c r="C21" s="9"/>
      <c r="F21" s="9"/>
      <c r="I21" s="9"/>
    </row>
    <row r="22" spans="3:9" x14ac:dyDescent="0.2">
      <c r="C22" s="9"/>
      <c r="F22" s="9"/>
      <c r="I22" s="9"/>
    </row>
    <row r="23" spans="3:9" x14ac:dyDescent="0.2">
      <c r="C23" s="9"/>
      <c r="F23" s="9"/>
      <c r="I23" s="9"/>
    </row>
    <row r="24" spans="3:9" x14ac:dyDescent="0.2">
      <c r="C24" s="9"/>
      <c r="F24" s="9"/>
      <c r="I24" s="9"/>
    </row>
    <row r="25" spans="3:9" x14ac:dyDescent="0.2">
      <c r="C25" s="9"/>
      <c r="F25" s="9"/>
      <c r="I25" s="9"/>
    </row>
    <row r="26" spans="3:9" x14ac:dyDescent="0.2">
      <c r="C26" s="9"/>
      <c r="F26" s="9"/>
      <c r="I26" s="9"/>
    </row>
    <row r="27" spans="3:9" x14ac:dyDescent="0.2">
      <c r="C27" s="9"/>
      <c r="F27" s="9"/>
      <c r="I27" s="9"/>
    </row>
    <row r="28" spans="3:9" x14ac:dyDescent="0.2">
      <c r="C28" s="9"/>
      <c r="F28" s="9"/>
      <c r="I28" s="9"/>
    </row>
    <row r="29" spans="3:9" x14ac:dyDescent="0.2">
      <c r="C29" s="9"/>
      <c r="F29" s="9"/>
      <c r="I29" s="9"/>
    </row>
    <row r="30" spans="3:9" x14ac:dyDescent="0.2">
      <c r="C30" s="9"/>
      <c r="F30" s="9"/>
      <c r="I30" s="9"/>
    </row>
    <row r="31" spans="3:9" x14ac:dyDescent="0.2">
      <c r="C31" s="9"/>
      <c r="F31" s="9"/>
      <c r="I31" s="9"/>
    </row>
    <row r="32" spans="3:9" x14ac:dyDescent="0.2">
      <c r="C32" s="9"/>
      <c r="F32" s="9"/>
      <c r="I32" s="9"/>
    </row>
    <row r="33" spans="3:9" x14ac:dyDescent="0.2">
      <c r="C33" s="9"/>
      <c r="F33" s="9"/>
      <c r="I33" s="9"/>
    </row>
    <row r="34" spans="3:9" x14ac:dyDescent="0.2">
      <c r="C34" s="9"/>
      <c r="F34" s="9"/>
      <c r="I34" s="9"/>
    </row>
    <row r="35" spans="3:9" x14ac:dyDescent="0.2">
      <c r="C35" s="9"/>
      <c r="F35" s="9"/>
      <c r="I35" s="9"/>
    </row>
    <row r="36" spans="3:9" x14ac:dyDescent="0.2">
      <c r="C36" s="9"/>
      <c r="F36" s="9"/>
      <c r="I36" s="9"/>
    </row>
    <row r="37" spans="3:9" x14ac:dyDescent="0.2">
      <c r="C37" s="9"/>
      <c r="F37" s="9"/>
      <c r="I37" s="9"/>
    </row>
    <row r="38" spans="3:9" x14ac:dyDescent="0.2">
      <c r="C38" s="9"/>
      <c r="F38" s="9"/>
      <c r="I38" s="9"/>
    </row>
    <row r="39" spans="3:9" x14ac:dyDescent="0.2">
      <c r="C39" s="9"/>
      <c r="F39" s="9"/>
      <c r="I39" s="9"/>
    </row>
    <row r="40" spans="3:9" x14ac:dyDescent="0.2">
      <c r="C40" s="9"/>
      <c r="F40" s="9"/>
      <c r="I40" s="9"/>
    </row>
    <row r="41" spans="3:9" x14ac:dyDescent="0.2">
      <c r="C41" s="9"/>
      <c r="F41" s="9"/>
      <c r="I41" s="9"/>
    </row>
    <row r="42" spans="3:9" x14ac:dyDescent="0.2">
      <c r="C42" s="9"/>
      <c r="F42" s="9"/>
      <c r="I42" s="9"/>
    </row>
    <row r="43" spans="3:9" x14ac:dyDescent="0.2">
      <c r="C43" s="9"/>
      <c r="F43" s="9"/>
      <c r="I43" s="9"/>
    </row>
    <row r="44" spans="3:9" x14ac:dyDescent="0.2">
      <c r="C44" s="9"/>
      <c r="F44" s="9"/>
      <c r="I44" s="9"/>
    </row>
    <row r="45" spans="3:9" x14ac:dyDescent="0.2">
      <c r="C45" s="9"/>
      <c r="F45" s="9"/>
      <c r="I45" s="9"/>
    </row>
    <row r="46" spans="3:9" x14ac:dyDescent="0.2">
      <c r="C46" s="9"/>
      <c r="F46" s="9"/>
      <c r="I46" s="9"/>
    </row>
    <row r="47" spans="3:9" x14ac:dyDescent="0.2">
      <c r="C47" s="9"/>
      <c r="F47" s="9"/>
      <c r="I47" s="9"/>
    </row>
    <row r="48" spans="3:9" x14ac:dyDescent="0.2">
      <c r="C48" s="9"/>
      <c r="F48" s="9"/>
      <c r="I48" s="9"/>
    </row>
    <row r="49" spans="3:9" x14ac:dyDescent="0.2">
      <c r="C49" s="9"/>
      <c r="F49" s="9"/>
      <c r="I49" s="9"/>
    </row>
    <row r="50" spans="3:9" x14ac:dyDescent="0.2">
      <c r="C50" s="9"/>
      <c r="F50" s="9"/>
      <c r="I50" s="9"/>
    </row>
    <row r="51" spans="3:9" x14ac:dyDescent="0.2">
      <c r="C51" s="9"/>
      <c r="F51" s="9"/>
      <c r="I51" s="9"/>
    </row>
    <row r="52" spans="3:9" x14ac:dyDescent="0.2">
      <c r="C52" s="9"/>
      <c r="F52" s="9"/>
      <c r="I52" s="9"/>
    </row>
    <row r="53" spans="3:9" x14ac:dyDescent="0.2">
      <c r="C53" s="9"/>
      <c r="F53" s="9"/>
      <c r="I53" s="9"/>
    </row>
    <row r="54" spans="3:9" x14ac:dyDescent="0.2">
      <c r="C54" s="9"/>
      <c r="F54" s="9"/>
      <c r="I54" s="9"/>
    </row>
    <row r="55" spans="3:9" x14ac:dyDescent="0.2">
      <c r="C55" s="9"/>
      <c r="F55" s="9"/>
      <c r="I55" s="9"/>
    </row>
    <row r="56" spans="3:9" x14ac:dyDescent="0.2">
      <c r="C56" s="9"/>
      <c r="F56" s="9"/>
      <c r="I56" s="9"/>
    </row>
    <row r="57" spans="3:9" x14ac:dyDescent="0.2">
      <c r="C57" s="9"/>
      <c r="F57" s="9"/>
      <c r="I57" s="9"/>
    </row>
    <row r="58" spans="3:9" x14ac:dyDescent="0.2">
      <c r="C58" s="9"/>
      <c r="F58" s="9"/>
      <c r="I58" s="9"/>
    </row>
    <row r="59" spans="3:9" x14ac:dyDescent="0.2">
      <c r="C59" s="9"/>
      <c r="F59" s="9"/>
      <c r="I59" s="9"/>
    </row>
    <row r="60" spans="3:9" x14ac:dyDescent="0.2">
      <c r="C60" s="9"/>
      <c r="F60" s="9"/>
      <c r="I60" s="9"/>
    </row>
    <row r="61" spans="3:9" x14ac:dyDescent="0.2">
      <c r="C61" s="9"/>
      <c r="F61" s="9"/>
      <c r="I61" s="9"/>
    </row>
    <row r="62" spans="3:9" x14ac:dyDescent="0.2">
      <c r="C62" s="9"/>
      <c r="F62" s="9"/>
      <c r="I62" s="9"/>
    </row>
    <row r="63" spans="3:9" x14ac:dyDescent="0.2">
      <c r="C63" s="9"/>
      <c r="F63" s="9"/>
      <c r="I63" s="9"/>
    </row>
    <row r="64" spans="3:9" x14ac:dyDescent="0.2">
      <c r="C64" s="9"/>
      <c r="F64" s="9"/>
      <c r="I64" s="9"/>
    </row>
    <row r="65" spans="3:9" x14ac:dyDescent="0.2">
      <c r="C65" s="9"/>
      <c r="F65" s="9"/>
      <c r="I65" s="9"/>
    </row>
    <row r="66" spans="3:9" x14ac:dyDescent="0.2">
      <c r="C66" s="9"/>
      <c r="F66" s="9"/>
      <c r="I66" s="9"/>
    </row>
    <row r="67" spans="3:9" x14ac:dyDescent="0.2">
      <c r="C67" s="9"/>
      <c r="F67" s="9"/>
      <c r="I67" s="9"/>
    </row>
    <row r="68" spans="3:9" x14ac:dyDescent="0.2">
      <c r="C68" s="9"/>
      <c r="F68" s="9"/>
      <c r="I68" s="9"/>
    </row>
    <row r="69" spans="3:9" x14ac:dyDescent="0.2">
      <c r="C69" s="9"/>
      <c r="F69" s="9"/>
      <c r="I69" s="9"/>
    </row>
    <row r="70" spans="3:9" x14ac:dyDescent="0.2">
      <c r="C70" s="9"/>
      <c r="F70" s="9"/>
      <c r="I70" s="9"/>
    </row>
    <row r="71" spans="3:9" x14ac:dyDescent="0.2">
      <c r="C71" s="9"/>
      <c r="F71" s="9"/>
      <c r="I71" s="9"/>
    </row>
    <row r="72" spans="3:9" x14ac:dyDescent="0.2">
      <c r="C72" s="9"/>
      <c r="F72" s="9"/>
      <c r="I72" s="9"/>
    </row>
    <row r="73" spans="3:9" x14ac:dyDescent="0.2">
      <c r="C73" s="9"/>
      <c r="F73" s="9"/>
      <c r="I73" s="9"/>
    </row>
    <row r="74" spans="3:9" x14ac:dyDescent="0.2">
      <c r="C74" s="9"/>
      <c r="F74" s="9"/>
      <c r="I74" s="9"/>
    </row>
    <row r="75" spans="3:9" x14ac:dyDescent="0.2">
      <c r="C75" s="9"/>
      <c r="F75" s="9"/>
      <c r="I75" s="9"/>
    </row>
    <row r="76" spans="3:9" x14ac:dyDescent="0.2">
      <c r="C76" s="9"/>
      <c r="F76" s="9"/>
      <c r="I76" s="9"/>
    </row>
    <row r="77" spans="3:9" x14ac:dyDescent="0.2">
      <c r="C77" s="9"/>
      <c r="F77" s="9"/>
      <c r="I77" s="9"/>
    </row>
    <row r="78" spans="3:9" x14ac:dyDescent="0.2">
      <c r="C78" s="9"/>
      <c r="F78" s="9"/>
      <c r="I78" s="9"/>
    </row>
    <row r="79" spans="3:9" x14ac:dyDescent="0.2">
      <c r="C79" s="9"/>
      <c r="F79" s="9"/>
      <c r="I79" s="9"/>
    </row>
    <row r="80" spans="3:9" x14ac:dyDescent="0.2">
      <c r="C80" s="9"/>
      <c r="F80" s="9"/>
      <c r="I80" s="9"/>
    </row>
    <row r="81" spans="3:9" x14ac:dyDescent="0.2">
      <c r="C81" s="9"/>
      <c r="F81" s="9"/>
      <c r="I81" s="9"/>
    </row>
    <row r="82" spans="3:9" x14ac:dyDescent="0.2">
      <c r="C82" s="9"/>
      <c r="F82" s="9"/>
      <c r="I82" s="9"/>
    </row>
    <row r="83" spans="3:9" x14ac:dyDescent="0.2">
      <c r="C83" s="9"/>
      <c r="F83" s="9"/>
      <c r="I83" s="9"/>
    </row>
    <row r="84" spans="3:9" x14ac:dyDescent="0.2">
      <c r="C84" s="9"/>
      <c r="F84" s="9"/>
      <c r="I84" s="9"/>
    </row>
    <row r="85" spans="3:9" x14ac:dyDescent="0.2">
      <c r="C85" s="9"/>
      <c r="F85" s="9"/>
      <c r="I85" s="9"/>
    </row>
    <row r="86" spans="3:9" x14ac:dyDescent="0.2">
      <c r="C86" s="9"/>
      <c r="F86" s="9"/>
      <c r="I86" s="9"/>
    </row>
    <row r="87" spans="3:9" x14ac:dyDescent="0.2">
      <c r="C87" s="9"/>
      <c r="F87" s="9"/>
      <c r="I87" s="9"/>
    </row>
    <row r="88" spans="3:9" x14ac:dyDescent="0.2">
      <c r="C88" s="9"/>
      <c r="F88" s="9"/>
      <c r="I88" s="9"/>
    </row>
    <row r="89" spans="3:9" x14ac:dyDescent="0.2">
      <c r="C89" s="9"/>
      <c r="F89" s="9"/>
      <c r="I89" s="9"/>
    </row>
    <row r="90" spans="3:9" x14ac:dyDescent="0.2">
      <c r="C90" s="9"/>
      <c r="F90" s="9"/>
      <c r="I90" s="9"/>
    </row>
    <row r="91" spans="3:9" x14ac:dyDescent="0.2">
      <c r="C91" s="9"/>
      <c r="F91" s="9"/>
      <c r="I91" s="9"/>
    </row>
    <row r="92" spans="3:9" x14ac:dyDescent="0.2">
      <c r="C92" s="9"/>
      <c r="F92" s="9"/>
      <c r="I92" s="9"/>
    </row>
    <row r="93" spans="3:9" x14ac:dyDescent="0.2">
      <c r="C93" s="9"/>
      <c r="F93" s="9"/>
      <c r="I93" s="9"/>
    </row>
    <row r="94" spans="3:9" x14ac:dyDescent="0.2">
      <c r="C94" s="9"/>
      <c r="F94" s="9"/>
      <c r="I94" s="9"/>
    </row>
    <row r="95" spans="3:9" x14ac:dyDescent="0.2">
      <c r="C95" s="9"/>
      <c r="F95" s="9"/>
      <c r="I95" s="9"/>
    </row>
    <row r="96" spans="3:9" x14ac:dyDescent="0.2">
      <c r="C96" s="9"/>
      <c r="F96" s="9"/>
      <c r="I96" s="9"/>
    </row>
    <row r="97" spans="3:9" x14ac:dyDescent="0.2">
      <c r="C97" s="9"/>
      <c r="F97" s="9"/>
      <c r="I97" s="9"/>
    </row>
    <row r="98" spans="3:9" x14ac:dyDescent="0.2">
      <c r="C98" s="9"/>
      <c r="F98" s="9"/>
      <c r="I98" s="9"/>
    </row>
    <row r="99" spans="3:9" x14ac:dyDescent="0.2">
      <c r="C99" s="9"/>
      <c r="F99" s="9"/>
      <c r="I99" s="9"/>
    </row>
    <row r="100" spans="3:9" x14ac:dyDescent="0.2">
      <c r="C100" s="9"/>
      <c r="F100" s="9"/>
      <c r="I100" s="9"/>
    </row>
    <row r="101" spans="3:9" x14ac:dyDescent="0.2">
      <c r="C101" s="9"/>
      <c r="F101" s="9"/>
      <c r="I101" s="9"/>
    </row>
    <row r="102" spans="3:9" x14ac:dyDescent="0.2">
      <c r="C102" s="9"/>
      <c r="F102" s="9"/>
      <c r="I102" s="9"/>
    </row>
    <row r="103" spans="3:9" x14ac:dyDescent="0.2">
      <c r="C103" s="9"/>
      <c r="F103" s="9"/>
      <c r="I103" s="9"/>
    </row>
    <row r="104" spans="3:9" x14ac:dyDescent="0.2">
      <c r="C104" s="9"/>
      <c r="F104" s="9"/>
      <c r="I104" s="9"/>
    </row>
    <row r="105" spans="3:9" x14ac:dyDescent="0.2">
      <c r="C105" s="9"/>
      <c r="F105" s="9"/>
      <c r="I105" s="9"/>
    </row>
    <row r="106" spans="3:9" x14ac:dyDescent="0.2">
      <c r="C106" s="9"/>
      <c r="F106" s="9"/>
      <c r="I106" s="9"/>
    </row>
    <row r="107" spans="3:9" x14ac:dyDescent="0.2">
      <c r="C107" s="9"/>
      <c r="F107" s="9"/>
      <c r="I107" s="9"/>
    </row>
    <row r="108" spans="3:9" x14ac:dyDescent="0.2">
      <c r="C108" s="9"/>
      <c r="F108" s="9"/>
      <c r="I108" s="9"/>
    </row>
    <row r="109" spans="3:9" x14ac:dyDescent="0.2">
      <c r="C109" s="9"/>
      <c r="F109" s="9"/>
      <c r="I109" s="9"/>
    </row>
    <row r="110" spans="3:9" x14ac:dyDescent="0.2">
      <c r="C110" s="9"/>
      <c r="F110" s="9"/>
      <c r="I110" s="9"/>
    </row>
    <row r="111" spans="3:9" x14ac:dyDescent="0.2">
      <c r="C111" s="9"/>
      <c r="F111" s="9"/>
      <c r="I111" s="9"/>
    </row>
    <row r="112" spans="3:9" x14ac:dyDescent="0.2">
      <c r="C112" s="9"/>
      <c r="F112" s="9"/>
      <c r="I112" s="9"/>
    </row>
    <row r="113" spans="3:9" x14ac:dyDescent="0.2">
      <c r="C113" s="9"/>
      <c r="F113" s="9"/>
      <c r="I113" s="9"/>
    </row>
    <row r="114" spans="3:9" x14ac:dyDescent="0.2">
      <c r="C114" s="9"/>
      <c r="F114" s="9"/>
      <c r="I114" s="9"/>
    </row>
    <row r="115" spans="3:9" x14ac:dyDescent="0.2">
      <c r="C115" s="9"/>
      <c r="F115" s="9"/>
      <c r="I115" s="9"/>
    </row>
    <row r="116" spans="3:9" x14ac:dyDescent="0.2">
      <c r="C116" s="9"/>
      <c r="F116" s="9"/>
      <c r="I116" s="9"/>
    </row>
    <row r="117" spans="3:9" x14ac:dyDescent="0.2">
      <c r="C117" s="9"/>
      <c r="F117" s="9"/>
      <c r="I117" s="9"/>
    </row>
    <row r="118" spans="3:9" x14ac:dyDescent="0.2">
      <c r="C118" s="9"/>
      <c r="F118" s="9"/>
      <c r="I118" s="9"/>
    </row>
    <row r="119" spans="3:9" x14ac:dyDescent="0.2">
      <c r="C119" s="9"/>
      <c r="F119" s="9"/>
      <c r="I119" s="9"/>
    </row>
    <row r="120" spans="3:9" x14ac:dyDescent="0.2">
      <c r="C120" s="9"/>
      <c r="F120" s="9"/>
      <c r="I120" s="9"/>
    </row>
    <row r="121" spans="3:9" x14ac:dyDescent="0.2">
      <c r="C121" s="9"/>
      <c r="F121" s="9"/>
      <c r="I121" s="9"/>
    </row>
    <row r="122" spans="3:9" x14ac:dyDescent="0.2">
      <c r="C122" s="9"/>
      <c r="F122" s="9"/>
      <c r="I122" s="9"/>
    </row>
    <row r="123" spans="3:9" x14ac:dyDescent="0.2">
      <c r="C123" s="9"/>
      <c r="F123" s="9"/>
      <c r="I123" s="9"/>
    </row>
    <row r="124" spans="3:9" x14ac:dyDescent="0.2">
      <c r="C124" s="9"/>
      <c r="F124" s="9"/>
      <c r="I124" s="9"/>
    </row>
    <row r="125" spans="3:9" x14ac:dyDescent="0.2">
      <c r="C125" s="9"/>
      <c r="F125" s="9"/>
      <c r="I125" s="9"/>
    </row>
    <row r="126" spans="3:9" x14ac:dyDescent="0.2">
      <c r="C126" s="9"/>
      <c r="F126" s="9"/>
      <c r="I126" s="9"/>
    </row>
    <row r="127" spans="3:9" x14ac:dyDescent="0.2">
      <c r="C127" s="9"/>
      <c r="F127" s="9"/>
      <c r="I127" s="9"/>
    </row>
    <row r="128" spans="3:9" x14ac:dyDescent="0.2">
      <c r="C128" s="9"/>
      <c r="F128" s="9"/>
      <c r="I128" s="9"/>
    </row>
    <row r="129" spans="3:9" x14ac:dyDescent="0.2">
      <c r="C129" s="9"/>
      <c r="F129" s="9"/>
      <c r="I129" s="9"/>
    </row>
    <row r="130" spans="3:9" x14ac:dyDescent="0.2">
      <c r="C130" s="9"/>
      <c r="F130" s="9"/>
      <c r="I130" s="9"/>
    </row>
    <row r="131" spans="3:9" x14ac:dyDescent="0.2">
      <c r="C131" s="9"/>
      <c r="F131" s="9"/>
      <c r="I131" s="9"/>
    </row>
    <row r="132" spans="3:9" x14ac:dyDescent="0.2">
      <c r="C132" s="9"/>
      <c r="F132" s="9"/>
      <c r="I132" s="9"/>
    </row>
    <row r="133" spans="3:9" x14ac:dyDescent="0.2">
      <c r="C133" s="9"/>
      <c r="F133" s="9"/>
      <c r="I133" s="9"/>
    </row>
    <row r="134" spans="3:9" x14ac:dyDescent="0.2">
      <c r="C134" s="9"/>
      <c r="F134" s="9"/>
      <c r="I134" s="9"/>
    </row>
    <row r="135" spans="3:9" x14ac:dyDescent="0.2">
      <c r="C135" s="9"/>
      <c r="F135" s="9"/>
      <c r="I135" s="9"/>
    </row>
    <row r="136" spans="3:9" x14ac:dyDescent="0.2">
      <c r="C136" s="9"/>
      <c r="F136" s="9"/>
      <c r="I136" s="9"/>
    </row>
    <row r="137" spans="3:9" x14ac:dyDescent="0.2">
      <c r="C137" s="9"/>
      <c r="F137" s="9"/>
      <c r="I137" s="9"/>
    </row>
    <row r="138" spans="3:9" x14ac:dyDescent="0.2">
      <c r="C138" s="9"/>
      <c r="F138" s="9"/>
      <c r="I138" s="9"/>
    </row>
    <row r="139" spans="3:9" x14ac:dyDescent="0.2">
      <c r="C139" s="9"/>
      <c r="F139" s="9"/>
      <c r="I139" s="9"/>
    </row>
    <row r="140" spans="3:9" x14ac:dyDescent="0.2">
      <c r="C140" s="9"/>
      <c r="F140" s="9"/>
      <c r="I140" s="9"/>
    </row>
    <row r="141" spans="3:9" x14ac:dyDescent="0.2">
      <c r="C141" s="9"/>
      <c r="F141" s="9"/>
      <c r="I141" s="9"/>
    </row>
    <row r="142" spans="3:9" x14ac:dyDescent="0.2">
      <c r="C142" s="9"/>
      <c r="F142" s="9"/>
      <c r="I142" s="9"/>
    </row>
    <row r="143" spans="3:9" x14ac:dyDescent="0.2">
      <c r="C143" s="9"/>
      <c r="F143" s="9"/>
      <c r="I143" s="9"/>
    </row>
    <row r="144" spans="3:9" x14ac:dyDescent="0.2">
      <c r="C144" s="9"/>
      <c r="F144" s="9"/>
      <c r="I144" s="9"/>
    </row>
    <row r="145" spans="3:9" x14ac:dyDescent="0.2">
      <c r="C145" s="9"/>
      <c r="F145" s="9"/>
      <c r="I145" s="9"/>
    </row>
    <row r="146" spans="3:9" x14ac:dyDescent="0.2">
      <c r="C146" s="9"/>
      <c r="F146" s="9"/>
      <c r="I146" s="9"/>
    </row>
    <row r="147" spans="3:9" x14ac:dyDescent="0.2">
      <c r="C147" s="9"/>
      <c r="F147" s="9"/>
      <c r="I147" s="9"/>
    </row>
    <row r="148" spans="3:9" x14ac:dyDescent="0.2">
      <c r="C148" s="9"/>
      <c r="F148" s="9"/>
      <c r="I148" s="9"/>
    </row>
    <row r="149" spans="3:9" x14ac:dyDescent="0.2">
      <c r="C149" s="9"/>
      <c r="F149" s="9"/>
      <c r="I149" s="9"/>
    </row>
    <row r="150" spans="3:9" x14ac:dyDescent="0.2">
      <c r="C150" s="9"/>
      <c r="F150" s="9"/>
      <c r="I150" s="9"/>
    </row>
    <row r="151" spans="3:9" x14ac:dyDescent="0.2">
      <c r="C151" s="9"/>
      <c r="F151" s="9"/>
      <c r="I151" s="9"/>
    </row>
    <row r="152" spans="3:9" x14ac:dyDescent="0.2">
      <c r="C152" s="9"/>
      <c r="F152" s="9"/>
      <c r="I152" s="9"/>
    </row>
    <row r="153" spans="3:9" x14ac:dyDescent="0.2">
      <c r="C153" s="9"/>
      <c r="F153" s="9"/>
      <c r="I153" s="9"/>
    </row>
    <row r="154" spans="3:9" x14ac:dyDescent="0.2">
      <c r="C154" s="9"/>
      <c r="F154" s="9"/>
      <c r="I154" s="9"/>
    </row>
    <row r="155" spans="3:9" x14ac:dyDescent="0.2">
      <c r="C155" s="9"/>
      <c r="F155" s="9"/>
      <c r="I155" s="9"/>
    </row>
    <row r="156" spans="3:9" x14ac:dyDescent="0.2">
      <c r="C156" s="9"/>
      <c r="F156" s="9"/>
      <c r="I156" s="9"/>
    </row>
    <row r="157" spans="3:9" x14ac:dyDescent="0.2">
      <c r="C157" s="9"/>
      <c r="F157" s="9"/>
      <c r="I157" s="9"/>
    </row>
    <row r="158" spans="3:9" x14ac:dyDescent="0.2">
      <c r="C158" s="9"/>
      <c r="F158" s="9"/>
      <c r="I158" s="9"/>
    </row>
    <row r="159" spans="3:9" x14ac:dyDescent="0.2">
      <c r="C159" s="9"/>
      <c r="F159" s="9"/>
      <c r="I159" s="9"/>
    </row>
    <row r="160" spans="3:9" x14ac:dyDescent="0.2">
      <c r="C160" s="9"/>
      <c r="F160" s="9"/>
      <c r="I160" s="9"/>
    </row>
    <row r="161" spans="3:9" x14ac:dyDescent="0.2">
      <c r="C161" s="9"/>
      <c r="F161" s="9"/>
      <c r="I161" s="9"/>
    </row>
    <row r="162" spans="3:9" x14ac:dyDescent="0.2">
      <c r="C162" s="9"/>
      <c r="F162" s="9"/>
      <c r="I162" s="9"/>
    </row>
    <row r="163" spans="3:9" x14ac:dyDescent="0.2">
      <c r="C163" s="9"/>
      <c r="F163" s="9"/>
      <c r="I163" s="9"/>
    </row>
    <row r="164" spans="3:9" x14ac:dyDescent="0.2">
      <c r="C164" s="9"/>
      <c r="F164" s="9"/>
      <c r="I164" s="9"/>
    </row>
    <row r="165" spans="3:9" x14ac:dyDescent="0.2">
      <c r="C165" s="9"/>
      <c r="F165" s="9"/>
      <c r="I165" s="9"/>
    </row>
    <row r="166" spans="3:9" x14ac:dyDescent="0.2">
      <c r="C166" s="9"/>
      <c r="F166" s="9"/>
      <c r="I166" s="9"/>
    </row>
    <row r="167" spans="3:9" x14ac:dyDescent="0.2">
      <c r="C167" s="9"/>
      <c r="F167" s="9"/>
      <c r="I167" s="9"/>
    </row>
    <row r="168" spans="3:9" x14ac:dyDescent="0.2">
      <c r="C168" s="9"/>
      <c r="F168" s="9"/>
      <c r="I168" s="9"/>
    </row>
    <row r="169" spans="3:9" x14ac:dyDescent="0.2">
      <c r="C169" s="9"/>
      <c r="F169" s="9"/>
      <c r="I169" s="9"/>
    </row>
    <row r="170" spans="3:9" x14ac:dyDescent="0.2">
      <c r="C170" s="9"/>
      <c r="F170" s="9"/>
      <c r="I170" s="9"/>
    </row>
    <row r="171" spans="3:9" x14ac:dyDescent="0.2">
      <c r="C171" s="9"/>
      <c r="F171" s="9"/>
      <c r="I171" s="9"/>
    </row>
    <row r="172" spans="3:9" x14ac:dyDescent="0.2">
      <c r="C172" s="9"/>
      <c r="F172" s="9"/>
      <c r="I172" s="9"/>
    </row>
    <row r="173" spans="3:9" x14ac:dyDescent="0.2">
      <c r="C173" s="9"/>
      <c r="F173" s="9"/>
      <c r="I173" s="9"/>
    </row>
    <row r="174" spans="3:9" x14ac:dyDescent="0.2">
      <c r="C174" s="9"/>
      <c r="F174" s="9"/>
      <c r="I174" s="9"/>
    </row>
    <row r="175" spans="3:9" x14ac:dyDescent="0.2">
      <c r="C175" s="9"/>
      <c r="F175" s="9"/>
      <c r="I175" s="9"/>
    </row>
    <row r="176" spans="3:9" x14ac:dyDescent="0.2">
      <c r="C176" s="9"/>
      <c r="F176" s="9"/>
      <c r="I176" s="9"/>
    </row>
    <row r="177" spans="3:9" x14ac:dyDescent="0.2">
      <c r="C177" s="9"/>
      <c r="F177" s="9"/>
      <c r="I177" s="9"/>
    </row>
    <row r="178" spans="3:9" x14ac:dyDescent="0.2">
      <c r="C178" s="9"/>
      <c r="F178" s="9"/>
      <c r="I178" s="9"/>
    </row>
    <row r="179" spans="3:9" x14ac:dyDescent="0.2">
      <c r="C179" s="9"/>
      <c r="F179" s="9"/>
      <c r="I179" s="9"/>
    </row>
    <row r="180" spans="3:9" x14ac:dyDescent="0.2">
      <c r="C180" s="9"/>
      <c r="F180" s="9"/>
      <c r="I180" s="9"/>
    </row>
    <row r="181" spans="3:9" x14ac:dyDescent="0.2">
      <c r="C181" s="9"/>
      <c r="F181" s="9"/>
      <c r="I181" s="9"/>
    </row>
    <row r="182" spans="3:9" x14ac:dyDescent="0.2">
      <c r="C182" s="9"/>
      <c r="F182" s="9"/>
      <c r="I182" s="9"/>
    </row>
    <row r="183" spans="3:9" x14ac:dyDescent="0.2">
      <c r="C183" s="9"/>
      <c r="F183" s="9"/>
      <c r="I183" s="9"/>
    </row>
    <row r="184" spans="3:9" x14ac:dyDescent="0.2">
      <c r="C184" s="9"/>
      <c r="F184" s="9"/>
      <c r="I184" s="9"/>
    </row>
    <row r="185" spans="3:9" x14ac:dyDescent="0.2">
      <c r="C185" s="9"/>
      <c r="F185" s="9"/>
      <c r="I185" s="9"/>
    </row>
    <row r="186" spans="3:9" x14ac:dyDescent="0.2">
      <c r="C186" s="9"/>
      <c r="F186" s="9"/>
      <c r="I186" s="9"/>
    </row>
    <row r="187" spans="3:9" x14ac:dyDescent="0.2">
      <c r="C187" s="9"/>
      <c r="F187" s="9"/>
      <c r="I187" s="9"/>
    </row>
    <row r="188" spans="3:9" x14ac:dyDescent="0.2">
      <c r="C188" s="9"/>
      <c r="F188" s="9"/>
      <c r="I188" s="9"/>
    </row>
    <row r="189" spans="3:9" x14ac:dyDescent="0.2">
      <c r="C189" s="9"/>
      <c r="F189" s="9"/>
      <c r="I189" s="9"/>
    </row>
    <row r="190" spans="3:9" x14ac:dyDescent="0.2">
      <c r="C190" s="9"/>
      <c r="F190" s="9"/>
      <c r="I190" s="9"/>
    </row>
    <row r="191" spans="3:9" x14ac:dyDescent="0.2">
      <c r="C191" s="9"/>
      <c r="F191" s="9"/>
      <c r="I191" s="9"/>
    </row>
    <row r="192" spans="3:9" x14ac:dyDescent="0.2">
      <c r="C192" s="9"/>
      <c r="F192" s="9"/>
      <c r="I192" s="9"/>
    </row>
    <row r="193" spans="3:9" x14ac:dyDescent="0.2">
      <c r="C193" s="9"/>
      <c r="F193" s="9"/>
      <c r="I193" s="9"/>
    </row>
    <row r="194" spans="3:9" x14ac:dyDescent="0.2">
      <c r="C194" s="9"/>
      <c r="F194" s="9"/>
      <c r="I194" s="9"/>
    </row>
    <row r="195" spans="3:9" x14ac:dyDescent="0.2">
      <c r="C195" s="9"/>
      <c r="F195" s="9"/>
      <c r="I195" s="9"/>
    </row>
    <row r="196" spans="3:9" x14ac:dyDescent="0.2">
      <c r="C196" s="9"/>
      <c r="F196" s="9"/>
      <c r="I196" s="9"/>
    </row>
    <row r="197" spans="3:9" x14ac:dyDescent="0.2">
      <c r="C197" s="9"/>
      <c r="F197" s="9"/>
      <c r="I197" s="9"/>
    </row>
    <row r="198" spans="3:9" x14ac:dyDescent="0.2">
      <c r="C198" s="9"/>
      <c r="F198" s="9"/>
      <c r="I198" s="9"/>
    </row>
    <row r="199" spans="3:9" x14ac:dyDescent="0.2">
      <c r="C199" s="9"/>
      <c r="F199" s="9"/>
      <c r="I199" s="9"/>
    </row>
    <row r="200" spans="3:9" x14ac:dyDescent="0.2">
      <c r="C200" s="9"/>
      <c r="F200" s="9"/>
      <c r="I200" s="9"/>
    </row>
    <row r="201" spans="3:9" x14ac:dyDescent="0.2">
      <c r="C201" s="9"/>
      <c r="F201" s="9"/>
      <c r="I201" s="9"/>
    </row>
    <row r="202" spans="3:9" x14ac:dyDescent="0.2">
      <c r="C202" s="9"/>
      <c r="F202" s="9"/>
      <c r="I202" s="9"/>
    </row>
    <row r="203" spans="3:9" x14ac:dyDescent="0.2">
      <c r="C203" s="9"/>
      <c r="F203" s="9"/>
      <c r="I203" s="9"/>
    </row>
    <row r="204" spans="3:9" x14ac:dyDescent="0.2">
      <c r="C204" s="9"/>
      <c r="F204" s="9"/>
      <c r="I204" s="9"/>
    </row>
    <row r="205" spans="3:9" x14ac:dyDescent="0.2">
      <c r="C205" s="9"/>
      <c r="F205" s="9"/>
      <c r="I205" s="9"/>
    </row>
    <row r="206" spans="3:9" x14ac:dyDescent="0.2">
      <c r="C206" s="9"/>
      <c r="F206" s="9"/>
      <c r="I206" s="9"/>
    </row>
    <row r="207" spans="3:9" x14ac:dyDescent="0.2">
      <c r="C207" s="9"/>
      <c r="F207" s="9"/>
      <c r="I207" s="9"/>
    </row>
    <row r="208" spans="3:9" x14ac:dyDescent="0.2">
      <c r="C208" s="9"/>
      <c r="F208" s="9"/>
      <c r="I208" s="9"/>
    </row>
    <row r="209" spans="3:9" x14ac:dyDescent="0.2">
      <c r="C209" s="9"/>
      <c r="F209" s="9"/>
      <c r="I209" s="9"/>
    </row>
    <row r="210" spans="3:9" x14ac:dyDescent="0.2">
      <c r="C210" s="9"/>
      <c r="F210" s="9"/>
      <c r="I210" s="9"/>
    </row>
    <row r="211" spans="3:9" x14ac:dyDescent="0.2">
      <c r="C211" s="9"/>
      <c r="F211" s="9"/>
      <c r="I211" s="9"/>
    </row>
    <row r="212" spans="3:9" x14ac:dyDescent="0.2">
      <c r="C212" s="9"/>
      <c r="F212" s="9"/>
      <c r="I212" s="9"/>
    </row>
    <row r="213" spans="3:9" x14ac:dyDescent="0.2">
      <c r="C213" s="9"/>
      <c r="F213" s="9"/>
      <c r="I213" s="9"/>
    </row>
    <row r="214" spans="3:9" x14ac:dyDescent="0.2">
      <c r="C214" s="9"/>
      <c r="F214" s="9"/>
      <c r="I214" s="9"/>
    </row>
    <row r="215" spans="3:9" x14ac:dyDescent="0.2">
      <c r="C215" s="9"/>
      <c r="F215" s="9"/>
      <c r="I215" s="9"/>
    </row>
    <row r="216" spans="3:9" x14ac:dyDescent="0.2">
      <c r="C216" s="9"/>
      <c r="F216" s="9"/>
      <c r="I216" s="9"/>
    </row>
    <row r="217" spans="3:9" x14ac:dyDescent="0.2">
      <c r="C217" s="9"/>
      <c r="F217" s="9"/>
      <c r="I217" s="9"/>
    </row>
    <row r="218" spans="3:9" x14ac:dyDescent="0.2">
      <c r="C218" s="9"/>
      <c r="F218" s="9"/>
      <c r="I218" s="9"/>
    </row>
    <row r="219" spans="3:9" x14ac:dyDescent="0.2">
      <c r="C219" s="9"/>
      <c r="F219" s="9"/>
      <c r="I219" s="9"/>
    </row>
    <row r="220" spans="3:9" x14ac:dyDescent="0.2">
      <c r="C220" s="9"/>
      <c r="F220" s="9"/>
      <c r="I220" s="9"/>
    </row>
    <row r="221" spans="3:9" x14ac:dyDescent="0.2">
      <c r="C221" s="9"/>
      <c r="F221" s="9"/>
      <c r="I221" s="9"/>
    </row>
    <row r="222" spans="3:9" x14ac:dyDescent="0.2">
      <c r="C222" s="9"/>
      <c r="F222" s="9"/>
      <c r="I222" s="9"/>
    </row>
    <row r="223" spans="3:9" x14ac:dyDescent="0.2">
      <c r="C223" s="9"/>
      <c r="F223" s="9"/>
      <c r="I223" s="9"/>
    </row>
    <row r="224" spans="3:9" x14ac:dyDescent="0.2">
      <c r="C224" s="9"/>
      <c r="F224" s="9"/>
      <c r="I224" s="9"/>
    </row>
    <row r="225" spans="3:9" x14ac:dyDescent="0.2">
      <c r="C225" s="9"/>
      <c r="F225" s="9"/>
      <c r="I225" s="9"/>
    </row>
    <row r="226" spans="3:9" x14ac:dyDescent="0.2">
      <c r="C226" s="9"/>
      <c r="F226" s="9"/>
      <c r="I226" s="9"/>
    </row>
    <row r="227" spans="3:9" x14ac:dyDescent="0.2">
      <c r="C227" s="9"/>
      <c r="F227" s="9"/>
      <c r="I227" s="9"/>
    </row>
    <row r="228" spans="3:9" x14ac:dyDescent="0.2">
      <c r="C228" s="9"/>
      <c r="F228" s="9"/>
      <c r="I228" s="9"/>
    </row>
    <row r="229" spans="3:9" x14ac:dyDescent="0.2">
      <c r="C229" s="9"/>
      <c r="F229" s="9"/>
      <c r="I229" s="9"/>
    </row>
    <row r="230" spans="3:9" x14ac:dyDescent="0.2">
      <c r="C230" s="9"/>
      <c r="F230" s="9"/>
      <c r="I230" s="9"/>
    </row>
    <row r="231" spans="3:9" x14ac:dyDescent="0.2">
      <c r="C231" s="9"/>
      <c r="F231" s="9"/>
      <c r="I231" s="9"/>
    </row>
    <row r="232" spans="3:9" x14ac:dyDescent="0.2">
      <c r="C232" s="9"/>
      <c r="F232" s="9"/>
      <c r="I232" s="9"/>
    </row>
    <row r="233" spans="3:9" x14ac:dyDescent="0.2">
      <c r="C233" s="9"/>
      <c r="F233" s="9"/>
      <c r="I233" s="9"/>
    </row>
    <row r="234" spans="3:9" x14ac:dyDescent="0.2">
      <c r="C234" s="9"/>
      <c r="F234" s="9"/>
      <c r="I234" s="9"/>
    </row>
    <row r="235" spans="3:9" x14ac:dyDescent="0.2">
      <c r="C235" s="9"/>
      <c r="F235" s="9"/>
      <c r="I235" s="9"/>
    </row>
    <row r="236" spans="3:9" x14ac:dyDescent="0.2">
      <c r="C236" s="9"/>
      <c r="F236" s="9"/>
      <c r="I236" s="9"/>
    </row>
    <row r="237" spans="3:9" x14ac:dyDescent="0.2">
      <c r="C237" s="9"/>
      <c r="F237" s="9"/>
      <c r="I237" s="9"/>
    </row>
    <row r="238" spans="3:9" x14ac:dyDescent="0.2">
      <c r="C238" s="9"/>
      <c r="F238" s="9"/>
      <c r="I238" s="9"/>
    </row>
    <row r="239" spans="3:9" x14ac:dyDescent="0.2">
      <c r="C239" s="9"/>
      <c r="F239" s="9"/>
      <c r="I239" s="9"/>
    </row>
    <row r="240" spans="3:9" x14ac:dyDescent="0.2">
      <c r="C240" s="9"/>
      <c r="F240" s="9"/>
      <c r="I240" s="9"/>
    </row>
    <row r="241" spans="3:9" x14ac:dyDescent="0.2">
      <c r="C241" s="9"/>
      <c r="F241" s="9"/>
      <c r="I241" s="9"/>
    </row>
    <row r="242" spans="3:9" x14ac:dyDescent="0.2">
      <c r="C242" s="9"/>
      <c r="F242" s="9"/>
      <c r="I242" s="9"/>
    </row>
    <row r="243" spans="3:9" x14ac:dyDescent="0.2">
      <c r="C243" s="9"/>
      <c r="F243" s="9"/>
      <c r="I243" s="9"/>
    </row>
    <row r="244" spans="3:9" x14ac:dyDescent="0.2">
      <c r="C244" s="9"/>
      <c r="F244" s="9"/>
      <c r="I244" s="9"/>
    </row>
    <row r="245" spans="3:9" x14ac:dyDescent="0.2">
      <c r="C245" s="9"/>
      <c r="F245" s="9"/>
      <c r="I245" s="9"/>
    </row>
    <row r="246" spans="3:9" x14ac:dyDescent="0.2">
      <c r="C246" s="9"/>
      <c r="F246" s="9"/>
      <c r="I246" s="9"/>
    </row>
    <row r="247" spans="3:9" x14ac:dyDescent="0.2">
      <c r="C247" s="9"/>
      <c r="F247" s="9"/>
      <c r="I247" s="9"/>
    </row>
    <row r="248" spans="3:9" x14ac:dyDescent="0.2">
      <c r="C248" s="9"/>
      <c r="F248" s="9"/>
      <c r="I248" s="9"/>
    </row>
    <row r="249" spans="3:9" x14ac:dyDescent="0.2">
      <c r="C249" s="9"/>
      <c r="F249" s="9"/>
      <c r="I249" s="9"/>
    </row>
    <row r="250" spans="3:9" x14ac:dyDescent="0.2">
      <c r="C250" s="9"/>
      <c r="F250" s="9"/>
      <c r="I250" s="9"/>
    </row>
    <row r="251" spans="3:9" x14ac:dyDescent="0.2">
      <c r="C251" s="9"/>
      <c r="F251" s="9"/>
      <c r="I251" s="9"/>
    </row>
    <row r="252" spans="3:9" x14ac:dyDescent="0.2">
      <c r="C252" s="9"/>
      <c r="F252" s="9"/>
      <c r="I252" s="9"/>
    </row>
    <row r="253" spans="3:9" x14ac:dyDescent="0.2">
      <c r="C253" s="9"/>
      <c r="F253" s="9"/>
      <c r="I253" s="9"/>
    </row>
    <row r="254" spans="3:9" x14ac:dyDescent="0.2">
      <c r="C254" s="9"/>
      <c r="F254" s="9"/>
      <c r="I254" s="9"/>
    </row>
    <row r="255" spans="3:9" x14ac:dyDescent="0.2">
      <c r="C255" s="9"/>
      <c r="F255" s="9"/>
      <c r="I255" s="9"/>
    </row>
    <row r="256" spans="3:9" x14ac:dyDescent="0.2">
      <c r="C256" s="9"/>
      <c r="F256" s="9"/>
      <c r="I256" s="9"/>
    </row>
    <row r="257" spans="3:9" x14ac:dyDescent="0.2">
      <c r="C257" s="9"/>
      <c r="F257" s="9"/>
      <c r="I257" s="9"/>
    </row>
    <row r="258" spans="3:9" x14ac:dyDescent="0.2">
      <c r="C258" s="9"/>
      <c r="F258" s="9"/>
      <c r="I258" s="9"/>
    </row>
    <row r="259" spans="3:9" x14ac:dyDescent="0.2">
      <c r="C259" s="9"/>
      <c r="F259" s="9"/>
      <c r="I259" s="9"/>
    </row>
    <row r="260" spans="3:9" x14ac:dyDescent="0.2">
      <c r="C260" s="9"/>
      <c r="F260" s="9"/>
      <c r="I260" s="9"/>
    </row>
    <row r="261" spans="3:9" x14ac:dyDescent="0.2">
      <c r="C261" s="9"/>
      <c r="F261" s="9"/>
      <c r="I261" s="9"/>
    </row>
    <row r="262" spans="3:9" x14ac:dyDescent="0.2">
      <c r="C262" s="9"/>
      <c r="F262" s="9"/>
      <c r="I262" s="9"/>
    </row>
    <row r="263" spans="3:9" x14ac:dyDescent="0.2">
      <c r="C263" s="9"/>
      <c r="F263" s="9"/>
      <c r="I263" s="9"/>
    </row>
    <row r="264" spans="3:9" x14ac:dyDescent="0.2">
      <c r="C264" s="9"/>
      <c r="F264" s="9"/>
      <c r="I264" s="9"/>
    </row>
    <row r="265" spans="3:9" x14ac:dyDescent="0.2">
      <c r="C265" s="9"/>
      <c r="F265" s="9"/>
      <c r="I265" s="9"/>
    </row>
    <row r="266" spans="3:9" x14ac:dyDescent="0.2">
      <c r="C266" s="9"/>
      <c r="F266" s="9"/>
      <c r="I266" s="9"/>
    </row>
    <row r="267" spans="3:9" x14ac:dyDescent="0.2">
      <c r="C267" s="9"/>
      <c r="F267" s="9"/>
      <c r="I267" s="9"/>
    </row>
    <row r="268" spans="3:9" x14ac:dyDescent="0.2">
      <c r="C268" s="9"/>
      <c r="F268" s="9"/>
      <c r="I268" s="9"/>
    </row>
    <row r="269" spans="3:9" x14ac:dyDescent="0.2">
      <c r="C269" s="9"/>
      <c r="F269" s="9"/>
      <c r="I269" s="9"/>
    </row>
    <row r="270" spans="3:9" x14ac:dyDescent="0.2">
      <c r="C270" s="9"/>
      <c r="F270" s="9"/>
      <c r="I270" s="9"/>
    </row>
    <row r="271" spans="3:9" x14ac:dyDescent="0.2">
      <c r="C271" s="9"/>
      <c r="F271" s="9"/>
      <c r="I271" s="9"/>
    </row>
    <row r="272" spans="3:9" x14ac:dyDescent="0.2">
      <c r="C272" s="9"/>
      <c r="F272" s="9"/>
      <c r="I272" s="9"/>
    </row>
    <row r="273" spans="3:9" x14ac:dyDescent="0.2">
      <c r="C273" s="9"/>
      <c r="F273" s="9"/>
      <c r="I273" s="9"/>
    </row>
    <row r="274" spans="3:9" x14ac:dyDescent="0.2">
      <c r="C274" s="9"/>
      <c r="F274" s="9"/>
      <c r="I274" s="9"/>
    </row>
    <row r="275" spans="3:9" x14ac:dyDescent="0.2">
      <c r="C275" s="9"/>
      <c r="F275" s="9"/>
      <c r="I275" s="9"/>
    </row>
    <row r="276" spans="3:9" x14ac:dyDescent="0.2">
      <c r="C276" s="9"/>
      <c r="F276" s="9"/>
      <c r="I276" s="9"/>
    </row>
    <row r="277" spans="3:9" x14ac:dyDescent="0.2">
      <c r="C277" s="9"/>
      <c r="F277" s="9"/>
      <c r="I277" s="9"/>
    </row>
    <row r="278" spans="3:9" x14ac:dyDescent="0.2">
      <c r="C278" s="9"/>
      <c r="F278" s="9"/>
      <c r="I278" s="9"/>
    </row>
    <row r="279" spans="3:9" x14ac:dyDescent="0.2">
      <c r="C279" s="9"/>
      <c r="F279" s="9"/>
      <c r="I279" s="9"/>
    </row>
    <row r="280" spans="3:9" x14ac:dyDescent="0.2">
      <c r="C280" s="9"/>
      <c r="F280" s="9"/>
      <c r="I280" s="9"/>
    </row>
    <row r="281" spans="3:9" x14ac:dyDescent="0.2">
      <c r="C281" s="9"/>
      <c r="F281" s="9"/>
      <c r="I281" s="9"/>
    </row>
    <row r="282" spans="3:9" x14ac:dyDescent="0.2">
      <c r="C282" s="9"/>
      <c r="F282" s="9"/>
      <c r="I282" s="9"/>
    </row>
    <row r="283" spans="3:9" x14ac:dyDescent="0.2">
      <c r="C283" s="9"/>
      <c r="F283" s="9"/>
      <c r="I283" s="9"/>
    </row>
    <row r="284" spans="3:9" x14ac:dyDescent="0.2">
      <c r="C284" s="9"/>
      <c r="F284" s="9"/>
      <c r="I284" s="9"/>
    </row>
    <row r="285" spans="3:9" x14ac:dyDescent="0.2">
      <c r="C285" s="9"/>
      <c r="F285" s="9"/>
      <c r="I285" s="9"/>
    </row>
    <row r="286" spans="3:9" x14ac:dyDescent="0.2">
      <c r="C286" s="9"/>
      <c r="F286" s="9"/>
      <c r="I286" s="9"/>
    </row>
    <row r="287" spans="3:9" x14ac:dyDescent="0.2">
      <c r="C287" s="9"/>
      <c r="F287" s="9"/>
      <c r="I287" s="9"/>
    </row>
    <row r="288" spans="3:9" x14ac:dyDescent="0.2">
      <c r="C288" s="9"/>
      <c r="F288" s="9"/>
      <c r="I288" s="9"/>
    </row>
    <row r="289" spans="3:9" x14ac:dyDescent="0.2">
      <c r="C289" s="9"/>
      <c r="F289" s="9"/>
      <c r="I289" s="9"/>
    </row>
    <row r="290" spans="3:9" x14ac:dyDescent="0.2">
      <c r="C290" s="9"/>
      <c r="F290" s="9"/>
      <c r="I290" s="9"/>
    </row>
    <row r="291" spans="3:9" x14ac:dyDescent="0.2">
      <c r="C291" s="9"/>
      <c r="F291" s="9"/>
      <c r="I291" s="9"/>
    </row>
    <row r="292" spans="3:9" x14ac:dyDescent="0.2">
      <c r="C292" s="9"/>
      <c r="F292" s="9"/>
      <c r="I292" s="9"/>
    </row>
    <row r="293" spans="3:9" x14ac:dyDescent="0.2">
      <c r="C293" s="9"/>
      <c r="F293" s="9"/>
      <c r="I293" s="9"/>
    </row>
    <row r="294" spans="3:9" x14ac:dyDescent="0.2">
      <c r="C294" s="9"/>
      <c r="F294" s="9"/>
      <c r="I294" s="9"/>
    </row>
    <row r="295" spans="3:9" x14ac:dyDescent="0.2">
      <c r="C295" s="9"/>
      <c r="F295" s="9"/>
      <c r="I295" s="9"/>
    </row>
    <row r="296" spans="3:9" x14ac:dyDescent="0.2">
      <c r="C296" s="9"/>
      <c r="F296" s="9"/>
      <c r="I296" s="9"/>
    </row>
    <row r="297" spans="3:9" x14ac:dyDescent="0.2">
      <c r="C297" s="9"/>
      <c r="F297" s="9"/>
      <c r="I297" s="9"/>
    </row>
    <row r="298" spans="3:9" x14ac:dyDescent="0.2">
      <c r="C298" s="9"/>
      <c r="F298" s="9"/>
      <c r="I298" s="9"/>
    </row>
    <row r="299" spans="3:9" x14ac:dyDescent="0.2">
      <c r="C299" s="9"/>
      <c r="F299" s="9"/>
      <c r="I299" s="9"/>
    </row>
    <row r="300" spans="3:9" x14ac:dyDescent="0.2">
      <c r="C300" s="9"/>
      <c r="F300" s="9"/>
      <c r="I300" s="9"/>
    </row>
    <row r="301" spans="3:9" x14ac:dyDescent="0.2">
      <c r="C301" s="9"/>
      <c r="F301" s="9"/>
      <c r="I301" s="9"/>
    </row>
    <row r="302" spans="3:9" x14ac:dyDescent="0.2">
      <c r="C302" s="9"/>
      <c r="F302" s="9"/>
      <c r="I302" s="9"/>
    </row>
    <row r="303" spans="3:9" x14ac:dyDescent="0.2">
      <c r="C303" s="9"/>
      <c r="F303" s="9"/>
      <c r="I303" s="9"/>
    </row>
    <row r="304" spans="3:9" x14ac:dyDescent="0.2">
      <c r="C304" s="9"/>
      <c r="F304" s="9"/>
      <c r="I304" s="9"/>
    </row>
    <row r="305" spans="3:9" x14ac:dyDescent="0.2">
      <c r="C305" s="9"/>
      <c r="F305" s="9"/>
      <c r="I305" s="9"/>
    </row>
    <row r="306" spans="3:9" x14ac:dyDescent="0.2">
      <c r="C306" s="9"/>
      <c r="F306" s="9"/>
      <c r="I306" s="9"/>
    </row>
    <row r="307" spans="3:9" x14ac:dyDescent="0.2">
      <c r="C307" s="9"/>
      <c r="F307" s="9"/>
      <c r="I307" s="9"/>
    </row>
    <row r="308" spans="3:9" x14ac:dyDescent="0.2">
      <c r="C308" s="9"/>
      <c r="F308" s="9"/>
      <c r="I308" s="9"/>
    </row>
    <row r="309" spans="3:9" x14ac:dyDescent="0.2">
      <c r="C309" s="9"/>
      <c r="F309" s="9"/>
      <c r="I309" s="9"/>
    </row>
    <row r="310" spans="3:9" x14ac:dyDescent="0.2">
      <c r="C310" s="9"/>
      <c r="F310" s="9"/>
      <c r="I310" s="9"/>
    </row>
    <row r="311" spans="3:9" x14ac:dyDescent="0.2">
      <c r="C311" s="9"/>
      <c r="F311" s="9"/>
      <c r="I311" s="9"/>
    </row>
    <row r="312" spans="3:9" x14ac:dyDescent="0.2">
      <c r="C312" s="9"/>
      <c r="F312" s="9"/>
      <c r="I312" s="9"/>
    </row>
    <row r="313" spans="3:9" x14ac:dyDescent="0.2">
      <c r="C313" s="9"/>
      <c r="F313" s="9"/>
      <c r="I313" s="9"/>
    </row>
    <row r="314" spans="3:9" x14ac:dyDescent="0.2">
      <c r="C314" s="9"/>
      <c r="F314" s="9"/>
      <c r="I314" s="9"/>
    </row>
    <row r="315" spans="3:9" x14ac:dyDescent="0.2">
      <c r="C315" s="9"/>
      <c r="F315" s="9"/>
      <c r="I315" s="9"/>
    </row>
    <row r="316" spans="3:9" x14ac:dyDescent="0.2">
      <c r="C316" s="9"/>
      <c r="F316" s="9"/>
      <c r="I316" s="9"/>
    </row>
    <row r="317" spans="3:9" x14ac:dyDescent="0.2">
      <c r="C317" s="9"/>
      <c r="F317" s="9"/>
      <c r="I317" s="9"/>
    </row>
    <row r="318" spans="3:9" x14ac:dyDescent="0.2">
      <c r="C318" s="9"/>
      <c r="F318" s="9"/>
      <c r="I318" s="9"/>
    </row>
    <row r="319" spans="3:9" x14ac:dyDescent="0.2">
      <c r="C319" s="9"/>
      <c r="F319" s="9"/>
      <c r="I319" s="9"/>
    </row>
    <row r="320" spans="3:9" x14ac:dyDescent="0.2">
      <c r="C320" s="9"/>
      <c r="F320" s="9"/>
      <c r="I320" s="9"/>
    </row>
    <row r="321" spans="3:9" x14ac:dyDescent="0.2">
      <c r="C321" s="9"/>
      <c r="F321" s="9"/>
      <c r="I321" s="9"/>
    </row>
    <row r="322" spans="3:9" x14ac:dyDescent="0.2">
      <c r="C322" s="9"/>
      <c r="F322" s="9"/>
      <c r="I322" s="9"/>
    </row>
    <row r="323" spans="3:9" x14ac:dyDescent="0.2">
      <c r="C323" s="9"/>
      <c r="F323" s="9"/>
      <c r="I323" s="9"/>
    </row>
    <row r="324" spans="3:9" x14ac:dyDescent="0.2">
      <c r="C324" s="9"/>
      <c r="F324" s="9"/>
      <c r="I324" s="9"/>
    </row>
    <row r="325" spans="3:9" x14ac:dyDescent="0.2">
      <c r="C325" s="9"/>
      <c r="F325" s="9"/>
      <c r="I325" s="9"/>
    </row>
    <row r="326" spans="3:9" x14ac:dyDescent="0.2">
      <c r="C326" s="9"/>
      <c r="F326" s="9"/>
      <c r="I326" s="9"/>
    </row>
    <row r="327" spans="3:9" x14ac:dyDescent="0.2">
      <c r="C327" s="9"/>
      <c r="F327" s="9"/>
      <c r="I327" s="9"/>
    </row>
    <row r="328" spans="3:9" x14ac:dyDescent="0.2">
      <c r="C328" s="9"/>
      <c r="F328" s="9"/>
      <c r="I328" s="9"/>
    </row>
    <row r="329" spans="3:9" x14ac:dyDescent="0.2">
      <c r="C329" s="9"/>
      <c r="F329" s="9"/>
      <c r="I329" s="9"/>
    </row>
    <row r="330" spans="3:9" x14ac:dyDescent="0.2">
      <c r="C330" s="9"/>
      <c r="F330" s="9"/>
      <c r="I330" s="9"/>
    </row>
    <row r="331" spans="3:9" x14ac:dyDescent="0.2">
      <c r="C331" s="9"/>
      <c r="F331" s="9"/>
      <c r="I331" s="9"/>
    </row>
    <row r="332" spans="3:9" x14ac:dyDescent="0.2">
      <c r="C332" s="9"/>
      <c r="F332" s="9"/>
      <c r="I332" s="9"/>
    </row>
    <row r="333" spans="3:9" x14ac:dyDescent="0.2">
      <c r="C333" s="9"/>
      <c r="F333" s="9"/>
      <c r="I333" s="9"/>
    </row>
    <row r="334" spans="3:9" x14ac:dyDescent="0.2">
      <c r="C334" s="9"/>
      <c r="F334" s="9"/>
      <c r="I334" s="9"/>
    </row>
    <row r="335" spans="3:9" x14ac:dyDescent="0.2">
      <c r="C335" s="9"/>
      <c r="F335" s="9"/>
      <c r="I335" s="9"/>
    </row>
    <row r="336" spans="3:9" x14ac:dyDescent="0.2">
      <c r="C336" s="9"/>
      <c r="F336" s="9"/>
      <c r="I336" s="9"/>
    </row>
    <row r="337" spans="3:9" x14ac:dyDescent="0.2">
      <c r="C337" s="9"/>
      <c r="F337" s="9"/>
      <c r="I337" s="9"/>
    </row>
    <row r="338" spans="3:9" x14ac:dyDescent="0.2">
      <c r="C338" s="9"/>
      <c r="F338" s="9"/>
      <c r="I338" s="9"/>
    </row>
    <row r="339" spans="3:9" x14ac:dyDescent="0.2">
      <c r="C339" s="9"/>
      <c r="F339" s="9"/>
      <c r="I339" s="9"/>
    </row>
    <row r="340" spans="3:9" x14ac:dyDescent="0.2">
      <c r="C340" s="9"/>
      <c r="F340" s="9"/>
      <c r="I340" s="9"/>
    </row>
    <row r="341" spans="3:9" x14ac:dyDescent="0.2">
      <c r="C341" s="9"/>
      <c r="F341" s="9"/>
      <c r="I341" s="9"/>
    </row>
    <row r="342" spans="3:9" x14ac:dyDescent="0.2">
      <c r="C342" s="9"/>
      <c r="F342" s="9"/>
      <c r="I342" s="9"/>
    </row>
    <row r="343" spans="3:9" x14ac:dyDescent="0.2">
      <c r="C343" s="9"/>
      <c r="F343" s="9"/>
      <c r="I343" s="9"/>
    </row>
    <row r="344" spans="3:9" x14ac:dyDescent="0.2">
      <c r="C344" s="9"/>
      <c r="F344" s="9"/>
      <c r="I344" s="9"/>
    </row>
    <row r="345" spans="3:9" x14ac:dyDescent="0.2">
      <c r="C345" s="9"/>
      <c r="F345" s="9"/>
      <c r="I345" s="9"/>
    </row>
    <row r="346" spans="3:9" x14ac:dyDescent="0.2">
      <c r="C346" s="9"/>
      <c r="F346" s="9"/>
      <c r="I346" s="9"/>
    </row>
    <row r="347" spans="3:9" x14ac:dyDescent="0.2">
      <c r="C347" s="9"/>
      <c r="F347" s="9"/>
      <c r="I347" s="9"/>
    </row>
    <row r="348" spans="3:9" x14ac:dyDescent="0.2">
      <c r="C348" s="9"/>
      <c r="F348" s="9"/>
      <c r="I348" s="9"/>
    </row>
    <row r="349" spans="3:9" x14ac:dyDescent="0.2">
      <c r="C349" s="9"/>
      <c r="F349" s="9"/>
      <c r="I349" s="9"/>
    </row>
    <row r="350" spans="3:9" x14ac:dyDescent="0.2">
      <c r="C350" s="9"/>
      <c r="F350" s="9"/>
      <c r="I350" s="9"/>
    </row>
    <row r="351" spans="3:9" x14ac:dyDescent="0.2">
      <c r="C351" s="9"/>
      <c r="F351" s="9"/>
      <c r="I351" s="9"/>
    </row>
    <row r="352" spans="3:9" x14ac:dyDescent="0.2">
      <c r="C352" s="9"/>
      <c r="F352" s="9"/>
      <c r="I352" s="9"/>
    </row>
    <row r="353" spans="3:9" x14ac:dyDescent="0.2">
      <c r="C353" s="9"/>
      <c r="F353" s="9"/>
      <c r="I353" s="9"/>
    </row>
    <row r="354" spans="3:9" x14ac:dyDescent="0.2">
      <c r="C354" s="9"/>
      <c r="F354" s="9"/>
      <c r="I354" s="9"/>
    </row>
    <row r="355" spans="3:9" x14ac:dyDescent="0.2">
      <c r="C355" s="9"/>
      <c r="F355" s="9"/>
      <c r="I355" s="9"/>
    </row>
    <row r="356" spans="3:9" x14ac:dyDescent="0.2">
      <c r="C356" s="9"/>
      <c r="F356" s="9"/>
      <c r="I356" s="9"/>
    </row>
    <row r="357" spans="3:9" x14ac:dyDescent="0.2">
      <c r="C357" s="9"/>
      <c r="F357" s="9"/>
      <c r="I357" s="9"/>
    </row>
    <row r="358" spans="3:9" x14ac:dyDescent="0.2">
      <c r="C358" s="9"/>
      <c r="F358" s="9"/>
      <c r="I358" s="9"/>
    </row>
    <row r="359" spans="3:9" x14ac:dyDescent="0.2">
      <c r="C359" s="9"/>
      <c r="F359" s="9"/>
      <c r="I359" s="9"/>
    </row>
    <row r="360" spans="3:9" x14ac:dyDescent="0.2">
      <c r="C360" s="9"/>
      <c r="I360" s="9"/>
    </row>
    <row r="361" spans="3:9" x14ac:dyDescent="0.2">
      <c r="C361" s="9"/>
      <c r="I361" s="9"/>
    </row>
    <row r="362" spans="3:9" x14ac:dyDescent="0.2">
      <c r="C362" s="9"/>
      <c r="I362" s="9"/>
    </row>
    <row r="363" spans="3:9" x14ac:dyDescent="0.2">
      <c r="C363" s="9"/>
      <c r="I363" s="9"/>
    </row>
    <row r="364" spans="3:9" x14ac:dyDescent="0.2">
      <c r="C364" s="9"/>
      <c r="I364" s="9"/>
    </row>
    <row r="365" spans="3:9" x14ac:dyDescent="0.2">
      <c r="C365" s="9"/>
      <c r="I365" s="9"/>
    </row>
    <row r="366" spans="3:9" x14ac:dyDescent="0.2">
      <c r="C366" s="9"/>
      <c r="I366" s="9"/>
    </row>
    <row r="367" spans="3:9" x14ac:dyDescent="0.2">
      <c r="C367" s="9"/>
      <c r="I367" s="9"/>
    </row>
    <row r="368" spans="3:9" x14ac:dyDescent="0.2">
      <c r="C368" s="9"/>
      <c r="I368" s="9"/>
    </row>
    <row r="369" spans="3:3" x14ac:dyDescent="0.2">
      <c r="C369" s="9"/>
    </row>
    <row r="370" spans="3:3" x14ac:dyDescent="0.2">
      <c r="C370" s="9"/>
    </row>
    <row r="371" spans="3:3" x14ac:dyDescent="0.2">
      <c r="C371" s="9"/>
    </row>
    <row r="372" spans="3:3" x14ac:dyDescent="0.2">
      <c r="C372" s="9"/>
    </row>
    <row r="373" spans="3:3" x14ac:dyDescent="0.2">
      <c r="C373" s="9"/>
    </row>
    <row r="374" spans="3:3" x14ac:dyDescent="0.2">
      <c r="C374" s="9"/>
    </row>
  </sheetData>
  <sheetProtection sheet="1" objects="1" scenarios="1"/>
  <mergeCells count="2">
    <mergeCell ref="M2:M3"/>
    <mergeCell ref="I2:K3"/>
  </mergeCells>
  <conditionalFormatting sqref="C3">
    <cfRule type="cellIs" dxfId="15" priority="1" stopIfTrue="1" operator="equal">
      <formula>$D$3</formula>
    </cfRule>
    <cfRule type="cellIs" dxfId="14" priority="2" stopIfTrue="1" operator="notEqual">
      <formula>$D$3</formula>
    </cfRule>
  </conditionalFormatting>
  <conditionalFormatting sqref="D3">
    <cfRule type="cellIs" dxfId="13" priority="3" stopIfTrue="1" operator="equal">
      <formula>$C$3</formula>
    </cfRule>
    <cfRule type="cellIs" dxfId="12" priority="4" stopIfTrue="1" operator="notEqual">
      <formula>$C$3</formula>
    </cfRule>
  </conditionalFormatting>
  <dataValidations count="4">
    <dataValidation type="list" allowBlank="1" showInputMessage="1" showErrorMessage="1" sqref="M5:M65455" xr:uid="{00000000-0002-0000-0700-000000000000}">
      <formula1>Reko</formula1>
    </dataValidation>
    <dataValidation type="list" allowBlank="1" showInputMessage="1" showErrorMessage="1" sqref="D5:D65455" xr:uid="{00000000-0002-0000-0700-000001000000}">
      <formula1>Namen</formula1>
    </dataValidation>
    <dataValidation type="list" allowBlank="1" showInputMessage="1" showErrorMessage="1" sqref="G5:G1048576 J5:J1048576" xr:uid="{00000000-0002-0000-0700-000002000000}">
      <formula1>AblProz</formula1>
    </dataValidation>
    <dataValidation type="list" allowBlank="1" showInputMessage="1" showErrorMessage="1" sqref="K5:K1048576" xr:uid="{00000000-0002-0000-0700-000003000000}">
      <formula1>Fehlerkategorie</formula1>
    </dataValidation>
  </dataValidations>
  <pageMargins left="0.78740157499999996" right="0.78740157499999996" top="0.984251969" bottom="0.984251969" header="0.4921259845" footer="0.4921259845"/>
  <pageSetup paperSize="9" orientation="portrait" verticalDpi="597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locked="0"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7</xdr:col>
                <xdr:colOff>3990975</xdr:colOff>
                <xdr:row>2</xdr:row>
                <xdr:rowOff>304800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xh">
    <tabColor indexed="15"/>
  </sheetPr>
  <dimension ref="A1:N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11.42578125" defaultRowHeight="12.75" x14ac:dyDescent="0.2"/>
  <cols>
    <col min="1" max="1" width="2.42578125" style="1" customWidth="1"/>
    <col min="2" max="2" width="2.42578125" style="14" customWidth="1"/>
    <col min="3" max="3" width="16.5703125" style="13" customWidth="1"/>
    <col min="4" max="4" width="16.5703125" style="7" customWidth="1"/>
    <col min="5" max="5" width="60.5703125" style="10" customWidth="1"/>
    <col min="6" max="6" width="16.5703125" style="13" customWidth="1"/>
    <col min="7" max="7" width="15" style="9" customWidth="1"/>
    <col min="8" max="8" width="60.5703125" style="10" customWidth="1"/>
    <col min="9" max="9" width="16.5703125" style="13" customWidth="1"/>
    <col min="10" max="10" width="13.5703125" style="11" customWidth="1"/>
    <col min="11" max="11" width="9.85546875" style="11" bestFit="1" customWidth="1"/>
    <col min="12" max="12" width="60.5703125" style="12" customWidth="1"/>
    <col min="13" max="13" width="23.5703125" style="12" customWidth="1"/>
    <col min="14" max="14" width="2.42578125" style="1" customWidth="1"/>
  </cols>
  <sheetData>
    <row r="1" spans="1:14" ht="13.5" thickBot="1" x14ac:dyDescent="0.25">
      <c r="A1" s="125" t="str">
        <f ca="1">MID(CELL("dateiname",A1),FIND("]",CELL("dateiname",A1))+1,255)</f>
        <v>BGF</v>
      </c>
      <c r="B1" s="1"/>
      <c r="C1" s="16"/>
      <c r="D1" s="17"/>
      <c r="E1" s="18"/>
      <c r="F1" s="16"/>
      <c r="G1" s="1"/>
      <c r="H1" s="18"/>
      <c r="I1" s="16"/>
      <c r="J1" s="19"/>
      <c r="K1" s="19"/>
      <c r="L1" s="20"/>
      <c r="M1" s="20"/>
    </row>
    <row r="2" spans="1:14" ht="25.35" customHeight="1" thickTop="1" x14ac:dyDescent="0.2">
      <c r="B2" s="6"/>
      <c r="C2" s="126" t="s">
        <v>23</v>
      </c>
      <c r="D2" s="127" t="s">
        <v>24</v>
      </c>
      <c r="E2" s="21"/>
      <c r="F2" s="22"/>
      <c r="G2"/>
      <c r="H2" s="21"/>
      <c r="I2" s="83" t="s">
        <v>25</v>
      </c>
      <c r="J2" s="69"/>
      <c r="K2" s="69"/>
      <c r="L2"/>
      <c r="M2" s="120"/>
    </row>
    <row r="3" spans="1:14" s="26" customFormat="1" ht="25.35" customHeight="1" thickBot="1" x14ac:dyDescent="0.25">
      <c r="A3" s="23"/>
      <c r="B3" s="28"/>
      <c r="C3" s="128">
        <f>COUNTA(D5:D65001)</f>
        <v>0</v>
      </c>
      <c r="D3" s="136">
        <f>COUNTA(J5:J65001)</f>
        <v>0</v>
      </c>
      <c r="E3" s="25"/>
      <c r="G3"/>
      <c r="H3" s="25"/>
      <c r="I3" s="123"/>
      <c r="J3" s="123"/>
      <c r="K3" s="123"/>
      <c r="L3" s="49"/>
      <c r="M3" s="121"/>
      <c r="N3" s="23"/>
    </row>
    <row r="4" spans="1:14" ht="30" customHeight="1" thickTop="1" x14ac:dyDescent="0.2">
      <c r="B4" s="27"/>
      <c r="C4" s="137" t="s">
        <v>26</v>
      </c>
      <c r="D4" s="133" t="s">
        <v>27</v>
      </c>
      <c r="E4" s="131" t="s">
        <v>28</v>
      </c>
      <c r="F4" s="132" t="s">
        <v>29</v>
      </c>
      <c r="G4" s="131" t="s">
        <v>30</v>
      </c>
      <c r="H4" s="132" t="s">
        <v>31</v>
      </c>
      <c r="I4" s="132" t="s">
        <v>32</v>
      </c>
      <c r="J4" s="132" t="s">
        <v>33</v>
      </c>
      <c r="K4" s="132" t="s">
        <v>34</v>
      </c>
      <c r="L4" s="132" t="s">
        <v>35</v>
      </c>
      <c r="M4" s="135" t="s">
        <v>36</v>
      </c>
    </row>
    <row r="5" spans="1:14" x14ac:dyDescent="0.2">
      <c r="C5" s="8"/>
      <c r="F5" s="8"/>
      <c r="I5" s="8"/>
    </row>
  </sheetData>
  <sheetProtection sheet="1" objects="1" scenarios="1"/>
  <mergeCells count="2">
    <mergeCell ref="M2:M3"/>
    <mergeCell ref="I2:K3"/>
  </mergeCells>
  <phoneticPr fontId="0" type="noConversion"/>
  <conditionalFormatting sqref="C3">
    <cfRule type="cellIs" dxfId="11" priority="1" stopIfTrue="1" operator="equal">
      <formula>$D$3</formula>
    </cfRule>
    <cfRule type="cellIs" dxfId="10" priority="2" stopIfTrue="1" operator="notEqual">
      <formula>$D$3</formula>
    </cfRule>
  </conditionalFormatting>
  <conditionalFormatting sqref="D3">
    <cfRule type="cellIs" dxfId="9" priority="3" stopIfTrue="1" operator="equal">
      <formula>$C$3</formula>
    </cfRule>
    <cfRule type="cellIs" dxfId="8" priority="4" stopIfTrue="1" operator="notEqual">
      <formula>$C$3</formula>
    </cfRule>
  </conditionalFormatting>
  <dataValidations count="4">
    <dataValidation type="list" allowBlank="1" showInputMessage="1" showErrorMessage="1" sqref="D5:D65536" xr:uid="{00000000-0002-0000-0800-000000000000}">
      <formula1>Namen</formula1>
    </dataValidation>
    <dataValidation type="list" allowBlank="1" showInputMessage="1" showErrorMessage="1" sqref="J5:J65536 G5:G65536" xr:uid="{00000000-0002-0000-0800-000001000000}">
      <formula1>BGF</formula1>
    </dataValidation>
    <dataValidation type="list" allowBlank="1" showInputMessage="1" showErrorMessage="1" sqref="M5:M65536" xr:uid="{00000000-0002-0000-0800-000002000000}">
      <formula1>Reko</formula1>
    </dataValidation>
    <dataValidation type="list" allowBlank="1" showInputMessage="1" showErrorMessage="1" sqref="K5:K1048576" xr:uid="{00000000-0002-0000-0800-000003000000}">
      <formula1>Fehlerkategorie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locked="0"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7</xdr:col>
                <xdr:colOff>3990975</xdr:colOff>
                <xdr:row>2</xdr:row>
                <xdr:rowOff>304800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xh2">
    <tabColor theme="6" tint="-0.499984740745262"/>
  </sheetPr>
  <dimension ref="A1:N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11.42578125" defaultRowHeight="12.75" x14ac:dyDescent="0.2"/>
  <cols>
    <col min="1" max="1" width="2.42578125" style="1" customWidth="1"/>
    <col min="2" max="2" width="2.42578125" style="14" customWidth="1"/>
    <col min="3" max="3" width="16.5703125" style="13" customWidth="1"/>
    <col min="4" max="4" width="16.5703125" style="7" customWidth="1"/>
    <col min="5" max="5" width="60.5703125" style="10" customWidth="1"/>
    <col min="6" max="6" width="16.5703125" style="13" customWidth="1"/>
    <col min="7" max="7" width="15" style="9" customWidth="1"/>
    <col min="8" max="8" width="60.5703125" style="10" customWidth="1"/>
    <col min="9" max="9" width="16.5703125" style="13" customWidth="1"/>
    <col min="10" max="10" width="13.5703125" style="11" customWidth="1"/>
    <col min="11" max="11" width="9.85546875" style="11" bestFit="1" customWidth="1"/>
    <col min="12" max="12" width="60.5703125" style="12" customWidth="1"/>
    <col min="13" max="13" width="23.5703125" style="12" customWidth="1"/>
    <col min="14" max="14" width="2.42578125" style="1" customWidth="1"/>
  </cols>
  <sheetData>
    <row r="1" spans="1:14" ht="13.5" thickBot="1" x14ac:dyDescent="0.25">
      <c r="A1" s="125" t="str">
        <f ca="1">MID(CELL("dateiname",A1),FIND("]",CELL("dateiname",A1))+1,255)</f>
        <v>Getriebewerk</v>
      </c>
      <c r="B1" s="1"/>
      <c r="C1" s="16"/>
      <c r="D1" s="17"/>
      <c r="E1" s="18"/>
      <c r="F1" s="16"/>
      <c r="G1" s="1"/>
      <c r="H1" s="18"/>
      <c r="I1" s="16"/>
      <c r="J1" s="19"/>
      <c r="K1" s="19"/>
      <c r="L1" s="20"/>
      <c r="M1" s="20"/>
    </row>
    <row r="2" spans="1:14" ht="25.35" customHeight="1" thickTop="1" x14ac:dyDescent="0.2">
      <c r="B2" s="6"/>
      <c r="C2" s="126" t="s">
        <v>23</v>
      </c>
      <c r="D2" s="127" t="s">
        <v>24</v>
      </c>
      <c r="E2" s="21"/>
      <c r="F2" s="22"/>
      <c r="G2"/>
      <c r="H2" s="21"/>
      <c r="I2" s="83" t="s">
        <v>25</v>
      </c>
      <c r="J2" s="69"/>
      <c r="K2" s="69"/>
      <c r="L2"/>
      <c r="M2" s="120"/>
    </row>
    <row r="3" spans="1:14" s="26" customFormat="1" ht="25.35" customHeight="1" thickBot="1" x14ac:dyDescent="0.25">
      <c r="A3" s="23"/>
      <c r="B3" s="28"/>
      <c r="C3" s="128">
        <f>COUNTA(D5:D64997)</f>
        <v>0</v>
      </c>
      <c r="D3" s="136">
        <f>COUNTA(J5:J64997)</f>
        <v>0</v>
      </c>
      <c r="E3" s="25"/>
      <c r="G3"/>
      <c r="H3" s="25"/>
      <c r="I3" s="123"/>
      <c r="J3" s="123"/>
      <c r="K3" s="123"/>
      <c r="L3" s="49"/>
      <c r="M3" s="121"/>
      <c r="N3" s="23"/>
    </row>
    <row r="4" spans="1:14" ht="30" customHeight="1" thickTop="1" x14ac:dyDescent="0.2">
      <c r="B4" s="27"/>
      <c r="C4" s="137" t="s">
        <v>26</v>
      </c>
      <c r="D4" s="133" t="s">
        <v>27</v>
      </c>
      <c r="E4" s="131" t="s">
        <v>28</v>
      </c>
      <c r="F4" s="132" t="s">
        <v>29</v>
      </c>
      <c r="G4" s="131" t="s">
        <v>30</v>
      </c>
      <c r="H4" s="132" t="s">
        <v>31</v>
      </c>
      <c r="I4" s="132" t="s">
        <v>32</v>
      </c>
      <c r="J4" s="132" t="s">
        <v>33</v>
      </c>
      <c r="K4" s="132" t="s">
        <v>34</v>
      </c>
      <c r="L4" s="132" t="s">
        <v>35</v>
      </c>
      <c r="M4" s="135" t="s">
        <v>36</v>
      </c>
    </row>
  </sheetData>
  <sheetProtection sheet="1" objects="1" scenarios="1"/>
  <mergeCells count="2">
    <mergeCell ref="M2:M3"/>
    <mergeCell ref="I2:K3"/>
  </mergeCells>
  <conditionalFormatting sqref="C3">
    <cfRule type="cellIs" dxfId="7" priority="1" stopIfTrue="1" operator="equal">
      <formula>$D$3</formula>
    </cfRule>
    <cfRule type="cellIs" dxfId="6" priority="2" stopIfTrue="1" operator="notEqual">
      <formula>$D$3</formula>
    </cfRule>
  </conditionalFormatting>
  <conditionalFormatting sqref="D3">
    <cfRule type="cellIs" dxfId="5" priority="3" stopIfTrue="1" operator="equal">
      <formula>$C$3</formula>
    </cfRule>
    <cfRule type="cellIs" dxfId="4" priority="4" stopIfTrue="1" operator="notEqual">
      <formula>$C$3</formula>
    </cfRule>
  </conditionalFormatting>
  <dataValidations count="5">
    <dataValidation type="list" allowBlank="1" showInputMessage="1" showErrorMessage="1" sqref="D5:D65532" xr:uid="{00000000-0002-0000-0900-000000000000}">
      <formula1>Namen</formula1>
    </dataValidation>
    <dataValidation type="list" allowBlank="1" showInputMessage="1" showErrorMessage="1" sqref="M5:M65532" xr:uid="{00000000-0002-0000-0900-000001000000}">
      <formula1>Reko</formula1>
    </dataValidation>
    <dataValidation type="list" allowBlank="1" showInputMessage="1" showErrorMessage="1" sqref="E5:E1048576" xr:uid="{00000000-0002-0000-0900-000002000000}">
      <mc:AlternateContent xmlns:x12ac="http://schemas.microsoft.com/office/spreadsheetml/2011/1/ac" xmlns:mc="http://schemas.openxmlformats.org/markup-compatibility/2006">
        <mc:Choice Requires="x12ac">
          <x12ac:list>"Neuer Eintrag bei ""Getriebewerk Virtuell"""</x12ac:list>
        </mc:Choice>
        <mc:Fallback>
          <formula1>"Neuer Eintrag bei ""Getriebewerk Virtuell"""</formula1>
        </mc:Fallback>
      </mc:AlternateContent>
    </dataValidation>
    <dataValidation type="list" allowBlank="1" showInputMessage="1" showErrorMessage="1" sqref="J5:J1048576 G5:G1048576" xr:uid="{00000000-0002-0000-0900-000003000000}">
      <formula1>Getriebewerk</formula1>
    </dataValidation>
    <dataValidation type="list" allowBlank="1" showInputMessage="1" showErrorMessage="1" sqref="K5:K1048576" xr:uid="{00000000-0002-0000-0900-000004000000}">
      <formula1>Fehlerkategorie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locked="0"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7</xdr:col>
                <xdr:colOff>3990975</xdr:colOff>
                <xdr:row>2</xdr:row>
                <xdr:rowOff>304800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xh3">
    <tabColor rgb="FF7030A0"/>
  </sheetPr>
  <dimension ref="A1:N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3" sqref="C3"/>
    </sheetView>
  </sheetViews>
  <sheetFormatPr baseColWidth="10" defaultColWidth="11.42578125" defaultRowHeight="12.75" x14ac:dyDescent="0.2"/>
  <cols>
    <col min="1" max="1" width="2.42578125" style="1" customWidth="1"/>
    <col min="2" max="2" width="2.42578125" style="14" customWidth="1"/>
    <col min="3" max="3" width="16.5703125" style="13" customWidth="1"/>
    <col min="4" max="4" width="16.5703125" style="7" customWidth="1"/>
    <col min="5" max="5" width="60.5703125" style="10" customWidth="1"/>
    <col min="6" max="6" width="16.5703125" style="13" customWidth="1"/>
    <col min="7" max="7" width="15" style="9" customWidth="1"/>
    <col min="8" max="8" width="60.5703125" style="10" customWidth="1"/>
    <col min="9" max="9" width="16.5703125" style="13" customWidth="1"/>
    <col min="10" max="10" width="13.5703125" style="11" customWidth="1"/>
    <col min="11" max="11" width="9.85546875" style="11" bestFit="1" customWidth="1"/>
    <col min="12" max="12" width="60.5703125" style="12" customWidth="1"/>
    <col min="13" max="13" width="23.5703125" style="12" customWidth="1"/>
    <col min="14" max="14" width="2.42578125" style="1" customWidth="1"/>
  </cols>
  <sheetData>
    <row r="1" spans="1:14" ht="13.5" thickBot="1" x14ac:dyDescent="0.25">
      <c r="A1" s="125" t="str">
        <f ca="1">MID(CELL("dateiname",A1),FIND("]",CELL("dateiname",A1))+1,255)</f>
        <v>Hygiene</v>
      </c>
      <c r="B1" s="1"/>
      <c r="C1" s="16"/>
      <c r="D1" s="17"/>
      <c r="E1" s="18"/>
      <c r="F1" s="16"/>
      <c r="G1" s="1"/>
      <c r="H1" s="18"/>
      <c r="I1" s="16"/>
      <c r="J1" s="19"/>
      <c r="K1" s="19"/>
      <c r="L1" s="20"/>
      <c r="M1" s="20"/>
    </row>
    <row r="2" spans="1:14" ht="25.35" customHeight="1" thickTop="1" x14ac:dyDescent="0.2">
      <c r="B2" s="6"/>
      <c r="C2" s="126" t="s">
        <v>23</v>
      </c>
      <c r="D2" s="127" t="s">
        <v>24</v>
      </c>
      <c r="E2" s="21"/>
      <c r="F2" s="22"/>
      <c r="G2"/>
      <c r="H2" s="21"/>
      <c r="I2" s="83" t="s">
        <v>25</v>
      </c>
      <c r="J2" s="69"/>
      <c r="K2" s="69"/>
      <c r="L2"/>
      <c r="M2" s="120"/>
    </row>
    <row r="3" spans="1:14" s="26" customFormat="1" ht="25.35" customHeight="1" thickBot="1" x14ac:dyDescent="0.25">
      <c r="A3" s="23"/>
      <c r="B3" s="28"/>
      <c r="C3" s="128">
        <f>COUNTA(D5:D64993)</f>
        <v>1</v>
      </c>
      <c r="D3" s="136">
        <f>COUNTA(J5:J64993)</f>
        <v>0</v>
      </c>
      <c r="E3" s="25"/>
      <c r="G3"/>
      <c r="H3" s="25"/>
      <c r="I3" s="123"/>
      <c r="J3" s="123"/>
      <c r="K3" s="123"/>
      <c r="L3" s="49"/>
      <c r="M3" s="121"/>
      <c r="N3" s="23"/>
    </row>
    <row r="4" spans="1:14" ht="30" customHeight="1" thickTop="1" x14ac:dyDescent="0.2">
      <c r="B4" s="27"/>
      <c r="C4" s="137" t="s">
        <v>26</v>
      </c>
      <c r="D4" s="133" t="s">
        <v>27</v>
      </c>
      <c r="E4" s="131" t="s">
        <v>28</v>
      </c>
      <c r="F4" s="132" t="s">
        <v>29</v>
      </c>
      <c r="G4" s="131" t="s">
        <v>30</v>
      </c>
      <c r="H4" s="132" t="s">
        <v>31</v>
      </c>
      <c r="I4" s="132" t="s">
        <v>32</v>
      </c>
      <c r="J4" s="132" t="s">
        <v>33</v>
      </c>
      <c r="K4" s="132" t="s">
        <v>34</v>
      </c>
      <c r="L4" s="132" t="s">
        <v>35</v>
      </c>
      <c r="M4" s="135" t="s">
        <v>36</v>
      </c>
    </row>
    <row r="5" spans="1:14" ht="25.5" x14ac:dyDescent="0.2">
      <c r="C5" s="139">
        <v>46055</v>
      </c>
      <c r="D5" s="139" t="s">
        <v>64</v>
      </c>
      <c r="E5" s="140" t="s">
        <v>91</v>
      </c>
      <c r="K5" s="142" t="s">
        <v>46</v>
      </c>
    </row>
  </sheetData>
  <sheetProtection sheet="1" objects="1" scenarios="1"/>
  <mergeCells count="2">
    <mergeCell ref="M2:M3"/>
    <mergeCell ref="I2:K3"/>
  </mergeCells>
  <conditionalFormatting sqref="C3">
    <cfRule type="cellIs" dxfId="3" priority="1" stopIfTrue="1" operator="equal">
      <formula>$D$3</formula>
    </cfRule>
    <cfRule type="cellIs" dxfId="2" priority="2" stopIfTrue="1" operator="notEqual">
      <formula>$D$3</formula>
    </cfRule>
  </conditionalFormatting>
  <conditionalFormatting sqref="D3">
    <cfRule type="cellIs" dxfId="1" priority="3" stopIfTrue="1" operator="equal">
      <formula>$C$3</formula>
    </cfRule>
    <cfRule type="cellIs" dxfId="0" priority="4" stopIfTrue="1" operator="notEqual">
      <formula>$C$3</formula>
    </cfRule>
  </conditionalFormatting>
  <dataValidations count="4">
    <dataValidation type="list" allowBlank="1" showInputMessage="1" showErrorMessage="1" sqref="G5:G1048576 J5:J1048576" xr:uid="{00000000-0002-0000-0A00-000000000000}">
      <formula1>Hygiene</formula1>
    </dataValidation>
    <dataValidation type="list" allowBlank="1" showInputMessage="1" showErrorMessage="1" sqref="M5:M65528" xr:uid="{00000000-0002-0000-0A00-000001000000}">
      <formula1>Reko</formula1>
    </dataValidation>
    <dataValidation type="list" allowBlank="1" showInputMessage="1" showErrorMessage="1" sqref="D5:D65528" xr:uid="{00000000-0002-0000-0A00-000002000000}">
      <formula1>Namen</formula1>
    </dataValidation>
    <dataValidation type="list" allowBlank="1" showInputMessage="1" showErrorMessage="1" sqref="K5:K1048576" xr:uid="{00000000-0002-0000-0A00-000003000000}">
      <formula1>Fehlerkategorie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locked="0"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7</xdr:col>
                <xdr:colOff>3990975</xdr:colOff>
                <xdr:row>2</xdr:row>
                <xdr:rowOff>304800</xdr:rowOff>
              </to>
            </anchor>
          </controlPr>
        </control>
      </mc:Choice>
      <mc:Fallback>
        <control shapeId="14337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xx"/>
  <dimension ref="A1:Y112"/>
  <sheetViews>
    <sheetView workbookViewId="0">
      <pane xSplit="2" topLeftCell="C1" activePane="topRight" state="frozen"/>
      <selection pane="topRight" activeCell="C4" sqref="C4"/>
    </sheetView>
  </sheetViews>
  <sheetFormatPr baseColWidth="10" defaultColWidth="11.42578125" defaultRowHeight="12.75" x14ac:dyDescent="0.2"/>
  <cols>
    <col min="1" max="1" width="14.42578125" customWidth="1"/>
    <col min="2" max="2" width="45" bestFit="1" customWidth="1"/>
    <col min="3" max="3" width="41.5703125" style="40" customWidth="1"/>
    <col min="4" max="4" width="40" style="40" customWidth="1"/>
    <col min="5" max="5" width="14.42578125" customWidth="1"/>
    <col min="6" max="6" width="42.140625" customWidth="1"/>
    <col min="7" max="7" width="14.42578125" customWidth="1"/>
    <col min="8" max="8" width="39" customWidth="1"/>
    <col min="9" max="9" width="14.42578125" customWidth="1"/>
    <col min="10" max="10" width="16.140625" customWidth="1"/>
    <col min="11" max="11" width="32.42578125" customWidth="1"/>
    <col min="12" max="12" width="15.85546875" hidden="1" customWidth="1"/>
    <col min="13" max="13" width="14.42578125" customWidth="1"/>
    <col min="14" max="14" width="35.42578125" customWidth="1"/>
    <col min="15" max="15" width="14.42578125" customWidth="1"/>
    <col min="16" max="16" width="44" customWidth="1"/>
    <col min="17" max="17" width="27.85546875" customWidth="1"/>
    <col min="18" max="18" width="19" customWidth="1"/>
    <col min="20" max="20" width="30.140625" customWidth="1"/>
    <col min="22" max="22" width="30.85546875" customWidth="1"/>
  </cols>
  <sheetData>
    <row r="1" spans="1:25" ht="34.5" customHeight="1" x14ac:dyDescent="0.2">
      <c r="A1" s="31"/>
      <c r="C1"/>
      <c r="D1" s="124" t="s">
        <v>92</v>
      </c>
      <c r="E1" s="124"/>
      <c r="F1" s="124"/>
      <c r="G1" s="124"/>
      <c r="H1" s="124"/>
      <c r="I1" s="63"/>
      <c r="J1" s="63"/>
      <c r="K1" s="63"/>
      <c r="L1" s="63"/>
    </row>
    <row r="2" spans="1:25" ht="13.5" thickBo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s="33" customFormat="1" ht="25.5" x14ac:dyDescent="0.2">
      <c r="A3" s="146" t="s">
        <v>93</v>
      </c>
      <c r="B3" s="147" t="s">
        <v>94</v>
      </c>
      <c r="C3" s="148" t="str">
        <f ca="1">Sekretariat!A1</f>
        <v>Sekretariat</v>
      </c>
      <c r="D3" s="149" t="s">
        <v>94</v>
      </c>
      <c r="E3" s="150" t="str">
        <f ca="1">'RTW &amp; MPG'!A1</f>
        <v>RTW &amp; MPG</v>
      </c>
      <c r="F3" s="149" t="s">
        <v>94</v>
      </c>
      <c r="G3" s="151" t="str">
        <f ca="1">EDV!A1</f>
        <v>EDV</v>
      </c>
      <c r="H3" s="149" t="s">
        <v>94</v>
      </c>
      <c r="I3" s="152" t="str">
        <f ca="1">'Med.&amp;Verbr.-stoff'!A1</f>
        <v>Med.&amp;Verbr.-stoff</v>
      </c>
      <c r="J3" s="149" t="s">
        <v>94</v>
      </c>
      <c r="K3" s="153" t="str">
        <f ca="1">'WD-Fzg &amp; Schutzkleidg'!A1</f>
        <v>WD-Fzg &amp; Schutzkleidg</v>
      </c>
      <c r="L3" s="149" t="s">
        <v>94</v>
      </c>
      <c r="M3" s="154" t="str">
        <f ca="1">'Organisation Ambulanz'!A1</f>
        <v>Organisation Ambulanz</v>
      </c>
      <c r="N3" s="149" t="s">
        <v>94</v>
      </c>
      <c r="O3" s="155" t="str">
        <f ca="1">BGF!A1</f>
        <v>BGF</v>
      </c>
      <c r="P3" s="149" t="s">
        <v>94</v>
      </c>
      <c r="Q3" s="156" t="s">
        <v>95</v>
      </c>
      <c r="R3" s="47"/>
      <c r="S3" s="157" t="s">
        <v>96</v>
      </c>
      <c r="T3" s="46"/>
      <c r="U3" s="158" t="s">
        <v>97</v>
      </c>
      <c r="V3" s="46"/>
    </row>
    <row r="4" spans="1:25" x14ac:dyDescent="0.2">
      <c r="A4" s="159" t="s">
        <v>37</v>
      </c>
      <c r="B4" s="160" t="s">
        <v>98</v>
      </c>
      <c r="C4" s="161" t="s">
        <v>99</v>
      </c>
      <c r="D4" s="159" t="s">
        <v>100</v>
      </c>
      <c r="E4" s="162" t="s">
        <v>61</v>
      </c>
      <c r="F4" s="159" t="s">
        <v>101</v>
      </c>
      <c r="G4" s="162" t="s">
        <v>44</v>
      </c>
      <c r="H4" s="159" t="s">
        <v>102</v>
      </c>
      <c r="I4" s="161" t="s">
        <v>103</v>
      </c>
      <c r="J4" s="159" t="s">
        <v>104</v>
      </c>
      <c r="K4" s="159" t="s">
        <v>64</v>
      </c>
      <c r="L4" s="159" t="s">
        <v>105</v>
      </c>
      <c r="M4" s="162" t="s">
        <v>64</v>
      </c>
      <c r="N4" s="159" t="s">
        <v>105</v>
      </c>
      <c r="O4" s="159" t="s">
        <v>106</v>
      </c>
      <c r="P4" s="159" t="s">
        <v>107</v>
      </c>
      <c r="Q4" s="162" t="s">
        <v>58</v>
      </c>
      <c r="R4" s="159" t="s">
        <v>108</v>
      </c>
      <c r="S4" s="162" t="s">
        <v>37</v>
      </c>
      <c r="T4" s="159" t="s">
        <v>98</v>
      </c>
      <c r="U4" s="159" t="s">
        <v>64</v>
      </c>
      <c r="V4" s="159" t="s">
        <v>105</v>
      </c>
    </row>
    <row r="5" spans="1:25" x14ac:dyDescent="0.2">
      <c r="A5" s="159" t="s">
        <v>48</v>
      </c>
      <c r="B5" s="159" t="s">
        <v>109</v>
      </c>
      <c r="C5" s="161" t="s">
        <v>110</v>
      </c>
      <c r="D5" s="159" t="s">
        <v>111</v>
      </c>
      <c r="E5" s="60"/>
      <c r="F5" s="32"/>
      <c r="G5" s="60"/>
      <c r="H5" s="159" t="s">
        <v>108</v>
      </c>
      <c r="I5" s="161" t="s">
        <v>59</v>
      </c>
      <c r="J5" s="159" t="s">
        <v>112</v>
      </c>
      <c r="K5" s="60"/>
      <c r="M5" s="60"/>
      <c r="N5" s="32"/>
      <c r="O5" s="159" t="s">
        <v>113</v>
      </c>
      <c r="P5" s="159" t="s">
        <v>114</v>
      </c>
      <c r="Q5" s="60"/>
      <c r="S5" s="162" t="s">
        <v>48</v>
      </c>
      <c r="T5" s="159" t="s">
        <v>109</v>
      </c>
      <c r="U5" s="60"/>
      <c r="V5" s="32"/>
    </row>
    <row r="6" spans="1:25" ht="13.5" thickBot="1" x14ac:dyDescent="0.25">
      <c r="A6" s="159" t="s">
        <v>54</v>
      </c>
      <c r="B6" s="159" t="s">
        <v>115</v>
      </c>
      <c r="C6" s="59"/>
      <c r="D6" s="45"/>
      <c r="E6" s="44"/>
      <c r="F6" s="45"/>
      <c r="G6" s="44"/>
      <c r="H6" s="45"/>
      <c r="I6" s="44"/>
      <c r="J6" s="45"/>
      <c r="K6" s="44"/>
      <c r="L6" s="45"/>
      <c r="M6" s="44"/>
      <c r="N6" s="45"/>
      <c r="P6" s="45"/>
      <c r="Q6" s="44"/>
      <c r="R6" s="48"/>
      <c r="S6" s="44"/>
      <c r="T6" s="45"/>
      <c r="U6" s="44"/>
      <c r="V6" s="45"/>
    </row>
    <row r="7" spans="1:25" x14ac:dyDescent="0.2">
      <c r="A7" s="159" t="s">
        <v>59</v>
      </c>
      <c r="B7" s="159" t="s">
        <v>112</v>
      </c>
      <c r="C7" s="42"/>
      <c r="D7" s="43"/>
      <c r="E7" s="42"/>
      <c r="F7" s="43"/>
      <c r="G7" s="42"/>
      <c r="H7" s="43"/>
      <c r="I7" s="42"/>
      <c r="J7" s="43"/>
      <c r="K7" s="42"/>
      <c r="L7" s="43"/>
      <c r="M7" s="42"/>
      <c r="N7" s="53"/>
      <c r="O7" s="42"/>
      <c r="P7" s="43"/>
      <c r="Q7" s="42"/>
      <c r="R7" s="43"/>
      <c r="S7" s="42"/>
      <c r="T7" s="43"/>
      <c r="U7" s="42"/>
      <c r="V7" s="43"/>
    </row>
    <row r="8" spans="1:25" x14ac:dyDescent="0.2">
      <c r="A8" s="159" t="s">
        <v>70</v>
      </c>
      <c r="B8" s="159" t="s">
        <v>116</v>
      </c>
      <c r="C8" s="162">
        <f>COUNTIF(Sekretariat!K5:$K$1048576,L14)</f>
        <v>0</v>
      </c>
      <c r="D8" s="163" t="str">
        <f>$L$14</f>
        <v>A</v>
      </c>
      <c r="E8" s="162">
        <f>COUNTIF('RTW &amp; MPG'!$K$5:$K$1048576,L14)</f>
        <v>4</v>
      </c>
      <c r="F8" s="163" t="str">
        <f>$L$14</f>
        <v>A</v>
      </c>
      <c r="G8" s="162">
        <f>COUNTIF(EDV!$K$5:$K$1048576,L14)</f>
        <v>1</v>
      </c>
      <c r="H8" s="163" t="str">
        <f>$L$14</f>
        <v>A</v>
      </c>
      <c r="I8" s="162">
        <f>COUNTIF('Med.&amp;Verbr.-stoff'!$K$5:$K$1048576,L14)</f>
        <v>0</v>
      </c>
      <c r="J8" s="163" t="str">
        <f>$L$14</f>
        <v>A</v>
      </c>
      <c r="K8" s="162">
        <f>COUNTIF('WD-Fzg &amp; Schutzkleidg'!$K$5:$K$1048576,L14)</f>
        <v>0</v>
      </c>
      <c r="L8" s="163" t="str">
        <f>$L$14</f>
        <v>A</v>
      </c>
      <c r="M8" s="162">
        <f>COUNTIF('Organisation Ambulanz'!$K$5:$K$1048576,L14)</f>
        <v>1</v>
      </c>
      <c r="N8" s="164" t="str">
        <f>$L$14</f>
        <v>A</v>
      </c>
      <c r="O8" s="162">
        <f>COUNTIF(BGF!$K$5:$K$1048576,L14)</f>
        <v>0</v>
      </c>
      <c r="P8" s="163" t="str">
        <f>$L$14</f>
        <v>A</v>
      </c>
      <c r="Q8" s="162">
        <f>COUNTIF('Ablauf&amp;Prozessprobleme'!$K$5:$K$1048576,L14)</f>
        <v>1</v>
      </c>
      <c r="R8" s="163" t="str">
        <f>$L$14</f>
        <v>A</v>
      </c>
      <c r="S8" s="162">
        <f>COUNTIF(Getriebewerk!$K$5:$K$1048576,L14)</f>
        <v>0</v>
      </c>
      <c r="T8" s="163" t="str">
        <f>$L$14</f>
        <v>A</v>
      </c>
      <c r="U8" s="162">
        <f>COUNTIF(Hygiene!$K$5:$K$1048576,L14)</f>
        <v>1</v>
      </c>
      <c r="V8" s="163" t="str">
        <f>$L$14</f>
        <v>A</v>
      </c>
    </row>
    <row r="9" spans="1:25" x14ac:dyDescent="0.2">
      <c r="A9" s="159" t="s">
        <v>44</v>
      </c>
      <c r="B9" s="159" t="s">
        <v>102</v>
      </c>
      <c r="C9" s="162">
        <f>COUNTIF(Sekretariat!K5:$K$1048576,L15)</f>
        <v>0</v>
      </c>
      <c r="D9" s="163" t="str">
        <f>$L$15</f>
        <v>B</v>
      </c>
      <c r="E9" s="162">
        <f>COUNTIF('RTW &amp; MPG'!$K$5:$K$1048576,L15)</f>
        <v>0</v>
      </c>
      <c r="F9" s="163" t="str">
        <f>$L$15</f>
        <v>B</v>
      </c>
      <c r="G9" s="162">
        <f>COUNTIF(EDV!$K$5:$K$1048576,L15)</f>
        <v>0</v>
      </c>
      <c r="H9" s="163" t="str">
        <f>$L$15</f>
        <v>B</v>
      </c>
      <c r="I9" s="162">
        <f>COUNTIF('Med.&amp;Verbr.-stoff'!$K$5:$K$1048576,L15)</f>
        <v>0</v>
      </c>
      <c r="J9" s="163" t="str">
        <f>$L$15</f>
        <v>B</v>
      </c>
      <c r="K9" s="162">
        <f>COUNTIF('WD-Fzg &amp; Schutzkleidg'!$K$5:$K$1048576,L15)</f>
        <v>0</v>
      </c>
      <c r="L9" s="163" t="str">
        <f>$L$15</f>
        <v>B</v>
      </c>
      <c r="M9" s="162">
        <f>COUNTIF('Organisation Ambulanz'!$K$5:$K$1048576,L15)</f>
        <v>0</v>
      </c>
      <c r="N9" s="164" t="str">
        <f>$L$15</f>
        <v>B</v>
      </c>
      <c r="O9" s="162">
        <f>COUNTIF(BGF!$K$5:$K$1048576,L15)</f>
        <v>0</v>
      </c>
      <c r="P9" s="163" t="str">
        <f>$L$15</f>
        <v>B</v>
      </c>
      <c r="Q9" s="162">
        <f>COUNTIF('Ablauf&amp;Prozessprobleme'!$K$5:$K$1048576,L15)</f>
        <v>0</v>
      </c>
      <c r="R9" s="163" t="str">
        <f>$L$15</f>
        <v>B</v>
      </c>
      <c r="S9" s="162">
        <f>COUNTIF(Getriebewerk!$K$5:$K$1048576,L15)</f>
        <v>0</v>
      </c>
      <c r="T9" s="163" t="str">
        <f>$L$15</f>
        <v>B</v>
      </c>
      <c r="U9" s="162">
        <f>COUNTIF(Hygiene!$K$5:$K$1048576,L15)</f>
        <v>0</v>
      </c>
      <c r="V9" s="163" t="str">
        <f>$L$15</f>
        <v>B</v>
      </c>
    </row>
    <row r="10" spans="1:25" x14ac:dyDescent="0.2">
      <c r="A10" s="159" t="s">
        <v>58</v>
      </c>
      <c r="B10" s="159" t="s">
        <v>108</v>
      </c>
      <c r="C10" s="162">
        <f>COUNTIF(Sekretariat!K5:$K$1048576,L16)</f>
        <v>0</v>
      </c>
      <c r="D10" s="163" t="str">
        <f>$L$16</f>
        <v>C</v>
      </c>
      <c r="E10" s="162">
        <f>COUNTIF('RTW &amp; MPG'!$K$5:$K$1048576,L16)</f>
        <v>0</v>
      </c>
      <c r="F10" s="163" t="str">
        <f>$L$16</f>
        <v>C</v>
      </c>
      <c r="G10" s="162">
        <f>COUNTIF(EDV!$K$5:$K$1048576,L16)</f>
        <v>1</v>
      </c>
      <c r="H10" s="163" t="str">
        <f>$L$16</f>
        <v>C</v>
      </c>
      <c r="I10" s="162">
        <f>COUNTIF('Med.&amp;Verbr.-stoff'!$K$5:$K$1048576,L16)</f>
        <v>2</v>
      </c>
      <c r="J10" s="163" t="str">
        <f>$L$16</f>
        <v>C</v>
      </c>
      <c r="K10" s="162">
        <f>COUNTIF('WD-Fzg &amp; Schutzkleidg'!$K$5:$K$1048576,L16)</f>
        <v>0</v>
      </c>
      <c r="L10" s="163" t="str">
        <f>$L$16</f>
        <v>C</v>
      </c>
      <c r="M10" s="162">
        <f>COUNTIF('Organisation Ambulanz'!$K$5:$K$1048576,L16)</f>
        <v>0</v>
      </c>
      <c r="N10" s="164" t="str">
        <f>$L$16</f>
        <v>C</v>
      </c>
      <c r="O10" s="162">
        <f>COUNTIF(BGF!$K$5:$K$1048576,L16)</f>
        <v>0</v>
      </c>
      <c r="P10" s="163" t="str">
        <f>$L$16</f>
        <v>C</v>
      </c>
      <c r="Q10" s="162">
        <f>COUNTIF('Ablauf&amp;Prozessprobleme'!$K$5:$K$1048576,L16)</f>
        <v>3</v>
      </c>
      <c r="R10" s="163" t="str">
        <f>$L$16</f>
        <v>C</v>
      </c>
      <c r="S10" s="162">
        <f>COUNTIF(Getriebewerk!$K$5:$K$1048576,L16)</f>
        <v>0</v>
      </c>
      <c r="T10" s="163" t="str">
        <f>$L$16</f>
        <v>C</v>
      </c>
      <c r="U10" s="162">
        <f>COUNTIF(Hygiene!$K$5:$K$1048576,L16)</f>
        <v>0</v>
      </c>
      <c r="V10" s="163" t="str">
        <f>$L$16</f>
        <v>C</v>
      </c>
    </row>
    <row r="11" spans="1:25" x14ac:dyDescent="0.2">
      <c r="A11" s="159" t="s">
        <v>117</v>
      </c>
      <c r="B11" s="159" t="s">
        <v>118</v>
      </c>
      <c r="C11" s="162">
        <f>COUNTIF(Sekretariat!K5:$K$1048576,L17)</f>
        <v>0</v>
      </c>
      <c r="D11" s="163" t="str">
        <f>$L$17</f>
        <v>D</v>
      </c>
      <c r="E11" s="162">
        <f>COUNTIF('RTW &amp; MPG'!$K$5:$K$1048576,L17)</f>
        <v>0</v>
      </c>
      <c r="F11" s="163" t="str">
        <f>$L$17</f>
        <v>D</v>
      </c>
      <c r="G11" s="162">
        <f>COUNTIF(EDV!$K$5:$K$1048576,L17)</f>
        <v>0</v>
      </c>
      <c r="H11" s="163" t="str">
        <f>$L$17</f>
        <v>D</v>
      </c>
      <c r="I11" s="162">
        <f>COUNTIF('Med.&amp;Verbr.-stoff'!$K$5:$K$1048576,L17)</f>
        <v>0</v>
      </c>
      <c r="J11" s="163" t="str">
        <f>$L$17</f>
        <v>D</v>
      </c>
      <c r="K11" s="162">
        <f>COUNTIF('WD-Fzg &amp; Schutzkleidg'!$K$5:$K$1048576,L17)</f>
        <v>0</v>
      </c>
      <c r="L11" s="163" t="str">
        <f>$L$17</f>
        <v>D</v>
      </c>
      <c r="M11" s="162">
        <f>COUNTIF('Organisation Ambulanz'!$K$5:$K$1048576,L17)</f>
        <v>0</v>
      </c>
      <c r="N11" s="164" t="str">
        <f>$L$17</f>
        <v>D</v>
      </c>
      <c r="O11" s="162">
        <f>COUNTIF(BGF!$K$5:$K$1048576,L17)</f>
        <v>0</v>
      </c>
      <c r="P11" s="163" t="str">
        <f>$L$17</f>
        <v>D</v>
      </c>
      <c r="Q11" s="162">
        <f>COUNTIF('Ablauf&amp;Prozessprobleme'!$K$5:$K$1048576,L17)</f>
        <v>1</v>
      </c>
      <c r="R11" s="163" t="str">
        <f>$L$17</f>
        <v>D</v>
      </c>
      <c r="S11" s="162">
        <f>COUNTIF(Getriebewerk!$K$5:$K$1048576,L17)</f>
        <v>0</v>
      </c>
      <c r="T11" s="163" t="str">
        <f>$L$17</f>
        <v>D</v>
      </c>
      <c r="U11" s="162">
        <f>COUNTIF(Hygiene!$K$5:$K$1048576,L17)</f>
        <v>0</v>
      </c>
      <c r="V11" s="163" t="str">
        <f>$L$17</f>
        <v>D</v>
      </c>
    </row>
    <row r="12" spans="1:25" ht="13.5" thickBot="1" x14ac:dyDescent="0.25">
      <c r="A12" s="159" t="s">
        <v>39</v>
      </c>
      <c r="B12" s="159" t="s">
        <v>119</v>
      </c>
      <c r="C12" s="51"/>
      <c r="D12" s="52"/>
      <c r="E12" s="44"/>
      <c r="F12" s="45"/>
      <c r="G12" s="44"/>
      <c r="H12" s="45"/>
      <c r="I12" s="44"/>
      <c r="J12" s="50"/>
      <c r="K12" s="44"/>
      <c r="L12" s="45"/>
      <c r="M12" s="44"/>
      <c r="N12" s="48"/>
      <c r="O12" s="44"/>
      <c r="P12" s="45"/>
      <c r="Q12" s="44"/>
      <c r="R12" s="45"/>
      <c r="S12" s="44"/>
      <c r="T12" s="45"/>
      <c r="U12" s="44"/>
      <c r="V12" s="45"/>
    </row>
    <row r="13" spans="1:25" x14ac:dyDescent="0.2">
      <c r="A13" s="159" t="s">
        <v>73</v>
      </c>
      <c r="B13" s="159" t="s">
        <v>101</v>
      </c>
      <c r="C13" s="36" t="s">
        <v>120</v>
      </c>
      <c r="D13" s="37"/>
      <c r="E13" s="38"/>
      <c r="F13" s="38"/>
      <c r="G13" s="162" t="s">
        <v>121</v>
      </c>
      <c r="H13" s="32"/>
      <c r="K13" s="165" t="s">
        <v>122</v>
      </c>
      <c r="L13" s="163" t="s">
        <v>123</v>
      </c>
    </row>
    <row r="14" spans="1:25" x14ac:dyDescent="0.2">
      <c r="A14" s="159" t="s">
        <v>103</v>
      </c>
      <c r="B14" s="159" t="s">
        <v>104</v>
      </c>
      <c r="C14" s="35" t="s">
        <v>124</v>
      </c>
      <c r="D14" s="41" t="s">
        <v>125</v>
      </c>
      <c r="E14" s="34"/>
      <c r="F14" s="34"/>
      <c r="G14" s="159" t="s">
        <v>58</v>
      </c>
      <c r="H14" s="159" t="s">
        <v>108</v>
      </c>
      <c r="K14" s="166">
        <f>SUM(C8+E8+G8+I8+K8+M8+O8+Q8+S8+U8)</f>
        <v>8</v>
      </c>
      <c r="L14" s="163" t="s">
        <v>46</v>
      </c>
    </row>
    <row r="15" spans="1:25" x14ac:dyDescent="0.2">
      <c r="A15" s="159" t="s">
        <v>126</v>
      </c>
      <c r="B15" s="159" t="s">
        <v>100</v>
      </c>
      <c r="C15" s="35" t="s">
        <v>127</v>
      </c>
      <c r="D15" s="35" t="s">
        <v>47</v>
      </c>
      <c r="E15" s="34"/>
      <c r="F15" s="34"/>
      <c r="K15" s="166">
        <f t="shared" ref="K15:K17" si="0">SUM(C9+E9+G9+I9+K9+M9+O9+Q9+S9+U9)</f>
        <v>0</v>
      </c>
      <c r="L15" s="163" t="s">
        <v>128</v>
      </c>
    </row>
    <row r="16" spans="1:25" x14ac:dyDescent="0.2">
      <c r="A16" s="159" t="s">
        <v>106</v>
      </c>
      <c r="B16" s="159" t="s">
        <v>107</v>
      </c>
      <c r="C16" s="35"/>
      <c r="D16" s="35" t="s">
        <v>42</v>
      </c>
      <c r="K16" s="166">
        <f t="shared" si="0"/>
        <v>6</v>
      </c>
      <c r="L16" s="163" t="s">
        <v>41</v>
      </c>
    </row>
    <row r="17" spans="1:12" ht="13.5" thickBot="1" x14ac:dyDescent="0.25">
      <c r="A17" s="159" t="s">
        <v>129</v>
      </c>
      <c r="B17" s="159" t="s">
        <v>130</v>
      </c>
      <c r="C17" s="35"/>
      <c r="D17" s="35" t="str">
        <f>$C$15&amp;" "&amp;$A4</f>
        <v>Besprochen mit  Dr.Frei</v>
      </c>
      <c r="E17" s="159" t="s">
        <v>37</v>
      </c>
      <c r="K17" s="167">
        <f t="shared" si="0"/>
        <v>1</v>
      </c>
      <c r="L17" s="168" t="s">
        <v>84</v>
      </c>
    </row>
    <row r="18" spans="1:12" x14ac:dyDescent="0.2">
      <c r="A18" s="159" t="s">
        <v>83</v>
      </c>
      <c r="B18" s="159" t="s">
        <v>111</v>
      </c>
      <c r="C18" s="35"/>
      <c r="D18" s="35" t="str">
        <f t="shared" ref="D18" si="1">$C$15&amp;" "&amp;$A5</f>
        <v>Besprochen mit  Dr.Schmidt</v>
      </c>
      <c r="E18" s="159" t="s">
        <v>48</v>
      </c>
    </row>
    <row r="19" spans="1:12" x14ac:dyDescent="0.2">
      <c r="A19" s="159" t="s">
        <v>64</v>
      </c>
      <c r="B19" s="159" t="s">
        <v>105</v>
      </c>
      <c r="C19" s="39"/>
      <c r="D19" s="35" t="str">
        <f t="shared" ref="D19:D31" si="2">$C$15&amp;" "&amp;$A6</f>
        <v>Besprochen mit  Dr. Vitez</v>
      </c>
      <c r="E19" s="159" t="s">
        <v>54</v>
      </c>
    </row>
    <row r="20" spans="1:12" x14ac:dyDescent="0.2">
      <c r="D20" s="35" t="str">
        <f t="shared" si="2"/>
        <v>Besprochen mit  Breig</v>
      </c>
      <c r="E20" s="159" t="s">
        <v>59</v>
      </c>
    </row>
    <row r="21" spans="1:12" x14ac:dyDescent="0.2">
      <c r="D21" s="35" t="str">
        <f t="shared" si="2"/>
        <v>Besprochen mit  Krempl</v>
      </c>
      <c r="E21" s="159" t="s">
        <v>70</v>
      </c>
    </row>
    <row r="22" spans="1:12" x14ac:dyDescent="0.2">
      <c r="D22" s="35" t="str">
        <f t="shared" si="2"/>
        <v>Besprochen mit  Siebert</v>
      </c>
      <c r="E22" s="159" t="s">
        <v>44</v>
      </c>
    </row>
    <row r="23" spans="1:12" x14ac:dyDescent="0.2">
      <c r="D23" s="35" t="str">
        <f t="shared" si="2"/>
        <v>Besprochen mit  Putschler</v>
      </c>
      <c r="E23" s="159" t="s">
        <v>58</v>
      </c>
    </row>
    <row r="24" spans="1:12" x14ac:dyDescent="0.2">
      <c r="D24" s="35" t="str">
        <f t="shared" si="2"/>
        <v>Besprochen mit  Jochim</v>
      </c>
      <c r="E24" s="159" t="s">
        <v>64</v>
      </c>
    </row>
    <row r="25" spans="1:12" x14ac:dyDescent="0.2">
      <c r="D25" s="35" t="str">
        <f t="shared" si="2"/>
        <v>Besprochen mit  Zuber</v>
      </c>
      <c r="E25" s="159" t="s">
        <v>39</v>
      </c>
    </row>
    <row r="26" spans="1:12" x14ac:dyDescent="0.2">
      <c r="D26" s="35" t="str">
        <f t="shared" si="2"/>
        <v>Besprochen mit  Göpfrich</v>
      </c>
      <c r="E26" s="159" t="s">
        <v>73</v>
      </c>
    </row>
    <row r="27" spans="1:12" x14ac:dyDescent="0.2">
      <c r="D27" s="35" t="str">
        <f t="shared" si="2"/>
        <v>Besprochen mit  Zeller</v>
      </c>
      <c r="E27" s="159" t="s">
        <v>103</v>
      </c>
    </row>
    <row r="28" spans="1:12" x14ac:dyDescent="0.2">
      <c r="D28" s="35" t="str">
        <f t="shared" si="2"/>
        <v>Besprochen mit  Schmidt</v>
      </c>
      <c r="E28" s="159" t="s">
        <v>126</v>
      </c>
    </row>
    <row r="29" spans="1:12" x14ac:dyDescent="0.2">
      <c r="D29" s="35" t="str">
        <f t="shared" si="2"/>
        <v>Besprochen mit  Zieger-Buchta</v>
      </c>
      <c r="E29" s="159" t="s">
        <v>106</v>
      </c>
    </row>
    <row r="30" spans="1:12" x14ac:dyDescent="0.2">
      <c r="D30" s="35" t="str">
        <f t="shared" si="2"/>
        <v>Besprochen mit  Müller-Horn</v>
      </c>
      <c r="E30" s="169" t="s">
        <v>129</v>
      </c>
    </row>
    <row r="31" spans="1:12" x14ac:dyDescent="0.2">
      <c r="D31" s="35" t="str">
        <f t="shared" si="2"/>
        <v>Besprochen mit  Radimersky</v>
      </c>
      <c r="E31" s="159" t="s">
        <v>83</v>
      </c>
    </row>
    <row r="32" spans="1:12" x14ac:dyDescent="0.2">
      <c r="D32" s="35" t="str">
        <f>$C$15&amp;" "&amp;$A18</f>
        <v>Besprochen mit  Radimersky</v>
      </c>
      <c r="E32" s="159" t="s">
        <v>117</v>
      </c>
    </row>
    <row r="33" spans="4:4" x14ac:dyDescent="0.2">
      <c r="D33" s="35" t="str">
        <f t="shared" ref="D33:D64" si="3">$C$15&amp;" "&amp;$A20</f>
        <v xml:space="preserve">Besprochen mit  </v>
      </c>
    </row>
    <row r="34" spans="4:4" x14ac:dyDescent="0.2">
      <c r="D34" s="35" t="str">
        <f t="shared" si="3"/>
        <v xml:space="preserve">Besprochen mit  </v>
      </c>
    </row>
    <row r="35" spans="4:4" x14ac:dyDescent="0.2">
      <c r="D35" s="35" t="str">
        <f t="shared" si="3"/>
        <v xml:space="preserve">Besprochen mit  </v>
      </c>
    </row>
    <row r="36" spans="4:4" x14ac:dyDescent="0.2">
      <c r="D36" s="35" t="str">
        <f t="shared" si="3"/>
        <v xml:space="preserve">Besprochen mit  </v>
      </c>
    </row>
    <row r="37" spans="4:4" x14ac:dyDescent="0.2">
      <c r="D37" s="35" t="str">
        <f t="shared" si="3"/>
        <v xml:space="preserve">Besprochen mit  </v>
      </c>
    </row>
    <row r="38" spans="4:4" x14ac:dyDescent="0.2">
      <c r="D38" s="35" t="str">
        <f t="shared" si="3"/>
        <v xml:space="preserve">Besprochen mit  </v>
      </c>
    </row>
    <row r="39" spans="4:4" x14ac:dyDescent="0.2">
      <c r="D39" s="35" t="str">
        <f t="shared" si="3"/>
        <v xml:space="preserve">Besprochen mit  </v>
      </c>
    </row>
    <row r="40" spans="4:4" x14ac:dyDescent="0.2">
      <c r="D40" s="35" t="str">
        <f t="shared" si="3"/>
        <v xml:space="preserve">Besprochen mit  </v>
      </c>
    </row>
    <row r="41" spans="4:4" x14ac:dyDescent="0.2">
      <c r="D41" s="35" t="str">
        <f t="shared" si="3"/>
        <v xml:space="preserve">Besprochen mit  </v>
      </c>
    </row>
    <row r="42" spans="4:4" x14ac:dyDescent="0.2">
      <c r="D42" s="35" t="str">
        <f t="shared" si="3"/>
        <v xml:space="preserve">Besprochen mit  </v>
      </c>
    </row>
    <row r="43" spans="4:4" x14ac:dyDescent="0.2">
      <c r="D43" s="35" t="str">
        <f t="shared" si="3"/>
        <v xml:space="preserve">Besprochen mit  </v>
      </c>
    </row>
    <row r="44" spans="4:4" x14ac:dyDescent="0.2">
      <c r="D44" s="35" t="str">
        <f t="shared" si="3"/>
        <v xml:space="preserve">Besprochen mit  </v>
      </c>
    </row>
    <row r="45" spans="4:4" x14ac:dyDescent="0.2">
      <c r="D45" s="35" t="str">
        <f t="shared" si="3"/>
        <v xml:space="preserve">Besprochen mit  </v>
      </c>
    </row>
    <row r="46" spans="4:4" x14ac:dyDescent="0.2">
      <c r="D46" s="35" t="str">
        <f t="shared" si="3"/>
        <v xml:space="preserve">Besprochen mit  </v>
      </c>
    </row>
    <row r="47" spans="4:4" x14ac:dyDescent="0.2">
      <c r="D47" s="35" t="str">
        <f t="shared" si="3"/>
        <v xml:space="preserve">Besprochen mit  </v>
      </c>
    </row>
    <row r="48" spans="4:4" x14ac:dyDescent="0.2">
      <c r="D48" s="35" t="str">
        <f t="shared" si="3"/>
        <v xml:space="preserve">Besprochen mit  </v>
      </c>
    </row>
    <row r="49" spans="4:4" x14ac:dyDescent="0.2">
      <c r="D49" s="35" t="str">
        <f t="shared" si="3"/>
        <v xml:space="preserve">Besprochen mit  </v>
      </c>
    </row>
    <row r="50" spans="4:4" x14ac:dyDescent="0.2">
      <c r="D50" s="35" t="str">
        <f t="shared" si="3"/>
        <v xml:space="preserve">Besprochen mit  </v>
      </c>
    </row>
    <row r="51" spans="4:4" x14ac:dyDescent="0.2">
      <c r="D51" s="35" t="str">
        <f t="shared" si="3"/>
        <v xml:space="preserve">Besprochen mit  </v>
      </c>
    </row>
    <row r="52" spans="4:4" x14ac:dyDescent="0.2">
      <c r="D52" s="35" t="str">
        <f t="shared" si="3"/>
        <v xml:space="preserve">Besprochen mit  </v>
      </c>
    </row>
    <row r="53" spans="4:4" x14ac:dyDescent="0.2">
      <c r="D53" s="35" t="str">
        <f t="shared" si="3"/>
        <v xml:space="preserve">Besprochen mit  </v>
      </c>
    </row>
    <row r="54" spans="4:4" x14ac:dyDescent="0.2">
      <c r="D54" s="35" t="str">
        <f t="shared" si="3"/>
        <v xml:space="preserve">Besprochen mit  </v>
      </c>
    </row>
    <row r="55" spans="4:4" x14ac:dyDescent="0.2">
      <c r="D55" s="35" t="str">
        <f t="shared" si="3"/>
        <v xml:space="preserve">Besprochen mit  </v>
      </c>
    </row>
    <row r="56" spans="4:4" x14ac:dyDescent="0.2">
      <c r="D56" s="35" t="str">
        <f t="shared" si="3"/>
        <v xml:space="preserve">Besprochen mit  </v>
      </c>
    </row>
    <row r="57" spans="4:4" x14ac:dyDescent="0.2">
      <c r="D57" s="35" t="str">
        <f t="shared" si="3"/>
        <v xml:space="preserve">Besprochen mit  </v>
      </c>
    </row>
    <row r="58" spans="4:4" x14ac:dyDescent="0.2">
      <c r="D58" s="35" t="str">
        <f t="shared" si="3"/>
        <v xml:space="preserve">Besprochen mit  </v>
      </c>
    </row>
    <row r="59" spans="4:4" x14ac:dyDescent="0.2">
      <c r="D59" s="35" t="str">
        <f t="shared" si="3"/>
        <v xml:space="preserve">Besprochen mit  </v>
      </c>
    </row>
    <row r="60" spans="4:4" x14ac:dyDescent="0.2">
      <c r="D60" s="35" t="str">
        <f t="shared" si="3"/>
        <v xml:space="preserve">Besprochen mit  </v>
      </c>
    </row>
    <row r="61" spans="4:4" x14ac:dyDescent="0.2">
      <c r="D61" s="35" t="str">
        <f t="shared" si="3"/>
        <v xml:space="preserve">Besprochen mit  </v>
      </c>
    </row>
    <row r="62" spans="4:4" x14ac:dyDescent="0.2">
      <c r="D62" s="35" t="str">
        <f t="shared" si="3"/>
        <v xml:space="preserve">Besprochen mit  </v>
      </c>
    </row>
    <row r="63" spans="4:4" x14ac:dyDescent="0.2">
      <c r="D63" s="35" t="str">
        <f t="shared" si="3"/>
        <v xml:space="preserve">Besprochen mit  </v>
      </c>
    </row>
    <row r="64" spans="4:4" x14ac:dyDescent="0.2">
      <c r="D64" s="35" t="str">
        <f t="shared" si="3"/>
        <v xml:space="preserve">Besprochen mit  </v>
      </c>
    </row>
    <row r="65" spans="4:4" x14ac:dyDescent="0.2">
      <c r="D65" s="35" t="str">
        <f t="shared" ref="D65:D96" si="4">$C$15&amp;" "&amp;$A52</f>
        <v xml:space="preserve">Besprochen mit  </v>
      </c>
    </row>
    <row r="66" spans="4:4" x14ac:dyDescent="0.2">
      <c r="D66" s="35" t="str">
        <f t="shared" si="4"/>
        <v xml:space="preserve">Besprochen mit  </v>
      </c>
    </row>
    <row r="67" spans="4:4" x14ac:dyDescent="0.2">
      <c r="D67" s="35" t="str">
        <f t="shared" si="4"/>
        <v xml:space="preserve">Besprochen mit  </v>
      </c>
    </row>
    <row r="68" spans="4:4" x14ac:dyDescent="0.2">
      <c r="D68" s="35" t="str">
        <f t="shared" si="4"/>
        <v xml:space="preserve">Besprochen mit  </v>
      </c>
    </row>
    <row r="69" spans="4:4" x14ac:dyDescent="0.2">
      <c r="D69" s="35" t="str">
        <f t="shared" si="4"/>
        <v xml:space="preserve">Besprochen mit  </v>
      </c>
    </row>
    <row r="70" spans="4:4" x14ac:dyDescent="0.2">
      <c r="D70" s="35" t="str">
        <f t="shared" si="4"/>
        <v xml:space="preserve">Besprochen mit  </v>
      </c>
    </row>
    <row r="71" spans="4:4" x14ac:dyDescent="0.2">
      <c r="D71" s="35" t="str">
        <f t="shared" si="4"/>
        <v xml:space="preserve">Besprochen mit  </v>
      </c>
    </row>
    <row r="72" spans="4:4" x14ac:dyDescent="0.2">
      <c r="D72" s="35" t="str">
        <f t="shared" si="4"/>
        <v xml:space="preserve">Besprochen mit  </v>
      </c>
    </row>
    <row r="73" spans="4:4" x14ac:dyDescent="0.2">
      <c r="D73" s="35" t="str">
        <f t="shared" si="4"/>
        <v xml:space="preserve">Besprochen mit  </v>
      </c>
    </row>
    <row r="74" spans="4:4" x14ac:dyDescent="0.2">
      <c r="D74" s="35" t="str">
        <f t="shared" si="4"/>
        <v xml:space="preserve">Besprochen mit  </v>
      </c>
    </row>
    <row r="75" spans="4:4" x14ac:dyDescent="0.2">
      <c r="D75" s="35" t="str">
        <f t="shared" si="4"/>
        <v xml:space="preserve">Besprochen mit  </v>
      </c>
    </row>
    <row r="76" spans="4:4" x14ac:dyDescent="0.2">
      <c r="D76" s="35" t="str">
        <f t="shared" si="4"/>
        <v xml:space="preserve">Besprochen mit  </v>
      </c>
    </row>
    <row r="77" spans="4:4" x14ac:dyDescent="0.2">
      <c r="D77" s="35" t="str">
        <f t="shared" si="4"/>
        <v xml:space="preserve">Besprochen mit  </v>
      </c>
    </row>
    <row r="78" spans="4:4" x14ac:dyDescent="0.2">
      <c r="D78" s="35" t="str">
        <f t="shared" si="4"/>
        <v xml:space="preserve">Besprochen mit  </v>
      </c>
    </row>
    <row r="79" spans="4:4" x14ac:dyDescent="0.2">
      <c r="D79" s="35" t="str">
        <f t="shared" si="4"/>
        <v xml:space="preserve">Besprochen mit  </v>
      </c>
    </row>
    <row r="80" spans="4:4" x14ac:dyDescent="0.2">
      <c r="D80" s="35" t="str">
        <f t="shared" si="4"/>
        <v xml:space="preserve">Besprochen mit  </v>
      </c>
    </row>
    <row r="81" spans="4:4" x14ac:dyDescent="0.2">
      <c r="D81" s="35" t="str">
        <f t="shared" si="4"/>
        <v xml:space="preserve">Besprochen mit  </v>
      </c>
    </row>
    <row r="82" spans="4:4" x14ac:dyDescent="0.2">
      <c r="D82" s="35" t="str">
        <f t="shared" si="4"/>
        <v xml:space="preserve">Besprochen mit  </v>
      </c>
    </row>
    <row r="83" spans="4:4" x14ac:dyDescent="0.2">
      <c r="D83" s="35" t="str">
        <f t="shared" si="4"/>
        <v xml:space="preserve">Besprochen mit  </v>
      </c>
    </row>
    <row r="84" spans="4:4" x14ac:dyDescent="0.2">
      <c r="D84" s="35" t="str">
        <f t="shared" si="4"/>
        <v xml:space="preserve">Besprochen mit  </v>
      </c>
    </row>
    <row r="85" spans="4:4" x14ac:dyDescent="0.2">
      <c r="D85" s="35" t="str">
        <f t="shared" si="4"/>
        <v xml:space="preserve">Besprochen mit  </v>
      </c>
    </row>
    <row r="86" spans="4:4" x14ac:dyDescent="0.2">
      <c r="D86" s="35" t="str">
        <f t="shared" si="4"/>
        <v xml:space="preserve">Besprochen mit  </v>
      </c>
    </row>
    <row r="87" spans="4:4" x14ac:dyDescent="0.2">
      <c r="D87" s="35" t="str">
        <f t="shared" si="4"/>
        <v xml:space="preserve">Besprochen mit  </v>
      </c>
    </row>
    <row r="88" spans="4:4" x14ac:dyDescent="0.2">
      <c r="D88" s="35" t="str">
        <f t="shared" si="4"/>
        <v xml:space="preserve">Besprochen mit  </v>
      </c>
    </row>
    <row r="89" spans="4:4" x14ac:dyDescent="0.2">
      <c r="D89" s="35" t="str">
        <f t="shared" si="4"/>
        <v xml:space="preserve">Besprochen mit  </v>
      </c>
    </row>
    <row r="90" spans="4:4" x14ac:dyDescent="0.2">
      <c r="D90" s="35" t="str">
        <f t="shared" si="4"/>
        <v xml:space="preserve">Besprochen mit  </v>
      </c>
    </row>
    <row r="91" spans="4:4" x14ac:dyDescent="0.2">
      <c r="D91" s="35" t="str">
        <f t="shared" si="4"/>
        <v xml:space="preserve">Besprochen mit  </v>
      </c>
    </row>
    <row r="92" spans="4:4" x14ac:dyDescent="0.2">
      <c r="D92" s="35" t="str">
        <f t="shared" si="4"/>
        <v xml:space="preserve">Besprochen mit  </v>
      </c>
    </row>
    <row r="93" spans="4:4" x14ac:dyDescent="0.2">
      <c r="D93" s="35" t="str">
        <f t="shared" si="4"/>
        <v xml:space="preserve">Besprochen mit  </v>
      </c>
    </row>
    <row r="94" spans="4:4" x14ac:dyDescent="0.2">
      <c r="D94" s="35" t="str">
        <f t="shared" si="4"/>
        <v xml:space="preserve">Besprochen mit  </v>
      </c>
    </row>
    <row r="95" spans="4:4" x14ac:dyDescent="0.2">
      <c r="D95" s="35" t="str">
        <f t="shared" si="4"/>
        <v xml:space="preserve">Besprochen mit  </v>
      </c>
    </row>
    <row r="96" spans="4:4" x14ac:dyDescent="0.2">
      <c r="D96" s="35" t="str">
        <f t="shared" si="4"/>
        <v xml:space="preserve">Besprochen mit  </v>
      </c>
    </row>
    <row r="97" spans="4:4" x14ac:dyDescent="0.2">
      <c r="D97" s="35" t="str">
        <f t="shared" ref="D97:D98" si="5">$C$15&amp;" "&amp;$A84</f>
        <v xml:space="preserve">Besprochen mit  </v>
      </c>
    </row>
    <row r="98" spans="4:4" x14ac:dyDescent="0.2">
      <c r="D98" s="35" t="str">
        <f t="shared" si="5"/>
        <v xml:space="preserve">Besprochen mit  </v>
      </c>
    </row>
    <row r="99" spans="4:4" x14ac:dyDescent="0.2">
      <c r="D99" s="35" t="str">
        <f t="shared" ref="D99:D112" si="6">$C$15&amp;" "&amp;$A87</f>
        <v xml:space="preserve">Besprochen mit  </v>
      </c>
    </row>
    <row r="100" spans="4:4" x14ac:dyDescent="0.2">
      <c r="D100" s="35" t="str">
        <f t="shared" si="6"/>
        <v xml:space="preserve">Besprochen mit  </v>
      </c>
    </row>
    <row r="101" spans="4:4" x14ac:dyDescent="0.2">
      <c r="D101" s="35" t="str">
        <f t="shared" si="6"/>
        <v xml:space="preserve">Besprochen mit  </v>
      </c>
    </row>
    <row r="102" spans="4:4" x14ac:dyDescent="0.2">
      <c r="D102" s="35" t="str">
        <f t="shared" si="6"/>
        <v xml:space="preserve">Besprochen mit  </v>
      </c>
    </row>
    <row r="103" spans="4:4" x14ac:dyDescent="0.2">
      <c r="D103" s="35" t="str">
        <f t="shared" si="6"/>
        <v xml:space="preserve">Besprochen mit  </v>
      </c>
    </row>
    <row r="104" spans="4:4" x14ac:dyDescent="0.2">
      <c r="D104" s="35" t="str">
        <f t="shared" si="6"/>
        <v xml:space="preserve">Besprochen mit  </v>
      </c>
    </row>
    <row r="105" spans="4:4" x14ac:dyDescent="0.2">
      <c r="D105" s="35" t="str">
        <f t="shared" si="6"/>
        <v xml:space="preserve">Besprochen mit  </v>
      </c>
    </row>
    <row r="106" spans="4:4" x14ac:dyDescent="0.2">
      <c r="D106" s="35" t="str">
        <f t="shared" si="6"/>
        <v xml:space="preserve">Besprochen mit  </v>
      </c>
    </row>
    <row r="107" spans="4:4" x14ac:dyDescent="0.2">
      <c r="D107" s="35" t="str">
        <f t="shared" si="6"/>
        <v xml:space="preserve">Besprochen mit  </v>
      </c>
    </row>
    <row r="108" spans="4:4" x14ac:dyDescent="0.2">
      <c r="D108" s="35" t="str">
        <f t="shared" si="6"/>
        <v xml:space="preserve">Besprochen mit  </v>
      </c>
    </row>
    <row r="109" spans="4:4" x14ac:dyDescent="0.2">
      <c r="D109" s="35" t="str">
        <f t="shared" si="6"/>
        <v xml:space="preserve">Besprochen mit  </v>
      </c>
    </row>
    <row r="110" spans="4:4" x14ac:dyDescent="0.2">
      <c r="D110" s="35" t="str">
        <f t="shared" si="6"/>
        <v xml:space="preserve">Besprochen mit  </v>
      </c>
    </row>
    <row r="111" spans="4:4" x14ac:dyDescent="0.2">
      <c r="D111" s="35" t="str">
        <f t="shared" si="6"/>
        <v xml:space="preserve">Besprochen mit  </v>
      </c>
    </row>
    <row r="112" spans="4:4" x14ac:dyDescent="0.2">
      <c r="D112" s="35" t="str">
        <f t="shared" si="6"/>
        <v xml:space="preserve">Besprochen mit  </v>
      </c>
    </row>
  </sheetData>
  <sheetProtection sheet="1" objects="1" scenarios="1" selectLockedCells="1" selectUnlockedCells="1"/>
  <sortState xmlns:xlrd2="http://schemas.microsoft.com/office/spreadsheetml/2017/richdata2" ref="A7:B17">
    <sortCondition ref="A6"/>
  </sortState>
  <mergeCells count="1">
    <mergeCell ref="D1:H1"/>
  </mergeCells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ignoredErrors>
    <ignoredError sqref="E8:E11 G8:V11" formula="1"/>
  </ignoredErrors>
  <drawing r:id="rId2"/>
  <legacyDrawing r:id="rId3"/>
  <controls>
    <mc:AlternateContent xmlns:mc="http://schemas.openxmlformats.org/markup-compatibility/2006">
      <mc:Choice Requires="x14">
        <control shapeId="9218" r:id="rId4" name="CmdBtn_Leere_Zellen_entsperren">
          <controlPr defaultSize="0" print="0" autoLine="0" r:id="rId5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10</xdr:col>
                <xdr:colOff>847725</xdr:colOff>
                <xdr:row>1</xdr:row>
                <xdr:rowOff>0</xdr:rowOff>
              </to>
            </anchor>
          </controlPr>
        </control>
      </mc:Choice>
      <mc:Fallback>
        <control shapeId="9218" r:id="rId4" name="CmdBtn_Leere_Zellen_entsperre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"/>
  <dimension ref="A1:D8"/>
  <sheetViews>
    <sheetView workbookViewId="0">
      <selection activeCell="B31" sqref="B31"/>
    </sheetView>
  </sheetViews>
  <sheetFormatPr baseColWidth="10" defaultColWidth="11.42578125" defaultRowHeight="12.75" x14ac:dyDescent="0.2"/>
  <cols>
    <col min="1" max="1" width="10.85546875" bestFit="1" customWidth="1"/>
    <col min="2" max="4" width="52.42578125" customWidth="1"/>
  </cols>
  <sheetData>
    <row r="1" spans="1:4" ht="15.75" x14ac:dyDescent="0.2">
      <c r="A1" s="54" t="s">
        <v>34</v>
      </c>
      <c r="B1" s="54" t="s">
        <v>131</v>
      </c>
      <c r="C1" s="54" t="s">
        <v>132</v>
      </c>
      <c r="D1" s="54" t="s">
        <v>133</v>
      </c>
    </row>
    <row r="2" spans="1:4" ht="51" x14ac:dyDescent="0.2">
      <c r="A2" s="55" t="s">
        <v>84</v>
      </c>
      <c r="B2" s="56" t="s">
        <v>134</v>
      </c>
      <c r="C2" s="56" t="s">
        <v>135</v>
      </c>
      <c r="D2" s="56" t="s">
        <v>136</v>
      </c>
    </row>
    <row r="3" spans="1:4" ht="51" x14ac:dyDescent="0.2">
      <c r="A3" s="55" t="s">
        <v>41</v>
      </c>
      <c r="B3" s="56" t="s">
        <v>137</v>
      </c>
      <c r="C3" s="56" t="s">
        <v>138</v>
      </c>
      <c r="D3" s="56" t="s">
        <v>139</v>
      </c>
    </row>
    <row r="4" spans="1:4" ht="38.25" x14ac:dyDescent="0.2">
      <c r="A4" s="55" t="s">
        <v>128</v>
      </c>
      <c r="B4" s="57" t="s">
        <v>140</v>
      </c>
      <c r="C4" s="56" t="s">
        <v>141</v>
      </c>
      <c r="D4" s="56" t="s">
        <v>142</v>
      </c>
    </row>
    <row r="5" spans="1:4" ht="25.5" x14ac:dyDescent="0.2">
      <c r="A5" s="55" t="s">
        <v>46</v>
      </c>
      <c r="B5" s="57" t="s">
        <v>143</v>
      </c>
      <c r="C5" s="56" t="s">
        <v>144</v>
      </c>
      <c r="D5" s="56" t="s">
        <v>145</v>
      </c>
    </row>
    <row r="8" spans="1:4" x14ac:dyDescent="0.2">
      <c r="C8" s="58" t="s">
        <v>146</v>
      </c>
    </row>
  </sheetData>
  <sheetProtection sheet="1" objects="1" scenarios="1"/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D7061FD335F8947A3EED2751EC252C1" ma:contentTypeVersion="8" ma:contentTypeDescription="Ein neues Dokument erstellen." ma:contentTypeScope="" ma:versionID="563094ad41fe404c9489fbafc2510a86">
  <xsd:schema xmlns:xsd="http://www.w3.org/2001/XMLSchema" xmlns:xs="http://www.w3.org/2001/XMLSchema" xmlns:p="http://schemas.microsoft.com/office/2006/metadata/properties" xmlns:ns2="715c7b11-7e1b-4c2b-ac73-d490a173d4d1" targetNamespace="http://schemas.microsoft.com/office/2006/metadata/properties" ma:root="true" ma:fieldsID="c55abbce2e24a89ddc92d5178c0278d6" ns2:_="">
    <xsd:import namespace="715c7b11-7e1b-4c2b-ac73-d490a173d4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5c7b11-7e1b-4c2b-ac73-d490a173d4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Inhaltstyp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CC85D1-DD9B-47A0-94C2-F4BB369026F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8124F91-172A-4A5A-AF43-06644D85FC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5c7b11-7e1b-4c2b-ac73-d490a173d4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068CD6-D008-48F2-A6B9-EB34E91F7E3A}">
  <ds:schemaRefs>
    <ds:schemaRef ds:uri="http://schemas.microsoft.com/office/2006/documentManagement/types"/>
    <ds:schemaRef ds:uri="http://purl.org/dc/terms/"/>
    <ds:schemaRef ds:uri="http://purl.org/dc/elements/1.1/"/>
    <ds:schemaRef ds:uri="715c7b11-7e1b-4c2b-ac73-d490a173d4d1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12</vt:i4>
      </vt:variant>
    </vt:vector>
  </HeadingPairs>
  <TitlesOfParts>
    <vt:vector size="25" baseType="lpstr">
      <vt:lpstr>Info</vt:lpstr>
      <vt:lpstr>Sekretariat</vt:lpstr>
      <vt:lpstr>EDV</vt:lpstr>
      <vt:lpstr>Med.&amp;Verbr.-stoff</vt:lpstr>
      <vt:lpstr>WD-Fzg &amp; Schutzkleidg</vt:lpstr>
      <vt:lpstr>RTW &amp; MPG</vt:lpstr>
      <vt:lpstr>Organisation Ambulanz</vt:lpstr>
      <vt:lpstr>Ablauf&amp;Prozessprobleme</vt:lpstr>
      <vt:lpstr>BGF</vt:lpstr>
      <vt:lpstr>Getriebewerk</vt:lpstr>
      <vt:lpstr>Hygiene</vt:lpstr>
      <vt:lpstr>Hilfslisten</vt:lpstr>
      <vt:lpstr>Fehlerkategorien</vt:lpstr>
      <vt:lpstr>AblProz</vt:lpstr>
      <vt:lpstr>BGF</vt:lpstr>
      <vt:lpstr>Info!Druckbereich</vt:lpstr>
      <vt:lpstr>EDV</vt:lpstr>
      <vt:lpstr>Fehlerkategorie</vt:lpstr>
      <vt:lpstr>Getriebewerk</vt:lpstr>
      <vt:lpstr>Hygiene</vt:lpstr>
      <vt:lpstr>MedVerbrstoff</vt:lpstr>
      <vt:lpstr>OrganisationAmbulanz</vt:lpstr>
      <vt:lpstr>RTWMPG</vt:lpstr>
      <vt:lpstr>Sekretariat</vt:lpstr>
      <vt:lpstr>WDFzgSchutzkleidung</vt:lpstr>
    </vt:vector>
  </TitlesOfParts>
  <Manager/>
  <Company>Daimler AG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Velten, Manfred (054)</dc:creator>
  <cp:keywords/>
  <dc:description/>
  <cp:lastModifiedBy>Siebert, Emanuel (054)</cp:lastModifiedBy>
  <cp:revision/>
  <dcterms:created xsi:type="dcterms:W3CDTF">2009-10-19T20:13:39Z</dcterms:created>
  <dcterms:modified xsi:type="dcterms:W3CDTF">2026-02-08T22:02:19Z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0x0101004D7061FD335F8947A3EED2751EC252C1</vt:lpwstr>
  </property>
  <property fmtid="{D5CDD505-2E9C-101B-9397-08002B2CF9AE}" pid="3" name="MSIP_Label_924dbb1d-991d-4bbd-aad5-33bac1d8ffaf_Enabled">
    <vt:lpwstr>true</vt:lpwstr>
  </property>
  <property fmtid="{D5CDD505-2E9C-101B-9397-08002B2CF9AE}" pid="4" name="MSIP_Label_924dbb1d-991d-4bbd-aad5-33bac1d8ffaf_SetDate">
    <vt:lpwstr>2023-08-23T11:12:28Z</vt:lpwstr>
  </property>
  <property fmtid="{D5CDD505-2E9C-101B-9397-08002B2CF9AE}" pid="5" name="MSIP_Label_924dbb1d-991d-4bbd-aad5-33bac1d8ffaf_Method">
    <vt:lpwstr>Standard</vt:lpwstr>
  </property>
  <property fmtid="{D5CDD505-2E9C-101B-9397-08002B2CF9AE}" pid="6" name="MSIP_Label_924dbb1d-991d-4bbd-aad5-33bac1d8ffaf_Name">
    <vt:lpwstr>924dbb1d-991d-4bbd-aad5-33bac1d8ffaf</vt:lpwstr>
  </property>
  <property fmtid="{D5CDD505-2E9C-101B-9397-08002B2CF9AE}" pid="7" name="MSIP_Label_924dbb1d-991d-4bbd-aad5-33bac1d8ffaf_SiteId">
    <vt:lpwstr>9652d7c2-1ccf-4940-8151-4a92bd474ed0</vt:lpwstr>
  </property>
  <property fmtid="{D5CDD505-2E9C-101B-9397-08002B2CF9AE}" pid="8" name="MSIP_Label_924dbb1d-991d-4bbd-aad5-33bac1d8ffaf_ActionId">
    <vt:lpwstr>7f8cf7d3-93f8-4bf7-b3ed-7dc54f42edc9</vt:lpwstr>
  </property>
  <property fmtid="{D5CDD505-2E9C-101B-9397-08002B2CF9AE}" pid="9" name="MSIP_Label_924dbb1d-991d-4bbd-aad5-33bac1d8ffaf_ContentBits">
    <vt:lpwstr>0</vt:lpwstr>
  </property>
  <property fmtid="{D5CDD505-2E9C-101B-9397-08002B2CF9AE}" pid="10" name="Order">
    <vt:r8>3700</vt:r8>
  </property>
</Properties>
</file>