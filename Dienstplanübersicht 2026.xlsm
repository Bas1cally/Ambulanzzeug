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DieseArbeitsmappe"/>
  <workbookProtection lockStructure="1" workbookAlgorithmName="SHA-512" workbookHashValue="vFmEwwYtfmBTx+wZJFN2Uo4XblyK2YKFZZ8aaLEL1ilMfLx8obSsr0OG3+NTMUL+9WLLg19YMnDHmCas9MD60A==" workbookSaltValue="2dJ7si3rkuLEatcrQnaORA==" workbookSpinCount="100000"/>
  <bookViews>
    <workbookView visibility="visible" minimized="0" showHorizontalScroll="1" showVerticalScroll="1" showSheetTabs="1" xWindow="-108" yWindow="-108" windowWidth="30936" windowHeight="16776" tabRatio="600" firstSheet="0" activeTab="0" autoFilterDateGrouping="1"/>
  </bookViews>
  <sheets>
    <sheet name="Dienstplan" sheetId="1" state="visible" r:id="rId1"/>
    <sheet name="Jahr" sheetId="2" state="visible" r:id="rId2"/>
    <sheet name="Monat" sheetId="3" state="visible" r:id="rId3"/>
  </sheets>
  <definedNames>
    <definedName name="Brue_H">Monat!$Z$4</definedName>
    <definedName name="EH_Kurs">Monat!$AC$12</definedName>
    <definedName name="Fort_b">Monat!$AC$15</definedName>
    <definedName name="Fortenb">Monat!$Z$13</definedName>
    <definedName name="Frueh_1">Monat!$AC$3</definedName>
    <definedName name="FZC_1">Monat!$AC$18</definedName>
    <definedName name="Gleit_Tag">Monat!$AC$10</definedName>
    <definedName name="Koor_taet">Monat!$AC$13</definedName>
    <definedName name="Krem_E">Monat!$Z$10</definedName>
    <definedName name="Krie_B">Monat!$Z$7</definedName>
    <definedName name="Muster">Monat!$Z$8</definedName>
    <definedName name="Nacht_1">Monat!$AC$5</definedName>
    <definedName name="Normal_1">Monat!$AC$6</definedName>
    <definedName name="NST_1">Monat!$AC$19</definedName>
    <definedName name="Put_W">Monat!$Z$11</definedName>
    <definedName name="Radi_L">Monat!$Z$12</definedName>
    <definedName name="Rath_M">Monat!$Z$5</definedName>
    <definedName name="Scho_K">Monat!$Z$6</definedName>
    <definedName name="Sekre_1">Monat!$AC$14</definedName>
    <definedName name="Sonderd_1">Monat!$AC$9</definedName>
    <definedName name="Spaet_1">Monat!$AC$4</definedName>
    <definedName name="Unt_I">Monat!$AC$7</definedName>
    <definedName name="Unt_II">Monat!$AC$8</definedName>
    <definedName name="Urlaub_1">Monat!$AC$11</definedName>
    <definedName name="Velt_M">Monat!$Z$3</definedName>
    <definedName name="Velten">Monat!$Z$3</definedName>
    <definedName name="Velten_M">Monat!$Z$3</definedName>
    <definedName name="Wuert_A">Monat!$Z$8</definedName>
    <definedName name="_xlnm.Print_Titles" localSheetId="0">'Dienstplan'!$B:$B</definedName>
    <definedName name="_xlnm.Print_Area" localSheetId="0">'Dienstplan'!$CO$6:$DS$19</definedName>
    <definedName name="_xlnm.Print_Area" localSheetId="1">'Jahr'!$B$1:$S$16</definedName>
    <definedName name="_xlnm.Print_Area" localSheetId="2">'Monat'!$B$1:$W$193,'Monat'!$Y$2:$AC$28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68">
    <font>
      <name val="Arial"/>
      <sz val="10"/>
    </font>
    <font>
      <name val="Arial"/>
      <family val="2"/>
      <b val="1"/>
      <sz val="14"/>
    </font>
    <font>
      <name val="Arial"/>
      <family val="2"/>
      <b val="1"/>
      <sz val="11"/>
    </font>
    <font>
      <name val="Arial"/>
      <family val="2"/>
      <sz val="10"/>
    </font>
    <font>
      <name val="Arial"/>
      <family val="2"/>
      <sz val="11"/>
    </font>
    <font>
      <name val="Arial"/>
      <family val="2"/>
      <sz val="8"/>
    </font>
    <font>
      <name val="Arial"/>
      <family val="2"/>
      <b val="1"/>
      <sz val="10"/>
    </font>
    <font>
      <name val="Arial"/>
      <family val="2"/>
      <b val="1"/>
      <color indexed="10"/>
      <sz val="10"/>
    </font>
    <font>
      <name val="Arial"/>
      <family val="2"/>
      <b val="1"/>
      <sz val="8"/>
    </font>
    <font>
      <name val="Arial"/>
      <family val="2"/>
      <sz val="9"/>
    </font>
    <font>
      <name val="Arial"/>
      <family val="2"/>
      <color indexed="10"/>
      <sz val="10"/>
    </font>
    <font>
      <name val="Arial"/>
      <family val="2"/>
      <b val="1"/>
      <color indexed="10"/>
      <sz val="8"/>
    </font>
    <font>
      <name val="Arial"/>
      <family val="2"/>
      <color indexed="48"/>
      <sz val="10"/>
    </font>
    <font>
      <name val="Arial"/>
      <family val="2"/>
      <sz val="26"/>
    </font>
    <font>
      <name val="Arial"/>
      <family val="2"/>
      <sz val="12"/>
    </font>
    <font>
      <name val="Arial"/>
      <family val="2"/>
      <b val="1"/>
      <sz val="12"/>
    </font>
    <font>
      <name val="Arial"/>
      <family val="2"/>
      <sz val="12"/>
    </font>
    <font>
      <name val="Arial"/>
      <family val="2"/>
      <sz val="26"/>
    </font>
    <font>
      <name val="Arial"/>
      <family val="2"/>
      <b val="1"/>
      <sz val="12"/>
    </font>
    <font>
      <name val="Arial"/>
      <family val="2"/>
      <color indexed="10"/>
      <sz val="8"/>
    </font>
    <font>
      <name val="Arial"/>
      <family val="2"/>
      <b val="1"/>
      <sz val="18"/>
    </font>
    <font>
      <name val="Arial"/>
      <family val="2"/>
      <sz val="8"/>
    </font>
    <font>
      <name val="Arial"/>
      <family val="2"/>
      <i val="1"/>
      <sz val="10"/>
    </font>
    <font>
      <name val="Arial"/>
      <family val="2"/>
      <b val="1"/>
      <color indexed="60"/>
      <sz val="22"/>
    </font>
    <font>
      <name val="Tahoma"/>
      <family val="2"/>
      <b val="1"/>
      <color indexed="10"/>
      <sz val="10"/>
    </font>
    <font>
      <name val="Tahoma"/>
      <family val="2"/>
      <color indexed="81"/>
      <sz val="8"/>
    </font>
    <font>
      <name val="Arial"/>
      <family val="2"/>
      <b val="1"/>
      <sz val="16"/>
    </font>
    <font>
      <name val="Arial"/>
      <family val="2"/>
      <b val="1"/>
      <color indexed="10"/>
      <sz val="12"/>
    </font>
    <font>
      <name val="Arial"/>
      <family val="2"/>
      <color rgb="FFFF0000"/>
      <sz val="10"/>
    </font>
    <font>
      <name val="Arial"/>
      <family val="2"/>
      <b val="1"/>
      <color rgb="FFFF0000"/>
      <sz val="10"/>
    </font>
    <font>
      <name val="Arial"/>
      <family val="2"/>
      <b val="1"/>
      <color theme="1"/>
      <sz val="10"/>
    </font>
    <font>
      <name val="Tahoma"/>
      <family val="2"/>
      <b val="1"/>
      <color indexed="10"/>
      <sz val="9"/>
    </font>
    <font>
      <name val="Segoe UI"/>
      <family val="2"/>
      <b val="1"/>
      <color indexed="10"/>
      <sz val="9"/>
    </font>
    <font>
      <name val="Arial"/>
      <family val="2"/>
      <b val="1"/>
      <color rgb="FFFF0000"/>
      <sz val="9"/>
    </font>
    <font>
      <name val="Arial"/>
      <family val="2"/>
      <b val="1"/>
      <color rgb="FFC00000"/>
      <sz val="20"/>
    </font>
    <font>
      <name val="Arial"/>
      <family val="2"/>
      <b val="1"/>
      <color indexed="60"/>
      <sz val="20"/>
    </font>
    <font>
      <name val="Arial"/>
      <family val="2"/>
      <b val="1"/>
      <color rgb="FFC00000"/>
      <sz val="14"/>
    </font>
    <font>
      <name val="Arial"/>
      <family val="2"/>
      <b val="1"/>
      <color rgb="FFC00000"/>
      <sz val="18"/>
    </font>
    <font>
      <name val="Arial"/>
      <family val="2"/>
      <color theme="1"/>
      <sz val="10"/>
    </font>
    <font>
      <name val="Arial"/>
      <family val="2"/>
      <color rgb="FFFF0000"/>
      <sz val="7"/>
    </font>
    <font>
      <name val="Arial"/>
      <family val="2"/>
      <b val="1"/>
      <color rgb="FFFF0000"/>
      <sz val="11"/>
    </font>
    <font>
      <name val="Calibri Light"/>
      <family val="2"/>
      <b val="1"/>
      <color rgb="FFC00000"/>
      <sz val="22"/>
    </font>
    <font>
      <name val="Segoe UI"/>
      <family val="2"/>
      <b val="1"/>
      <color indexed="81"/>
      <sz val="9"/>
    </font>
    <font>
      <name val="Segoe UI"/>
      <family val="2"/>
      <color indexed="81"/>
      <sz val="9"/>
    </font>
    <font>
      <name val="Tahoma"/>
      <family val="2"/>
      <b val="1"/>
      <color indexed="10"/>
      <sz val="8"/>
    </font>
    <font>
      <name val="Segoe UI"/>
      <family val="2"/>
      <b val="1"/>
      <color indexed="10"/>
      <sz val="9"/>
      <u val="single"/>
    </font>
    <font>
      <name val="Segoe UI"/>
      <charset val="1"/>
      <color indexed="81"/>
      <sz val="9"/>
    </font>
    <font>
      <name val="Segoe UI"/>
      <charset val="1"/>
      <b val="1"/>
      <color indexed="81"/>
      <sz val="9"/>
    </font>
    <font>
      <name val="Calibri"/>
      <b val="1"/>
      <color rgb="00FFFFFF"/>
      <sz val="22"/>
    </font>
    <font>
      <name val="Calibri"/>
      <b val="1"/>
      <color rgb="00FFFFFF"/>
      <sz val="18"/>
    </font>
    <font>
      <name val="Calibri"/>
      <color rgb="00B4C6E7"/>
      <sz val="18"/>
    </font>
    <font>
      <name val="Calibri"/>
      <i val="1"/>
      <color rgb="00C00000"/>
      <sz val="9"/>
    </font>
    <font>
      <name val="Calibri"/>
      <b val="1"/>
      <color rgb="001F4E79"/>
      <sz val="10"/>
    </font>
    <font>
      <name val="Calibri"/>
      <b val="1"/>
      <color rgb="00333333"/>
      <sz val="13"/>
    </font>
    <font>
      <name val="Calibri"/>
      <color rgb="00555555"/>
      <sz val="12"/>
    </font>
    <font>
      <name val="Calibri"/>
      <b val="1"/>
      <color rgb="00C00000"/>
      <sz val="12"/>
    </font>
    <font>
      <name val="Calibri"/>
      <b val="1"/>
      <color rgb="001F4E79"/>
      <sz val="13"/>
    </font>
    <font>
      <name val="Calibri"/>
      <b val="1"/>
      <color rgb="00FFFFFF"/>
      <sz val="10"/>
    </font>
    <font>
      <name val="Calibri"/>
      <b val="1"/>
      <color rgb="00FFFFFF"/>
      <sz val="11"/>
    </font>
    <font>
      <name val="Calibri"/>
      <b val="1"/>
      <color rgb="00000000"/>
      <sz val="11"/>
    </font>
    <font>
      <name val="Calibri"/>
      <color rgb="00000000"/>
      <sz val="9"/>
    </font>
    <font>
      <name val="Calibri"/>
      <color rgb="00FFFFFF"/>
      <sz val="9"/>
    </font>
    <font>
      <name val="Calibri"/>
      <color rgb="00333333"/>
      <sz val="11"/>
    </font>
    <font>
      <name val="Calibri"/>
      <b val="1"/>
      <color rgb="00000000"/>
      <sz val="9"/>
    </font>
    <font>
      <name val="Calibri"/>
      <b val="1"/>
      <color rgb="001F4E79"/>
      <sz val="11"/>
    </font>
    <font>
      <name val="Calibri"/>
      <b val="1"/>
      <color rgb="00FFFFFF"/>
      <sz val="13"/>
    </font>
    <font>
      <name val="Calibri"/>
      <color rgb="00333333"/>
      <sz val="10"/>
    </font>
    <font>
      <name val="Calibri"/>
      <b val="1"/>
      <color rgb="00333333"/>
      <sz val="10"/>
    </font>
  </fonts>
  <fills count="47">
    <fill>
      <patternFill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C61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"/>
        <bgColor indexed="64"/>
      </patternFill>
    </fill>
    <fill>
      <patternFill patternType="solid">
        <fgColor theme="9" tint="0.3999755851924192"/>
        <bgColor indexed="64"/>
      </patternFill>
    </fill>
    <fill>
      <patternFill patternType="solid">
        <fgColor theme="3" tint="0.5999938962981048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001F4E79"/>
        <bgColor rgb="001F4E79"/>
      </patternFill>
    </fill>
    <fill>
      <patternFill patternType="solid">
        <fgColor rgb="00FFFFFF"/>
        <bgColor rgb="00FFFFFF"/>
      </patternFill>
    </fill>
    <fill>
      <patternFill patternType="solid">
        <fgColor rgb="00FCE4EC"/>
        <bgColor rgb="00FCE4EC"/>
      </patternFill>
    </fill>
    <fill>
      <patternFill patternType="solid">
        <fgColor rgb="00BDD7EE"/>
        <bgColor rgb="00BDD7EE"/>
      </patternFill>
    </fill>
    <fill>
      <patternFill patternType="solid">
        <fgColor rgb="00D6E4F0"/>
        <bgColor rgb="00D6E4F0"/>
      </patternFill>
    </fill>
    <fill>
      <patternFill patternType="solid">
        <fgColor rgb="00FFF2CC"/>
        <bgColor rgb="00FFF2CC"/>
      </patternFill>
    </fill>
    <fill>
      <patternFill patternType="solid">
        <fgColor rgb="00E8EEF4"/>
        <bgColor rgb="00E8EEF4"/>
      </patternFill>
    </fill>
    <fill>
      <patternFill patternType="solid">
        <fgColor rgb="0070AD47"/>
        <bgColor rgb="0070AD47"/>
      </patternFill>
    </fill>
    <fill>
      <patternFill patternType="solid">
        <fgColor rgb="00F2F2F2"/>
        <bgColor rgb="00F2F2F2"/>
      </patternFill>
    </fill>
    <fill>
      <patternFill patternType="solid">
        <fgColor rgb="002F5496"/>
        <bgColor rgb="002F5496"/>
      </patternFill>
    </fill>
    <fill>
      <patternFill patternType="solid">
        <fgColor rgb="00FFD966"/>
        <bgColor rgb="00FFD966"/>
      </patternFill>
    </fill>
    <fill>
      <patternFill patternType="solid">
        <fgColor rgb="00ED7D31"/>
        <bgColor rgb="00ED7D31"/>
      </patternFill>
    </fill>
    <fill>
      <patternFill patternType="solid">
        <fgColor rgb="005B9BD5"/>
        <bgColor rgb="005B9BD5"/>
      </patternFill>
    </fill>
    <fill>
      <patternFill patternType="solid">
        <fgColor rgb="00BF8F00"/>
        <bgColor rgb="00BF8F00"/>
      </patternFill>
    </fill>
    <fill>
      <patternFill patternType="solid">
        <fgColor rgb="0000B0F0"/>
        <bgColor rgb="0000B0F0"/>
      </patternFill>
    </fill>
    <fill>
      <patternFill patternType="solid">
        <fgColor rgb="00E2EFDA"/>
        <bgColor rgb="00E2EFDA"/>
      </patternFill>
    </fill>
    <fill>
      <patternFill patternType="solid">
        <fgColor rgb="004472C4"/>
        <bgColor rgb="004472C4"/>
      </patternFill>
    </fill>
    <fill>
      <patternFill patternType="solid">
        <fgColor rgb="00BFBFBF"/>
        <bgColor rgb="00BFBFBF"/>
      </patternFill>
    </fill>
    <fill>
      <patternFill patternType="solid">
        <fgColor rgb="00C00000"/>
        <bgColor rgb="00C00000"/>
      </patternFill>
    </fill>
    <fill>
      <patternFill patternType="solid">
        <fgColor rgb="009DC3E6"/>
        <bgColor rgb="009DC3E6"/>
      </patternFill>
    </fill>
    <fill>
      <patternFill patternType="solid">
        <fgColor rgb="00D9D9D9"/>
        <bgColor rgb="00D9D9D9"/>
      </patternFill>
    </fill>
    <fill>
      <patternFill patternType="solid">
        <fgColor rgb="00F4B183"/>
        <bgColor rgb="00F4B183"/>
      </patternFill>
    </fill>
    <fill>
      <patternFill patternType="solid">
        <fgColor rgb="00F5F5F5"/>
        <bgColor rgb="00F5F5F5"/>
      </patternFill>
    </fill>
    <fill>
      <patternFill patternType="solid">
        <fgColor rgb="00305496"/>
        <bgColor rgb="00305496"/>
      </patternFill>
    </fill>
    <fill>
      <patternFill patternType="solid">
        <fgColor rgb="00FF6F61"/>
        <bgColor rgb="00FF6F61"/>
      </patternFill>
    </fill>
    <fill>
      <patternFill patternType="solid">
        <fgColor rgb="007030A0"/>
        <bgColor rgb="007030A0"/>
      </patternFill>
    </fill>
  </fills>
  <borders count="97">
    <border>
      <left/>
      <right/>
      <top/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00B4C6E7"/>
      </left>
      <right style="thin">
        <color rgb="00B4C6E7"/>
      </right>
      <top style="thin">
        <color rgb="00B4C6E7"/>
      </top>
      <bottom style="thin">
        <color rgb="00B4C6E7"/>
      </bottom>
    </border>
    <border>
      <left style="thin">
        <color rgb="00B4C6E7"/>
      </left>
      <right style="thin">
        <color rgb="00B4C6E7"/>
      </right>
      <top style="thin">
        <color rgb="00B4C6E7"/>
      </top>
      <bottom style="medium">
        <color rgb="001F4E79"/>
      </bottom>
    </border>
    <border>
      <left style="thin">
        <color rgb="00B4C6E7"/>
      </left>
      <right style="medium">
        <color rgb="001F4E79"/>
      </right>
      <top style="thin">
        <color rgb="00B4C6E7"/>
      </top>
      <bottom style="thin">
        <color rgb="00B4C6E7"/>
      </bottom>
    </border>
  </borders>
  <cellStyleXfs count="1">
    <xf numFmtId="0" fontId="0" fillId="0" borderId="0"/>
  </cellStyleXfs>
  <cellXfs count="489">
    <xf numFmtId="0" fontId="0" fillId="0" borderId="0" pivotButton="0" quotePrefix="0" xfId="0"/>
    <xf numFmtId="0" fontId="0" fillId="2" borderId="0" pivotButton="0" quotePrefix="0" xfId="0"/>
    <xf numFmtId="0" fontId="6" fillId="0" borderId="0" pivotButton="0" quotePrefix="0" xfId="0"/>
    <xf numFmtId="0" fontId="7" fillId="0" borderId="0" pivotButton="0" quotePrefix="0" xfId="0"/>
    <xf numFmtId="0" fontId="6" fillId="3" borderId="0" pivotButton="0" quotePrefix="0" xfId="0"/>
    <xf numFmtId="0" fontId="0" fillId="3" borderId="0" pivotButton="0" quotePrefix="0" xfId="0"/>
    <xf numFmtId="0" fontId="22" fillId="0" borderId="0" pivotButton="0" quotePrefix="0" xfId="0"/>
    <xf numFmtId="0" fontId="3" fillId="0" borderId="1" applyProtection="1" pivotButton="0" quotePrefix="0" xfId="0">
      <protection locked="0" hidden="0"/>
    </xf>
    <xf numFmtId="0" fontId="3" fillId="0" borderId="2" applyProtection="1" pivotButton="0" quotePrefix="0" xfId="0">
      <protection locked="0" hidden="0"/>
    </xf>
    <xf numFmtId="0" fontId="3" fillId="0" borderId="4" applyProtection="1" pivotButton="0" quotePrefix="0" xfId="0">
      <protection locked="0" hidden="0"/>
    </xf>
    <xf numFmtId="0" fontId="3" fillId="0" borderId="5" applyProtection="1" pivotButton="0" quotePrefix="0" xfId="0">
      <protection locked="0" hidden="0"/>
    </xf>
    <xf numFmtId="0" fontId="0" fillId="0" borderId="6" pivotButton="0" quotePrefix="0" xfId="0"/>
    <xf numFmtId="0" fontId="0" fillId="2" borderId="6" pivotButton="0" quotePrefix="0" xfId="0"/>
    <xf numFmtId="0" fontId="6" fillId="3" borderId="6" pivotButton="0" quotePrefix="0" xfId="0"/>
    <xf numFmtId="0" fontId="0" fillId="0" borderId="7" pivotButton="0" quotePrefix="0" xfId="0"/>
    <xf numFmtId="0" fontId="6" fillId="3" borderId="0" applyAlignment="1" pivotButton="0" quotePrefix="0" xfId="0">
      <alignment horizontal="center"/>
    </xf>
    <xf numFmtId="0" fontId="0" fillId="0" borderId="8" pivotButton="0" quotePrefix="0" xfId="0"/>
    <xf numFmtId="0" fontId="0" fillId="2" borderId="14" pivotButton="0" quotePrefix="0" xfId="0"/>
    <xf numFmtId="0" fontId="7" fillId="0" borderId="0" applyAlignment="1" pivotButton="0" quotePrefix="0" xfId="0">
      <alignment horizontal="center"/>
    </xf>
    <xf numFmtId="0" fontId="6" fillId="0" borderId="0" applyAlignment="1" pivotButton="0" quotePrefix="0" xfId="0">
      <alignment horizontal="center"/>
    </xf>
    <xf numFmtId="0" fontId="0" fillId="0" borderId="14" pivotButton="0" quotePrefix="0" xfId="0"/>
    <xf numFmtId="0" fontId="6" fillId="3" borderId="14" pivotButton="0" quotePrefix="0" xfId="0"/>
    <xf numFmtId="0" fontId="0" fillId="0" borderId="20" pivotButton="0" quotePrefix="0" xfId="0"/>
    <xf numFmtId="0" fontId="3" fillId="0" borderId="0" pivotButton="0" quotePrefix="0" xfId="0"/>
    <xf numFmtId="0" fontId="0" fillId="0" borderId="21" pivotButton="0" quotePrefix="0" xfId="0"/>
    <xf numFmtId="0" fontId="0" fillId="0" borderId="22" pivotButton="0" quotePrefix="0" xfId="0"/>
    <xf numFmtId="0" fontId="7" fillId="0" borderId="6" pivotButton="0" quotePrefix="0" xfId="0"/>
    <xf numFmtId="0" fontId="6" fillId="0" borderId="6" pivotButton="0" quotePrefix="0" xfId="0"/>
    <xf numFmtId="0" fontId="3" fillId="0" borderId="15" pivotButton="0" quotePrefix="0" xfId="0"/>
    <xf numFmtId="0" fontId="3" fillId="0" borderId="28" pivotButton="0" quotePrefix="0" xfId="0"/>
    <xf numFmtId="0" fontId="3" fillId="0" borderId="23" applyProtection="1" pivotButton="0" quotePrefix="0" xfId="0">
      <protection locked="0" hidden="0"/>
    </xf>
    <xf numFmtId="0" fontId="3" fillId="0" borderId="24" applyProtection="1" pivotButton="0" quotePrefix="0" xfId="0">
      <protection locked="0" hidden="0"/>
    </xf>
    <xf numFmtId="0" fontId="6" fillId="0" borderId="29" pivotButton="0" quotePrefix="0" xfId="0"/>
    <xf numFmtId="0" fontId="6" fillId="0" borderId="30" pivotButton="0" quotePrefix="0" xfId="0"/>
    <xf numFmtId="0" fontId="6" fillId="0" borderId="31" pivotButton="0" quotePrefix="0" xfId="0"/>
    <xf numFmtId="0" fontId="6" fillId="0" borderId="32" pivotButton="0" quotePrefix="0" xfId="0"/>
    <xf numFmtId="0" fontId="7" fillId="4" borderId="14" applyAlignment="1" pivotButton="0" quotePrefix="0" xfId="0">
      <alignment horizontal="center"/>
    </xf>
    <xf numFmtId="0" fontId="3" fillId="0" borderId="2" pivotButton="0" quotePrefix="0" xfId="0"/>
    <xf numFmtId="0" fontId="3" fillId="0" borderId="23" pivotButton="0" quotePrefix="0" xfId="0"/>
    <xf numFmtId="0" fontId="0" fillId="0" borderId="23" pivotButton="0" quotePrefix="0" xfId="0"/>
    <xf numFmtId="0" fontId="6" fillId="0" borderId="24" pivotButton="0" quotePrefix="0" xfId="0"/>
    <xf numFmtId="0" fontId="3" fillId="0" borderId="3" pivotButton="0" quotePrefix="0" xfId="0"/>
    <xf numFmtId="0" fontId="3" fillId="0" borderId="5" pivotButton="0" quotePrefix="0" xfId="0"/>
    <xf numFmtId="0" fontId="6" fillId="0" borderId="1" applyProtection="1" pivotButton="0" quotePrefix="0" xfId="0">
      <protection locked="0" hidden="0"/>
    </xf>
    <xf numFmtId="0" fontId="2" fillId="11" borderId="27" applyAlignment="1" pivotButton="0" quotePrefix="0" xfId="0">
      <alignment horizontal="center" vertical="center"/>
    </xf>
    <xf numFmtId="0" fontId="0" fillId="13" borderId="0" applyAlignment="1" pivotButton="0" quotePrefix="0" xfId="0">
      <alignment vertical="center"/>
    </xf>
    <xf numFmtId="0" fontId="0" fillId="13" borderId="18" applyAlignment="1" pivotButton="0" quotePrefix="0" xfId="0">
      <alignment horizontal="center" vertical="center"/>
    </xf>
    <xf numFmtId="0" fontId="0" fillId="13" borderId="18" applyAlignment="1" pivotButton="0" quotePrefix="0" xfId="0">
      <alignment vertical="center"/>
    </xf>
    <xf numFmtId="0" fontId="14" fillId="13" borderId="18" applyAlignment="1" pivotButton="0" quotePrefix="0" xfId="0">
      <alignment horizontal="center" vertical="center"/>
    </xf>
    <xf numFmtId="0" fontId="0" fillId="13" borderId="6" applyAlignment="1" pivotButton="0" quotePrefix="0" xfId="0">
      <alignment vertical="center"/>
    </xf>
    <xf numFmtId="0" fontId="13" fillId="4" borderId="37" applyAlignment="1" pivotButton="0" quotePrefix="0" xfId="0">
      <alignment horizontal="center" vertical="center"/>
    </xf>
    <xf numFmtId="0" fontId="0" fillId="4" borderId="36" applyAlignment="1" pivotButton="0" quotePrefix="0" xfId="0">
      <alignment vertical="center"/>
    </xf>
    <xf numFmtId="0" fontId="14" fillId="4" borderId="36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17" fontId="13" fillId="4" borderId="9" applyAlignment="1" pivotButton="0" quotePrefix="0" xfId="0">
      <alignment horizontal="center" vertical="center"/>
    </xf>
    <xf numFmtId="0" fontId="15" fillId="4" borderId="0" applyAlignment="1" pivotButton="0" quotePrefix="0" xfId="0">
      <alignment vertical="center"/>
    </xf>
    <xf numFmtId="0" fontId="15" fillId="4" borderId="36" applyAlignment="1" pivotButton="0" quotePrefix="0" xfId="0">
      <alignment vertical="center"/>
    </xf>
    <xf numFmtId="0" fontId="15" fillId="7" borderId="0" applyAlignment="1" pivotButton="0" quotePrefix="0" xfId="0">
      <alignment vertical="center"/>
    </xf>
    <xf numFmtId="0" fontId="15" fillId="0" borderId="0" applyAlignment="1" pivotButton="0" quotePrefix="0" xfId="0">
      <alignment vertical="center"/>
    </xf>
    <xf numFmtId="0" fontId="2" fillId="5" borderId="12" applyAlignment="1" pivotButton="0" quotePrefix="0" xfId="0">
      <alignment horizontal="center" vertical="center"/>
    </xf>
    <xf numFmtId="0" fontId="2" fillId="5" borderId="13" applyAlignment="1" pivotButton="0" quotePrefix="0" xfId="0">
      <alignment horizontal="center" vertical="center"/>
    </xf>
    <xf numFmtId="0" fontId="2" fillId="5" borderId="16" applyAlignment="1" pivotButton="0" quotePrefix="0" xfId="0">
      <alignment horizontal="center" vertical="center"/>
    </xf>
    <xf numFmtId="0" fontId="2" fillId="5" borderId="25" applyAlignment="1" pivotButton="0" quotePrefix="0" xfId="0">
      <alignment horizontal="center" vertical="center"/>
    </xf>
    <xf numFmtId="0" fontId="2" fillId="5" borderId="40" applyAlignment="1" pivotButton="0" quotePrefix="0" xfId="0">
      <alignment horizontal="center" vertical="center"/>
    </xf>
    <xf numFmtId="0" fontId="2" fillId="5" borderId="56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" fillId="5" borderId="19" applyAlignment="1" pivotButton="0" quotePrefix="0" xfId="0">
      <alignment horizontal="center" vertical="center"/>
    </xf>
    <xf numFmtId="0" fontId="3" fillId="0" borderId="0" applyAlignment="1" pivotButton="0" quotePrefix="0" xfId="0">
      <alignment horizontal="center" vertical="center"/>
    </xf>
    <xf numFmtId="0" fontId="1" fillId="5" borderId="14" applyAlignment="1" pivotButton="0" quotePrefix="0" xfId="0">
      <alignment horizontal="center" vertical="center"/>
    </xf>
    <xf numFmtId="0" fontId="7" fillId="6" borderId="25" applyAlignment="1" pivotButton="0" quotePrefix="0" xfId="0">
      <alignment horizontal="center" vertical="center"/>
    </xf>
    <xf numFmtId="0" fontId="14" fillId="12" borderId="0" applyAlignment="1" pivotButton="0" quotePrefix="0" xfId="0">
      <alignment vertical="center"/>
    </xf>
    <xf numFmtId="0" fontId="15" fillId="4" borderId="19" applyAlignment="1" pivotButton="0" quotePrefix="0" xfId="0">
      <alignment vertical="center"/>
    </xf>
    <xf numFmtId="0" fontId="15" fillId="4" borderId="7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14" fillId="13" borderId="0" applyAlignment="1" pivotButton="0" quotePrefix="0" xfId="0">
      <alignment vertical="center"/>
    </xf>
    <xf numFmtId="0" fontId="14" fillId="0" borderId="0" applyAlignment="1" pivotButton="0" quotePrefix="0" xfId="0">
      <alignment vertical="center"/>
    </xf>
    <xf numFmtId="0" fontId="15" fillId="4" borderId="35" applyAlignment="1" pivotButton="0" quotePrefix="0" xfId="0">
      <alignment horizontal="center" vertical="center"/>
    </xf>
    <xf numFmtId="0" fontId="16" fillId="0" borderId="0" applyAlignment="1" pivotButton="0" quotePrefix="0" xfId="0">
      <alignment vertical="center"/>
    </xf>
    <xf numFmtId="0" fontId="16" fillId="12" borderId="0" applyAlignment="1" pivotButton="0" quotePrefix="0" xfId="0">
      <alignment vertical="center"/>
    </xf>
    <xf numFmtId="0" fontId="15" fillId="4" borderId="21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0" fillId="12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17" fontId="17" fillId="0" borderId="0" applyAlignment="1" pivotButton="0" quotePrefix="0" xfId="0">
      <alignment horizontal="center" vertical="center"/>
    </xf>
    <xf numFmtId="0" fontId="27" fillId="0" borderId="0" applyAlignment="1" pivotButton="0" quotePrefix="0" xfId="0">
      <alignment vertical="center"/>
    </xf>
    <xf numFmtId="0" fontId="14" fillId="0" borderId="0" applyAlignment="1" pivotButton="0" quotePrefix="0" xfId="0">
      <alignment horizontal="center" vertical="center"/>
    </xf>
    <xf numFmtId="0" fontId="16" fillId="13" borderId="0" applyAlignment="1" pivotButton="0" quotePrefix="0" xfId="0">
      <alignment vertical="center"/>
    </xf>
    <xf numFmtId="0" fontId="16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0" fillId="0" borderId="0" applyAlignment="1" applyProtection="1" pivotButton="0" quotePrefix="0" xfId="0">
      <alignment vertical="center" wrapText="1"/>
      <protection locked="0" hidden="0"/>
    </xf>
    <xf numFmtId="0" fontId="7" fillId="0" borderId="0" applyAlignment="1" pivotButton="0" quotePrefix="0" xfId="0">
      <alignment horizontal="center" vertical="center"/>
    </xf>
    <xf numFmtId="0" fontId="17" fillId="13" borderId="0" applyAlignment="1" pivotButton="0" quotePrefix="0" xfId="0">
      <alignment vertical="center"/>
    </xf>
    <xf numFmtId="0" fontId="17" fillId="0" borderId="0" applyAlignment="1" pivotButton="0" quotePrefix="0" xfId="0">
      <alignment vertical="center"/>
    </xf>
    <xf numFmtId="0" fontId="17" fillId="12" borderId="0" applyAlignment="1" pivotButton="0" quotePrefix="0" xfId="0">
      <alignment vertical="center"/>
    </xf>
    <xf numFmtId="0" fontId="15" fillId="13" borderId="0" applyAlignment="1" pivotButton="0" quotePrefix="0" xfId="0">
      <alignment vertical="center"/>
    </xf>
    <xf numFmtId="0" fontId="15" fillId="0" borderId="0" applyAlignment="1" pivotButton="0" quotePrefix="0" xfId="0">
      <alignment horizontal="center" vertical="center"/>
    </xf>
    <xf numFmtId="0" fontId="18" fillId="0" borderId="0" applyAlignment="1" pivotButton="0" quotePrefix="0" xfId="0">
      <alignment horizontal="center" vertical="center"/>
    </xf>
    <xf numFmtId="0" fontId="15" fillId="12" borderId="0" applyAlignment="1" pivotButton="0" quotePrefix="0" xfId="0">
      <alignment vertical="center"/>
    </xf>
    <xf numFmtId="0" fontId="19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6" fillId="0" borderId="0" applyAlignment="1" pivotButton="0" quotePrefix="0" xfId="0">
      <alignment vertical="center"/>
    </xf>
    <xf numFmtId="0" fontId="9" fillId="0" borderId="0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8" fillId="0" borderId="0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16" fontId="5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0" fontId="7" fillId="0" borderId="21" applyAlignment="1" pivotButton="0" quotePrefix="0" xfId="0">
      <alignment horizontal="center"/>
    </xf>
    <xf numFmtId="0" fontId="28" fillId="8" borderId="27" applyAlignment="1" pivotButton="0" quotePrefix="0" xfId="0">
      <alignment horizontal="center"/>
    </xf>
    <xf numFmtId="0" fontId="0" fillId="4" borderId="9" applyAlignment="1" pivotButton="0" quotePrefix="0" xfId="0">
      <alignment horizontal="center" vertical="center"/>
    </xf>
    <xf numFmtId="0" fontId="14" fillId="4" borderId="21" applyAlignment="1" pivotButton="0" quotePrefix="0" xfId="0">
      <alignment horizontal="center" vertical="center"/>
    </xf>
    <xf numFmtId="0" fontId="0" fillId="13" borderId="37" applyAlignment="1" pivotButton="0" quotePrefix="0" xfId="0">
      <alignment vertical="center"/>
    </xf>
    <xf numFmtId="0" fontId="16" fillId="13" borderId="21" applyAlignment="1" pivotButton="0" quotePrefix="0" xfId="0">
      <alignment vertical="center"/>
    </xf>
    <xf numFmtId="0" fontId="0" fillId="13" borderId="21" applyAlignment="1" pivotButton="0" quotePrefix="0" xfId="0">
      <alignment vertical="center"/>
    </xf>
    <xf numFmtId="0" fontId="28" fillId="8" borderId="12" applyAlignment="1" pivotButton="0" quotePrefix="0" xfId="0">
      <alignment horizontal="center"/>
    </xf>
    <xf numFmtId="0" fontId="29" fillId="9" borderId="58" applyAlignment="1" pivotButton="0" quotePrefix="0" xfId="0">
      <alignment horizontal="center" vertical="center"/>
    </xf>
    <xf numFmtId="0" fontId="3" fillId="16" borderId="25" applyAlignment="1" pivotButton="0" quotePrefix="0" xfId="0">
      <alignment horizontal="center" vertical="center"/>
    </xf>
    <xf numFmtId="0" fontId="29" fillId="16" borderId="25" applyAlignment="1" pivotButton="0" quotePrefix="0" xfId="0">
      <alignment horizontal="center" vertical="center"/>
    </xf>
    <xf numFmtId="0" fontId="33" fillId="16" borderId="25" applyAlignment="1" pivotButton="0" quotePrefix="0" xfId="0">
      <alignment horizontal="center" vertical="center" wrapText="1"/>
    </xf>
    <xf numFmtId="0" fontId="29" fillId="9" borderId="25" applyAlignment="1" pivotButton="0" quotePrefix="0" xfId="0">
      <alignment horizontal="center"/>
    </xf>
    <xf numFmtId="0" fontId="28" fillId="12" borderId="27" applyAlignment="1" pivotButton="0" quotePrefix="0" xfId="0">
      <alignment horizontal="center"/>
    </xf>
    <xf numFmtId="0" fontId="15" fillId="7" borderId="7" applyAlignment="1" pivotButton="0" quotePrefix="0" xfId="0">
      <alignment vertical="center"/>
    </xf>
    <xf numFmtId="0" fontId="28" fillId="12" borderId="0" applyAlignment="1" pivotButton="0" quotePrefix="0" xfId="0">
      <alignment horizontal="center"/>
    </xf>
    <xf numFmtId="0" fontId="15" fillId="4" borderId="39" applyAlignment="1" pivotButton="0" quotePrefix="0" xfId="0">
      <alignment vertical="center"/>
    </xf>
    <xf numFmtId="0" fontId="28" fillId="8" borderId="40" applyAlignment="1" pivotButton="0" quotePrefix="0" xfId="0">
      <alignment horizontal="center"/>
    </xf>
    <xf numFmtId="0" fontId="0" fillId="4" borderId="37" applyAlignment="1" pivotButton="0" quotePrefix="0" xfId="0">
      <alignment horizontal="center" vertical="center"/>
    </xf>
    <xf numFmtId="0" fontId="2" fillId="5" borderId="15" applyAlignment="1" pivotButton="0" quotePrefix="0" xfId="0">
      <alignment horizontal="center" vertical="center"/>
    </xf>
    <xf numFmtId="0" fontId="2" fillId="5" borderId="62" applyAlignment="1" pivotButton="0" quotePrefix="0" xfId="0">
      <alignment horizontal="center" vertical="center"/>
    </xf>
    <xf numFmtId="0" fontId="2" fillId="5" borderId="34" applyAlignment="1" pivotButton="0" quotePrefix="0" xfId="0">
      <alignment horizontal="center" vertical="center"/>
    </xf>
    <xf numFmtId="0" fontId="2" fillId="5" borderId="63" applyAlignment="1" pivotButton="0" quotePrefix="0" xfId="0">
      <alignment horizontal="center" vertical="center"/>
    </xf>
    <xf numFmtId="0" fontId="15" fillId="4" borderId="54" applyAlignment="1" pivotButton="0" quotePrefix="0" xfId="0">
      <alignment horizontal="center" vertical="center"/>
    </xf>
    <xf numFmtId="0" fontId="28" fillId="12" borderId="12" applyAlignment="1" pivotButton="0" quotePrefix="0" xfId="0">
      <alignment horizontal="center"/>
    </xf>
    <xf numFmtId="0" fontId="6" fillId="5" borderId="25" applyAlignment="1" pivotButton="0" quotePrefix="0" xfId="0">
      <alignment horizontal="center" vertical="center"/>
    </xf>
    <xf numFmtId="0" fontId="2" fillId="14" borderId="40" applyAlignment="1" pivotButton="0" quotePrefix="0" xfId="0">
      <alignment horizontal="center" vertical="center"/>
    </xf>
    <xf numFmtId="0" fontId="26" fillId="5" borderId="26" applyAlignment="1" pivotButton="0" quotePrefix="0" xfId="0">
      <alignment horizontal="center" vertical="center"/>
    </xf>
    <xf numFmtId="0" fontId="26" fillId="5" borderId="33" applyAlignment="1" pivotButton="0" quotePrefix="0" xfId="0">
      <alignment horizontal="center" vertical="center"/>
    </xf>
    <xf numFmtId="0" fontId="3" fillId="12" borderId="12" applyAlignment="1" pivotButton="0" quotePrefix="0" xfId="0">
      <alignment horizontal="center" vertical="center"/>
    </xf>
    <xf numFmtId="0" fontId="3" fillId="12" borderId="62" applyAlignment="1" pivotButton="0" quotePrefix="0" xfId="0">
      <alignment horizontal="center" vertical="center"/>
    </xf>
    <xf numFmtId="0" fontId="3" fillId="12" borderId="13" applyAlignment="1" pivotButton="0" quotePrefix="0" xfId="0">
      <alignment horizontal="center" vertical="center"/>
    </xf>
    <xf numFmtId="0" fontId="3" fillId="12" borderId="25" applyAlignment="1" pivotButton="0" quotePrefix="0" xfId="0">
      <alignment horizontal="center" vertical="center"/>
    </xf>
    <xf numFmtId="0" fontId="3" fillId="9" borderId="62" applyAlignment="1" pivotButton="0" quotePrefix="0" xfId="0">
      <alignment horizontal="center" vertical="center"/>
    </xf>
    <xf numFmtId="0" fontId="29" fillId="9" borderId="12" applyAlignment="1" pivotButton="0" quotePrefix="0" xfId="0">
      <alignment horizontal="center" vertical="center" wrapText="1"/>
    </xf>
    <xf numFmtId="0" fontId="29" fillId="9" borderId="12" applyAlignment="1" pivotButton="0" quotePrefix="0" xfId="0">
      <alignment horizontal="center" vertical="center"/>
    </xf>
    <xf numFmtId="0" fontId="27" fillId="15" borderId="13" applyAlignment="1" pivotButton="0" quotePrefix="0" xfId="0">
      <alignment horizontal="center" vertical="center"/>
    </xf>
    <xf numFmtId="0" fontId="29" fillId="17" borderId="25" applyAlignment="1" pivotButton="0" quotePrefix="0" xfId="0">
      <alignment horizontal="center" vertical="center"/>
    </xf>
    <xf numFmtId="0" fontId="3" fillId="12" borderId="15" applyAlignment="1" pivotButton="0" quotePrefix="0" xfId="0">
      <alignment horizontal="center" vertical="center"/>
    </xf>
    <xf numFmtId="0" fontId="2" fillId="5" borderId="50" applyAlignment="1" pivotButton="0" quotePrefix="0" xfId="0">
      <alignment horizontal="center" vertical="center"/>
    </xf>
    <xf numFmtId="0" fontId="28" fillId="8" borderId="15" applyAlignment="1" pivotButton="0" quotePrefix="0" xfId="0">
      <alignment horizontal="center"/>
    </xf>
    <xf numFmtId="0" fontId="28" fillId="12" borderId="50" applyAlignment="1" pivotButton="0" quotePrefix="0" xfId="0">
      <alignment horizontal="center"/>
    </xf>
    <xf numFmtId="0" fontId="2" fillId="10" borderId="67" applyAlignment="1" pivotButton="0" quotePrefix="0" xfId="0">
      <alignment horizontal="center" vertical="center"/>
    </xf>
    <xf numFmtId="0" fontId="0" fillId="13" borderId="69" applyAlignment="1" pivotButton="0" quotePrefix="0" xfId="0">
      <alignment vertical="center"/>
    </xf>
    <xf numFmtId="0" fontId="0" fillId="0" borderId="38" applyAlignment="1" pivotButton="0" quotePrefix="0" xfId="0">
      <alignment vertical="center"/>
    </xf>
    <xf numFmtId="0" fontId="28" fillId="8" borderId="25" applyAlignment="1" pivotButton="0" quotePrefix="0" xfId="0">
      <alignment horizontal="center"/>
    </xf>
    <xf numFmtId="0" fontId="29" fillId="14" borderId="13" applyAlignment="1" pivotButton="0" quotePrefix="0" xfId="0">
      <alignment horizontal="center" vertical="center" wrapText="1"/>
    </xf>
    <xf numFmtId="17" fontId="26" fillId="5" borderId="26" applyAlignment="1" pivotButton="0" quotePrefix="0" xfId="0">
      <alignment horizontal="center" vertical="center"/>
    </xf>
    <xf numFmtId="0" fontId="1" fillId="5" borderId="33" applyAlignment="1" pivotButton="0" quotePrefix="0" xfId="0">
      <alignment horizontal="center" vertical="center"/>
    </xf>
    <xf numFmtId="0" fontId="2" fillId="10" borderId="15" applyAlignment="1" pivotButton="0" quotePrefix="0" xfId="0">
      <alignment horizontal="center" vertical="center"/>
    </xf>
    <xf numFmtId="0" fontId="3" fillId="12" borderId="0" applyAlignment="1" pivotButton="0" quotePrefix="0" xfId="0">
      <alignment horizontal="center" vertical="center"/>
    </xf>
    <xf numFmtId="0" fontId="6" fillId="12" borderId="0" applyAlignment="1" pivotButton="0" quotePrefix="0" xfId="0">
      <alignment horizontal="center" vertical="center"/>
    </xf>
    <xf numFmtId="0" fontId="10" fillId="12" borderId="0" applyAlignment="1" pivotButton="0" quotePrefix="0" xfId="0">
      <alignment horizontal="center" vertical="center"/>
    </xf>
    <xf numFmtId="0" fontId="7" fillId="12" borderId="0" applyAlignment="1" pivotButton="0" quotePrefix="0" xfId="0">
      <alignment horizontal="center" vertical="center"/>
    </xf>
    <xf numFmtId="0" fontId="2" fillId="12" borderId="0" applyAlignment="1" pivotButton="0" quotePrefix="0" xfId="0">
      <alignment horizontal="center" vertical="center"/>
    </xf>
    <xf numFmtId="0" fontId="28" fillId="12" borderId="25" applyAlignment="1" pivotButton="0" quotePrefix="0" xfId="0">
      <alignment horizontal="center"/>
    </xf>
    <xf numFmtId="17" fontId="13" fillId="8" borderId="9" applyAlignment="1" pivotButton="0" quotePrefix="0" xfId="0">
      <alignment horizontal="center" vertical="center"/>
    </xf>
    <xf numFmtId="0" fontId="0" fillId="8" borderId="9" applyAlignment="1" pivotButton="0" quotePrefix="0" xfId="0">
      <alignment vertical="center"/>
    </xf>
    <xf numFmtId="0" fontId="0" fillId="8" borderId="10" applyAlignment="1" pivotButton="0" quotePrefix="0" xfId="0">
      <alignment vertical="center"/>
    </xf>
    <xf numFmtId="0" fontId="13" fillId="8" borderId="10" applyAlignment="1" pivotButton="0" quotePrefix="0" xfId="0">
      <alignment vertical="center"/>
    </xf>
    <xf numFmtId="0" fontId="0" fillId="8" borderId="11" applyAlignment="1" pivotButton="0" quotePrefix="0" xfId="0">
      <alignment vertical="center"/>
    </xf>
    <xf numFmtId="17" fontId="13" fillId="8" borderId="9" applyAlignment="1" pivotButton="0" quotePrefix="0" xfId="0">
      <alignment vertical="center"/>
    </xf>
    <xf numFmtId="17" fontId="13" fillId="8" borderId="10" applyAlignment="1" pivotButton="0" quotePrefix="0" xfId="0">
      <alignment vertical="center"/>
    </xf>
    <xf numFmtId="17" fontId="13" fillId="8" borderId="11" applyAlignment="1" pivotButton="0" quotePrefix="0" xfId="0">
      <alignment vertical="center"/>
    </xf>
    <xf numFmtId="0" fontId="13" fillId="8" borderId="11" applyAlignment="1" pivotButton="0" quotePrefix="0" xfId="0">
      <alignment vertical="center"/>
    </xf>
    <xf numFmtId="0" fontId="0" fillId="12" borderId="63" applyAlignment="1" pivotButton="0" quotePrefix="0" xfId="0">
      <alignment vertical="center"/>
    </xf>
    <xf numFmtId="0" fontId="28" fillId="9" borderId="25" applyAlignment="1" pivotButton="0" quotePrefix="0" xfId="0">
      <alignment horizontal="center" vertical="center" wrapText="1"/>
    </xf>
    <xf numFmtId="0" fontId="2" fillId="12" borderId="27" applyAlignment="1" pivotButton="0" quotePrefix="0" xfId="0">
      <alignment horizontal="center" vertical="center"/>
    </xf>
    <xf numFmtId="0" fontId="28" fillId="12" borderId="15" applyAlignment="1" pivotButton="0" quotePrefix="0" xfId="0">
      <alignment horizontal="center"/>
    </xf>
    <xf numFmtId="0" fontId="2" fillId="12" borderId="50" applyAlignment="1" pivotButton="0" quotePrefix="0" xfId="0">
      <alignment horizontal="center" vertical="center"/>
    </xf>
    <xf numFmtId="0" fontId="1" fillId="5" borderId="71" applyAlignment="1" pivotButton="0" quotePrefix="0" xfId="0">
      <alignment horizontal="center" vertical="center"/>
    </xf>
    <xf numFmtId="0" fontId="28" fillId="8" borderId="58" applyAlignment="1" pivotButton="0" quotePrefix="0" xfId="0">
      <alignment horizontal="center"/>
    </xf>
    <xf numFmtId="0" fontId="28" fillId="8" borderId="72" applyAlignment="1" pivotButton="0" quotePrefix="0" xfId="0">
      <alignment horizontal="center"/>
    </xf>
    <xf numFmtId="0" fontId="40" fillId="12" borderId="27" applyAlignment="1" pivotButton="0" quotePrefix="0" xfId="0">
      <alignment horizontal="center" vertical="center"/>
    </xf>
    <xf numFmtId="0" fontId="0" fillId="12" borderId="0" applyAlignment="1" pivotButton="0" quotePrefix="0" xfId="0">
      <alignment horizontal="center" vertical="center"/>
    </xf>
    <xf numFmtId="0" fontId="40" fillId="12" borderId="12" applyAlignment="1" pivotButton="0" quotePrefix="0" xfId="0">
      <alignment horizontal="center" vertical="center"/>
    </xf>
    <xf numFmtId="0" fontId="40" fillId="12" borderId="15" applyAlignment="1" pivotButton="0" quotePrefix="0" xfId="0">
      <alignment horizontal="center" vertical="center"/>
    </xf>
    <xf numFmtId="0" fontId="38" fillId="12" borderId="50" applyAlignment="1" pivotButton="0" quotePrefix="0" xfId="0">
      <alignment horizontal="center" vertical="center"/>
    </xf>
    <xf numFmtId="0" fontId="28" fillId="0" borderId="13" applyAlignment="1" pivotButton="0" quotePrefix="0" xfId="0">
      <alignment horizontal="center" vertical="center"/>
    </xf>
    <xf numFmtId="0" fontId="2" fillId="11" borderId="15" applyAlignment="1" pivotButton="0" quotePrefix="0" xfId="0">
      <alignment horizontal="center" vertical="center"/>
    </xf>
    <xf numFmtId="0" fontId="13" fillId="8" borderId="9" applyAlignment="1" pivotButton="0" quotePrefix="0" xfId="0">
      <alignment vertical="center"/>
    </xf>
    <xf numFmtId="0" fontId="28" fillId="12" borderId="62" applyAlignment="1" pivotButton="0" quotePrefix="0" xfId="0">
      <alignment horizontal="center" vertical="center"/>
    </xf>
    <xf numFmtId="0" fontId="6" fillId="0" borderId="1" pivotButton="0" quotePrefix="0" xfId="0"/>
    <xf numFmtId="0" fontId="29" fillId="8" borderId="27" applyAlignment="1" pivotButton="0" quotePrefix="0" xfId="0">
      <alignment horizontal="center" vertical="center" wrapText="1"/>
    </xf>
    <xf numFmtId="0" fontId="27" fillId="12" borderId="13" applyAlignment="1" pivotButton="0" quotePrefix="0" xfId="0">
      <alignment horizontal="center" vertical="center"/>
    </xf>
    <xf numFmtId="0" fontId="6" fillId="12" borderId="25" applyAlignment="1" pivotButton="0" quotePrefix="0" xfId="0">
      <alignment horizontal="center" vertical="center"/>
    </xf>
    <xf numFmtId="0" fontId="28" fillId="12" borderId="13" applyAlignment="1" pivotButton="0" quotePrefix="0" xfId="0">
      <alignment horizontal="center" vertical="center"/>
    </xf>
    <xf numFmtId="0" fontId="29" fillId="12" borderId="13" applyAlignment="1" pivotButton="0" quotePrefix="0" xfId="0">
      <alignment horizontal="center" vertical="center" wrapText="1"/>
    </xf>
    <xf numFmtId="0" fontId="7" fillId="12" borderId="25" applyAlignment="1" pivotButton="0" quotePrefix="0" xfId="0">
      <alignment horizontal="center" vertical="center"/>
    </xf>
    <xf numFmtId="0" fontId="2" fillId="12" borderId="12" applyAlignment="1" pivotButton="0" quotePrefix="0" xfId="0">
      <alignment horizontal="center" vertical="center"/>
    </xf>
    <xf numFmtId="0" fontId="28" fillId="12" borderId="72" applyAlignment="1" pivotButton="0" quotePrefix="0" xfId="0">
      <alignment horizontal="center"/>
    </xf>
    <xf numFmtId="0" fontId="28" fillId="12" borderId="40" applyAlignment="1" pivotButton="0" quotePrefix="0" xfId="0">
      <alignment horizontal="center"/>
    </xf>
    <xf numFmtId="0" fontId="2" fillId="12" borderId="40" applyAlignment="1" pivotButton="0" quotePrefix="0" xfId="0">
      <alignment horizontal="center" vertical="center"/>
    </xf>
    <xf numFmtId="0" fontId="0" fillId="4" borderId="10" applyAlignment="1" pivotButton="0" quotePrefix="0" xfId="0">
      <alignment vertical="center"/>
    </xf>
    <xf numFmtId="0" fontId="29" fillId="12" borderId="12" applyAlignment="1" pivotButton="0" quotePrefix="0" xfId="0">
      <alignment horizontal="center" vertical="center"/>
    </xf>
    <xf numFmtId="0" fontId="2" fillId="5" borderId="41" applyAlignment="1" pivotButton="0" quotePrefix="0" xfId="0">
      <alignment horizontal="center" vertical="center"/>
    </xf>
    <xf numFmtId="0" fontId="28" fillId="12" borderId="7" applyAlignment="1" pivotButton="0" quotePrefix="0" xfId="0">
      <alignment horizontal="center"/>
    </xf>
    <xf numFmtId="0" fontId="0" fillId="12" borderId="37" applyAlignment="1" pivotButton="0" quotePrefix="0" xfId="0">
      <alignment vertical="center"/>
    </xf>
    <xf numFmtId="17" fontId="13" fillId="12" borderId="21" applyAlignment="1" pivotButton="0" quotePrefix="0" xfId="0">
      <alignment vertical="center"/>
    </xf>
    <xf numFmtId="0" fontId="15" fillId="12" borderId="21" applyAlignment="1" pivotButton="0" quotePrefix="0" xfId="0">
      <alignment vertical="center"/>
    </xf>
    <xf numFmtId="0" fontId="2" fillId="12" borderId="21" applyAlignment="1" pivotButton="0" quotePrefix="0" xfId="0">
      <alignment horizontal="center" vertical="center"/>
    </xf>
    <xf numFmtId="0" fontId="28" fillId="12" borderId="21" applyAlignment="1" pivotButton="0" quotePrefix="0" xfId="0">
      <alignment horizontal="center"/>
    </xf>
    <xf numFmtId="0" fontId="6" fillId="12" borderId="21" applyAlignment="1" pivotButton="0" quotePrefix="0" xfId="0">
      <alignment horizontal="center" vertical="center"/>
    </xf>
    <xf numFmtId="0" fontId="28" fillId="12" borderId="13" applyAlignment="1" pivotButton="0" quotePrefix="0" xfId="0">
      <alignment horizontal="center"/>
    </xf>
    <xf numFmtId="0" fontId="40" fillId="12" borderId="72" applyAlignment="1" pivotButton="0" quotePrefix="0" xfId="0">
      <alignment horizontal="center" vertical="center"/>
    </xf>
    <xf numFmtId="0" fontId="3" fillId="12" borderId="72" applyAlignment="1" pivotButton="0" quotePrefix="0" xfId="0">
      <alignment horizontal="center" vertical="center"/>
    </xf>
    <xf numFmtId="0" fontId="3" fillId="12" borderId="58" applyAlignment="1" pivotButton="0" quotePrefix="0" xfId="0">
      <alignment horizontal="center" vertical="center"/>
    </xf>
    <xf numFmtId="0" fontId="2" fillId="12" borderId="72" applyAlignment="1" pivotButton="0" quotePrefix="0" xfId="0">
      <alignment horizontal="center" vertical="center"/>
    </xf>
    <xf numFmtId="0" fontId="2" fillId="12" borderId="58" applyAlignment="1" pivotButton="0" quotePrefix="0" xfId="0">
      <alignment horizontal="center" vertical="center"/>
    </xf>
    <xf numFmtId="0" fontId="2" fillId="12" borderId="13" applyAlignment="1" pivotButton="0" quotePrefix="0" xfId="0">
      <alignment horizontal="center" vertical="center"/>
    </xf>
    <xf numFmtId="0" fontId="28" fillId="8" borderId="50" applyAlignment="1" pivotButton="0" quotePrefix="0" xfId="0">
      <alignment horizontal="center"/>
    </xf>
    <xf numFmtId="0" fontId="0" fillId="2" borderId="19" applyAlignment="1" pivotButton="0" quotePrefix="0" xfId="0">
      <alignment horizontal="center" vertical="center"/>
    </xf>
    <xf numFmtId="0" fontId="0" fillId="2" borderId="9" applyAlignment="1" pivotButton="0" quotePrefix="0" xfId="0">
      <alignment vertical="center"/>
    </xf>
    <xf numFmtId="0" fontId="0" fillId="2" borderId="10" applyAlignment="1" pivotButton="0" quotePrefix="0" xfId="0">
      <alignment vertical="center"/>
    </xf>
    <xf numFmtId="0" fontId="0" fillId="2" borderId="11" applyAlignment="1" pivotButton="0" quotePrefix="0" xfId="0">
      <alignment vertical="center"/>
    </xf>
    <xf numFmtId="0" fontId="17" fillId="4" borderId="57" applyAlignment="1" pivotButton="0" quotePrefix="0" xfId="0">
      <alignment vertical="center"/>
    </xf>
    <xf numFmtId="0" fontId="17" fillId="4" borderId="18" applyAlignment="1" pivotButton="0" quotePrefix="0" xfId="0">
      <alignment vertical="center"/>
    </xf>
    <xf numFmtId="0" fontId="17" fillId="4" borderId="74" applyAlignment="1" pivotButton="0" quotePrefix="0" xfId="0">
      <alignment vertical="center"/>
    </xf>
    <xf numFmtId="0" fontId="6" fillId="0" borderId="25" applyAlignment="1" pivotButton="0" quotePrefix="0" xfId="0">
      <alignment horizontal="center" vertical="center"/>
    </xf>
    <xf numFmtId="0" fontId="10" fillId="4" borderId="25" applyAlignment="1" pivotButton="0" quotePrefix="0" xfId="0">
      <alignment horizontal="center" vertical="center"/>
    </xf>
    <xf numFmtId="0" fontId="3" fillId="9" borderId="25" applyAlignment="1" pivotButton="0" quotePrefix="0" xfId="0">
      <alignment horizontal="center" vertical="center"/>
    </xf>
    <xf numFmtId="0" fontId="28" fillId="8" borderId="75" applyAlignment="1" pivotButton="0" quotePrefix="0" xfId="0">
      <alignment horizontal="center"/>
    </xf>
    <xf numFmtId="0" fontId="3" fillId="9" borderId="12" applyAlignment="1" pivotButton="0" quotePrefix="0" xfId="0">
      <alignment horizontal="center" vertical="center" wrapText="1"/>
    </xf>
    <xf numFmtId="0" fontId="1" fillId="5" borderId="76" applyAlignment="1" pivotButton="0" quotePrefix="0" xfId="0">
      <alignment horizontal="center" vertical="center"/>
    </xf>
    <xf numFmtId="0" fontId="28" fillId="8" borderId="13" applyAlignment="1" pivotButton="0" quotePrefix="0" xfId="0">
      <alignment horizontal="center"/>
    </xf>
    <xf numFmtId="0" fontId="0" fillId="0" borderId="21" applyAlignment="1" pivotButton="0" quotePrefix="0" xfId="0">
      <alignment vertical="center"/>
    </xf>
    <xf numFmtId="0" fontId="15" fillId="19" borderId="0" applyAlignment="1" pivotButton="0" quotePrefix="0" xfId="0">
      <alignment horizontal="center" vertical="center"/>
    </xf>
    <xf numFmtId="0" fontId="28" fillId="12" borderId="62" applyAlignment="1" pivotButton="0" quotePrefix="0" xfId="0">
      <alignment horizontal="center"/>
    </xf>
    <xf numFmtId="0" fontId="3" fillId="12" borderId="16" applyAlignment="1" pivotButton="0" quotePrefix="0" xfId="0">
      <alignment horizontal="center" vertical="center"/>
    </xf>
    <xf numFmtId="17" fontId="13" fillId="8" borderId="57" applyAlignment="1" pivotButton="0" quotePrefix="0" xfId="0">
      <alignment horizontal="center" vertical="center"/>
    </xf>
    <xf numFmtId="0" fontId="17" fillId="8" borderId="57" applyAlignment="1" pivotButton="0" quotePrefix="0" xfId="0">
      <alignment vertical="center"/>
    </xf>
    <xf numFmtId="0" fontId="17" fillId="8" borderId="18" applyAlignment="1" pivotButton="0" quotePrefix="0" xfId="0">
      <alignment vertical="center"/>
    </xf>
    <xf numFmtId="0" fontId="17" fillId="8" borderId="74" applyAlignment="1" pivotButton="0" quotePrefix="0" xfId="0">
      <alignment vertical="center"/>
    </xf>
    <xf numFmtId="17" fontId="13" fillId="8" borderId="18" applyAlignment="1" pivotButton="0" quotePrefix="0" xfId="0">
      <alignment vertical="center"/>
    </xf>
    <xf numFmtId="0" fontId="13" fillId="8" borderId="18" applyAlignment="1" pivotButton="0" quotePrefix="0" xfId="0">
      <alignment vertical="center"/>
    </xf>
    <xf numFmtId="17" fontId="17" fillId="8" borderId="74" applyAlignment="1" pivotButton="0" quotePrefix="0" xfId="0">
      <alignment vertical="center"/>
    </xf>
    <xf numFmtId="0" fontId="1" fillId="18" borderId="0" applyAlignment="1" pivotButton="0" quotePrefix="0" xfId="0">
      <alignment horizontal="center" vertical="center"/>
    </xf>
    <xf numFmtId="0" fontId="3" fillId="12" borderId="77" applyAlignment="1" pivotButton="0" quotePrefix="0" xfId="0">
      <alignment horizontal="center" vertical="center"/>
    </xf>
    <xf numFmtId="0" fontId="17" fillId="8" borderId="41" applyAlignment="1" pivotButton="0" quotePrefix="0" xfId="0">
      <alignment vertical="center"/>
    </xf>
    <xf numFmtId="0" fontId="0" fillId="8" borderId="38" applyAlignment="1" pivotButton="0" quotePrefix="0" xfId="0">
      <alignment vertical="center"/>
    </xf>
    <xf numFmtId="0" fontId="17" fillId="8" borderId="38" applyAlignment="1" pivotButton="0" quotePrefix="0" xfId="0">
      <alignment vertical="center"/>
    </xf>
    <xf numFmtId="0" fontId="17" fillId="8" borderId="27" applyAlignment="1" pivotButton="0" quotePrefix="0" xfId="0">
      <alignment vertical="center"/>
    </xf>
    <xf numFmtId="0" fontId="1" fillId="18" borderId="78" applyAlignment="1" pivotButton="0" quotePrefix="0" xfId="0">
      <alignment horizontal="center" vertical="center"/>
    </xf>
    <xf numFmtId="0" fontId="28" fillId="9" borderId="12" applyAlignment="1" pivotButton="0" quotePrefix="0" xfId="0">
      <alignment horizontal="center" vertical="center" wrapText="1"/>
    </xf>
    <xf numFmtId="0" fontId="2" fillId="5" borderId="27" applyAlignment="1" pivotButton="0" quotePrefix="0" xfId="0">
      <alignment horizontal="center" vertical="center"/>
    </xf>
    <xf numFmtId="0" fontId="3" fillId="12" borderId="25" applyAlignment="1" pivotButton="0" quotePrefix="0" xfId="0">
      <alignment horizontal="center" vertical="center" wrapText="1"/>
    </xf>
    <xf numFmtId="0" fontId="2" fillId="12" borderId="25" applyAlignment="1" pivotButton="0" quotePrefix="0" xfId="0">
      <alignment horizontal="center" vertical="center" wrapText="1"/>
    </xf>
    <xf numFmtId="0" fontId="29" fillId="12" borderId="25" applyAlignment="1" pivotButton="0" quotePrefix="0" xfId="0">
      <alignment horizontal="center" vertical="center" wrapText="1"/>
    </xf>
    <xf numFmtId="0" fontId="29" fillId="12" borderId="25" applyAlignment="1" pivotButton="0" quotePrefix="0" xfId="0">
      <alignment horizontal="center" vertical="center"/>
    </xf>
    <xf numFmtId="0" fontId="10" fillId="12" borderId="25" applyAlignment="1" pivotButton="0" quotePrefix="0" xfId="0">
      <alignment horizontal="center" vertical="center"/>
    </xf>
    <xf numFmtId="0" fontId="29" fillId="12" borderId="27" applyAlignment="1" pivotButton="0" quotePrefix="0" xfId="0">
      <alignment horizontal="center" vertical="center" wrapText="1"/>
    </xf>
    <xf numFmtId="0" fontId="40" fillId="12" borderId="58" applyAlignment="1" pivotButton="0" quotePrefix="0" xfId="0">
      <alignment horizontal="center" vertical="center"/>
    </xf>
    <xf numFmtId="0" fontId="28" fillId="12" borderId="58" applyAlignment="1" pivotButton="0" quotePrefix="0" xfId="0">
      <alignment horizontal="center" vertical="center"/>
    </xf>
    <xf numFmtId="0" fontId="28" fillId="12" borderId="32" applyAlignment="1" pivotButton="0" quotePrefix="0" xfId="0">
      <alignment horizontal="center"/>
    </xf>
    <xf numFmtId="0" fontId="2" fillId="12" borderId="15" applyAlignment="1" pivotButton="0" quotePrefix="0" xfId="0">
      <alignment horizontal="center" vertical="center" wrapText="1"/>
    </xf>
    <xf numFmtId="0" fontId="28" fillId="12" borderId="25" applyAlignment="1" pivotButton="0" quotePrefix="0" xfId="0">
      <alignment horizontal="center" vertical="center"/>
    </xf>
    <xf numFmtId="0" fontId="2" fillId="12" borderId="25" applyAlignment="1" pivotButton="0" quotePrefix="0" xfId="0">
      <alignment horizontal="center" vertical="center"/>
    </xf>
    <xf numFmtId="0" fontId="3" fillId="12" borderId="58" applyAlignment="1" pivotButton="0" quotePrefix="0" xfId="0">
      <alignment horizontal="center" vertical="center" wrapText="1"/>
    </xf>
    <xf numFmtId="0" fontId="29" fillId="12" borderId="58" applyAlignment="1" pivotButton="0" quotePrefix="0" xfId="0">
      <alignment horizontal="center" vertical="center" wrapText="1"/>
    </xf>
    <xf numFmtId="0" fontId="28" fillId="12" borderId="77" applyAlignment="1" pivotButton="0" quotePrefix="0" xfId="0">
      <alignment horizontal="center"/>
    </xf>
    <xf numFmtId="0" fontId="2" fillId="12" borderId="77" applyAlignment="1" pivotButton="0" quotePrefix="0" xfId="0">
      <alignment horizontal="center" vertical="center"/>
    </xf>
    <xf numFmtId="0" fontId="28" fillId="12" borderId="77" applyAlignment="1" pivotButton="0" quotePrefix="0" xfId="0">
      <alignment horizontal="center" vertical="center"/>
    </xf>
    <xf numFmtId="0" fontId="2" fillId="5" borderId="77" applyAlignment="1" pivotButton="0" quotePrefix="0" xfId="0">
      <alignment horizontal="center" vertical="center"/>
    </xf>
    <xf numFmtId="0" fontId="34" fillId="8" borderId="25" applyAlignment="1" pivotButton="0" quotePrefix="0" xfId="0">
      <alignment vertical="center" textRotation="90"/>
    </xf>
    <xf numFmtId="0" fontId="29" fillId="12" borderId="13" applyAlignment="1" pivotButton="0" quotePrefix="0" xfId="0">
      <alignment horizontal="center" vertical="center"/>
    </xf>
    <xf numFmtId="0" fontId="28" fillId="12" borderId="58" applyAlignment="1" pivotButton="0" quotePrefix="0" xfId="0">
      <alignment horizontal="center"/>
    </xf>
    <xf numFmtId="0" fontId="28" fillId="12" borderId="75" applyAlignment="1" pivotButton="0" quotePrefix="0" xfId="0">
      <alignment horizontal="center"/>
    </xf>
    <xf numFmtId="0" fontId="6" fillId="12" borderId="62" applyAlignment="1" pivotButton="0" quotePrefix="0" xfId="0">
      <alignment horizontal="center" vertical="center"/>
    </xf>
    <xf numFmtId="0" fontId="40" fillId="12" borderId="32" applyAlignment="1" pivotButton="0" quotePrefix="0" xfId="0">
      <alignment horizontal="center" vertical="center"/>
    </xf>
    <xf numFmtId="0" fontId="3" fillId="12" borderId="32" applyAlignment="1" pivotButton="0" quotePrefix="0" xfId="0">
      <alignment horizontal="center" vertical="center"/>
    </xf>
    <xf numFmtId="0" fontId="2" fillId="11" borderId="27" applyAlignment="1" pivotButton="0" quotePrefix="0" xfId="0">
      <alignment horizontal="center" vertical="center" wrapText="1"/>
    </xf>
    <xf numFmtId="0" fontId="2" fillId="10" borderId="27" applyAlignment="1" pivotButton="0" quotePrefix="0" xfId="0">
      <alignment horizontal="center" vertical="center"/>
    </xf>
    <xf numFmtId="0" fontId="2" fillId="11" borderId="72" applyAlignment="1" pivotButton="0" quotePrefix="0" xfId="0">
      <alignment horizontal="center" vertical="center" wrapText="1"/>
    </xf>
    <xf numFmtId="0" fontId="34" fillId="8" borderId="13" applyAlignment="1" pivotButton="0" quotePrefix="0" xfId="0">
      <alignment vertical="center" textRotation="90"/>
    </xf>
    <xf numFmtId="0" fontId="34" fillId="8" borderId="58" applyAlignment="1" pivotButton="0" quotePrefix="0" xfId="0">
      <alignment vertical="center" textRotation="90"/>
    </xf>
    <xf numFmtId="0" fontId="3" fillId="12" borderId="73" applyAlignment="1" pivotButton="0" quotePrefix="0" xfId="0">
      <alignment horizontal="center" vertical="center"/>
    </xf>
    <xf numFmtId="0" fontId="2" fillId="10" borderId="58" applyAlignment="1" pivotButton="0" quotePrefix="0" xfId="0">
      <alignment horizontal="center" vertical="center"/>
    </xf>
    <xf numFmtId="0" fontId="3" fillId="18" borderId="13" applyAlignment="1" pivotButton="0" quotePrefix="0" xfId="0">
      <alignment horizontal="center" vertical="center"/>
    </xf>
    <xf numFmtId="0" fontId="28" fillId="9" borderId="12" applyAlignment="1" pivotButton="0" quotePrefix="0" xfId="0">
      <alignment horizontal="center"/>
    </xf>
    <xf numFmtId="0" fontId="3" fillId="20" borderId="13" applyAlignment="1" pivotButton="0" quotePrefix="0" xfId="0">
      <alignment horizontal="center" vertical="center"/>
    </xf>
    <xf numFmtId="0" fontId="28" fillId="9" borderId="12" applyAlignment="1" pivotButton="0" quotePrefix="0" xfId="0">
      <alignment horizontal="center" vertical="center"/>
    </xf>
    <xf numFmtId="0" fontId="2" fillId="11" borderId="73" applyAlignment="1" pivotButton="0" quotePrefix="0" xfId="0">
      <alignment horizontal="center" vertical="center" wrapText="1"/>
    </xf>
    <xf numFmtId="0" fontId="2" fillId="11" borderId="58" applyAlignment="1" pivotButton="0" quotePrefix="0" xfId="0">
      <alignment horizontal="center" vertical="center"/>
    </xf>
    <xf numFmtId="0" fontId="2" fillId="11" borderId="79" applyAlignment="1" pivotButton="0" quotePrefix="0" xfId="0">
      <alignment horizontal="center" vertical="center"/>
    </xf>
    <xf numFmtId="0" fontId="2" fillId="11" borderId="25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6" fillId="10" borderId="13" applyAlignment="1" pivotButton="0" quotePrefix="0" xfId="0">
      <alignment horizontal="center" vertical="center"/>
    </xf>
    <xf numFmtId="0" fontId="7" fillId="6" borderId="58" applyAlignment="1" pivotButton="0" quotePrefix="0" xfId="0">
      <alignment horizontal="center" vertical="center"/>
    </xf>
    <xf numFmtId="0" fontId="2" fillId="10" borderId="40" applyAlignment="1" pivotButton="0" quotePrefix="0" xfId="0">
      <alignment horizontal="center" vertical="center"/>
    </xf>
    <xf numFmtId="0" fontId="6" fillId="10" borderId="25" applyAlignment="1" pivotButton="0" quotePrefix="0" xfId="0">
      <alignment horizontal="center" vertical="center"/>
    </xf>
    <xf numFmtId="0" fontId="28" fillId="9" borderId="72" applyAlignment="1" pivotButton="0" quotePrefix="0" xfId="0">
      <alignment horizontal="center"/>
    </xf>
    <xf numFmtId="0" fontId="28" fillId="9" borderId="13" applyAlignment="1" pivotButton="0" quotePrefix="0" xfId="0">
      <alignment horizontal="center" vertical="center"/>
    </xf>
    <xf numFmtId="0" fontId="29" fillId="14" borderId="58" applyAlignment="1" pivotButton="0" quotePrefix="0" xfId="0">
      <alignment horizontal="center" vertical="center" wrapText="1"/>
    </xf>
    <xf numFmtId="0" fontId="6" fillId="0" borderId="13" applyAlignment="1" pivotButton="0" quotePrefix="0" xfId="0">
      <alignment horizontal="center" vertical="center"/>
    </xf>
    <xf numFmtId="0" fontId="10" fillId="4" borderId="13" applyAlignment="1" pivotButton="0" quotePrefix="0" xfId="0">
      <alignment horizontal="center" vertical="center"/>
    </xf>
    <xf numFmtId="0" fontId="2" fillId="10" borderId="62" applyAlignment="1" pivotButton="0" quotePrefix="0" xfId="0">
      <alignment horizontal="center" vertical="center"/>
    </xf>
    <xf numFmtId="0" fontId="28" fillId="9" borderId="58" applyAlignment="1" pivotButton="0" quotePrefix="0" xfId="0">
      <alignment horizontal="center" vertical="center"/>
    </xf>
    <xf numFmtId="0" fontId="2" fillId="11" borderId="72" applyAlignment="1" pivotButton="0" quotePrefix="0" xfId="0">
      <alignment horizontal="center" vertical="center"/>
    </xf>
    <xf numFmtId="0" fontId="28" fillId="9" borderId="58" applyAlignment="1" pivotButton="0" quotePrefix="0" xfId="0">
      <alignment horizontal="center"/>
    </xf>
    <xf numFmtId="0" fontId="3" fillId="9" borderId="13" applyAlignment="1" pivotButton="0" quotePrefix="0" xfId="0">
      <alignment horizontal="center" vertical="center"/>
    </xf>
    <xf numFmtId="0" fontId="3" fillId="9" borderId="80" applyAlignment="1" pivotButton="0" quotePrefix="0" xfId="0">
      <alignment horizontal="center" vertical="center"/>
    </xf>
    <xf numFmtId="0" fontId="29" fillId="11" borderId="27" applyAlignment="1" pivotButton="0" quotePrefix="0" xfId="0">
      <alignment horizontal="center" vertical="center" wrapText="1"/>
    </xf>
    <xf numFmtId="0" fontId="29" fillId="16" borderId="25" applyAlignment="1" pivotButton="0" quotePrefix="0" xfId="0">
      <alignment horizontal="center" vertical="center" wrapText="1"/>
    </xf>
    <xf numFmtId="0" fontId="15" fillId="4" borderId="41" applyAlignment="1" pivotButton="0" quotePrefix="0" xfId="0">
      <alignment horizontal="center" vertical="center"/>
    </xf>
    <xf numFmtId="0" fontId="15" fillId="4" borderId="38" applyAlignment="1" pivotButton="0" quotePrefix="0" xfId="0">
      <alignment horizontal="center" vertical="center"/>
    </xf>
    <xf numFmtId="0" fontId="15" fillId="4" borderId="27" applyAlignment="1" pivotButton="0" quotePrefix="0" xfId="0">
      <alignment horizontal="center" vertical="center"/>
    </xf>
    <xf numFmtId="0" fontId="34" fillId="8" borderId="66" applyAlignment="1" pivotButton="0" quotePrefix="0" xfId="0">
      <alignment horizontal="center" vertical="center" textRotation="90"/>
    </xf>
    <xf numFmtId="0" fontId="34" fillId="8" borderId="17" applyAlignment="1" pivotButton="0" quotePrefix="0" xfId="0">
      <alignment horizontal="center" vertical="center" textRotation="90"/>
    </xf>
    <xf numFmtId="0" fontId="34" fillId="8" borderId="68" applyAlignment="1" pivotButton="0" quotePrefix="0" xfId="0">
      <alignment horizontal="center" vertical="center" textRotation="90"/>
    </xf>
    <xf numFmtId="0" fontId="34" fillId="8" borderId="53" applyAlignment="1" pivotButton="0" quotePrefix="0" xfId="0">
      <alignment horizontal="center" vertical="center" textRotation="90"/>
    </xf>
    <xf numFmtId="0" fontId="34" fillId="8" borderId="16" applyAlignment="1" pivotButton="0" quotePrefix="0" xfId="0">
      <alignment horizontal="center" vertical="center" textRotation="90"/>
    </xf>
    <xf numFmtId="0" fontId="34" fillId="8" borderId="64" applyAlignment="1" pivotButton="0" quotePrefix="0" xfId="0">
      <alignment horizontal="center" vertical="center" textRotation="90"/>
    </xf>
    <xf numFmtId="0" fontId="15" fillId="17" borderId="63" applyAlignment="1" pivotButton="0" quotePrefix="0" xfId="0">
      <alignment horizontal="center" vertical="center"/>
    </xf>
    <xf numFmtId="0" fontId="15" fillId="17" borderId="0" applyAlignment="1" pivotButton="0" quotePrefix="0" xfId="0">
      <alignment horizontal="center" vertical="center"/>
    </xf>
    <xf numFmtId="0" fontId="15" fillId="11" borderId="39" applyAlignment="1" pivotButton="0" quotePrefix="0" xfId="0">
      <alignment horizontal="center" vertical="center"/>
    </xf>
    <xf numFmtId="0" fontId="15" fillId="4" borderId="25" applyAlignment="1" pivotButton="0" quotePrefix="0" xfId="0">
      <alignment horizontal="center" vertical="center"/>
    </xf>
    <xf numFmtId="0" fontId="15" fillId="11" borderId="7" applyAlignment="1" pivotButton="0" quotePrefix="0" xfId="0">
      <alignment horizontal="center" vertical="center"/>
    </xf>
    <xf numFmtId="0" fontId="3" fillId="8" borderId="53" applyAlignment="1" pivotButton="0" quotePrefix="0" xfId="0">
      <alignment horizontal="center" vertical="center"/>
    </xf>
    <xf numFmtId="0" fontId="3" fillId="8" borderId="16" applyAlignment="1" pivotButton="0" quotePrefix="0" xfId="0">
      <alignment horizontal="center" vertical="center"/>
    </xf>
    <xf numFmtId="0" fontId="3" fillId="8" borderId="64" applyAlignment="1" pivotButton="0" quotePrefix="0" xfId="0">
      <alignment horizontal="center" vertical="center"/>
    </xf>
    <xf numFmtId="0" fontId="13" fillId="8" borderId="10" applyAlignment="1" pivotButton="0" quotePrefix="0" xfId="0">
      <alignment horizontal="left" vertical="center"/>
    </xf>
    <xf numFmtId="0" fontId="13" fillId="8" borderId="10" applyAlignment="1" pivotButton="0" quotePrefix="0" xfId="0">
      <alignment horizontal="right" vertical="center"/>
    </xf>
    <xf numFmtId="0" fontId="17" fillId="4" borderId="18" applyAlignment="1" pivotButton="0" quotePrefix="0" xfId="0">
      <alignment horizontal="left" vertical="center"/>
    </xf>
    <xf numFmtId="17" fontId="13" fillId="4" borderId="18" applyAlignment="1" pivotButton="0" quotePrefix="0" xfId="0">
      <alignment horizontal="right" vertical="center"/>
    </xf>
    <xf numFmtId="0" fontId="17" fillId="4" borderId="18" applyAlignment="1" pivotButton="0" quotePrefix="0" xfId="0">
      <alignment horizontal="right" vertical="center"/>
    </xf>
    <xf numFmtId="0" fontId="13" fillId="8" borderId="18" applyAlignment="1" pivotButton="0" quotePrefix="0" xfId="0">
      <alignment horizontal="left" vertical="center"/>
    </xf>
    <xf numFmtId="0" fontId="13" fillId="8" borderId="38" applyAlignment="1" pivotButton="0" quotePrefix="0" xfId="0">
      <alignment horizontal="right" vertical="center"/>
    </xf>
    <xf numFmtId="0" fontId="13" fillId="8" borderId="38" applyAlignment="1" pivotButton="0" quotePrefix="0" xfId="0">
      <alignment horizontal="left" vertical="center"/>
    </xf>
    <xf numFmtId="0" fontId="13" fillId="8" borderId="18" applyAlignment="1" pivotButton="0" quotePrefix="0" xfId="0">
      <alignment horizontal="right" vertical="center"/>
    </xf>
    <xf numFmtId="17" fontId="13" fillId="8" borderId="10" applyAlignment="1" pivotButton="0" quotePrefix="0" xfId="0">
      <alignment horizontal="right" vertical="center"/>
    </xf>
    <xf numFmtId="17" fontId="20" fillId="5" borderId="25" applyAlignment="1" pivotButton="0" quotePrefix="0" xfId="0">
      <alignment horizontal="center" vertical="center"/>
    </xf>
    <xf numFmtId="0" fontId="20" fillId="5" borderId="25" applyAlignment="1" pivotButton="0" quotePrefix="0" xfId="0">
      <alignment horizontal="center" vertical="center"/>
    </xf>
    <xf numFmtId="0" fontId="15" fillId="4" borderId="54" applyAlignment="1" pivotButton="0" quotePrefix="0" xfId="0">
      <alignment horizontal="center" vertical="center"/>
    </xf>
    <xf numFmtId="0" fontId="15" fillId="4" borderId="39" applyAlignment="1" pivotButton="0" quotePrefix="0" xfId="0">
      <alignment horizontal="center" vertical="center"/>
    </xf>
    <xf numFmtId="0" fontId="41" fillId="4" borderId="65" applyAlignment="1" pivotButton="0" quotePrefix="0" xfId="0">
      <alignment horizontal="center" vertical="center" textRotation="90"/>
    </xf>
    <xf numFmtId="0" fontId="41" fillId="4" borderId="55" applyAlignment="1" pivotButton="0" quotePrefix="0" xfId="0">
      <alignment horizontal="center" vertical="center" textRotation="90"/>
    </xf>
    <xf numFmtId="0" fontId="41" fillId="4" borderId="70" applyAlignment="1" pivotButton="0" quotePrefix="0" xfId="0">
      <alignment horizontal="center" vertical="center" textRotation="90"/>
    </xf>
    <xf numFmtId="0" fontId="23" fillId="4" borderId="53" applyAlignment="1" pivotButton="0" quotePrefix="0" xfId="0">
      <alignment horizontal="center" vertical="center" textRotation="90"/>
    </xf>
    <xf numFmtId="0" fontId="23" fillId="4" borderId="16" applyAlignment="1" pivotButton="0" quotePrefix="0" xfId="0">
      <alignment horizontal="center" vertical="center" textRotation="90"/>
    </xf>
    <xf numFmtId="0" fontId="36" fillId="8" borderId="53" applyAlignment="1" pivotButton="0" quotePrefix="0" xfId="0">
      <alignment vertical="center" textRotation="90"/>
    </xf>
    <xf numFmtId="0" fontId="36" fillId="8" borderId="16" applyAlignment="1" pivotButton="0" quotePrefix="0" xfId="0">
      <alignment vertical="center" textRotation="90"/>
    </xf>
    <xf numFmtId="0" fontId="36" fillId="8" borderId="64" applyAlignment="1" pivotButton="0" quotePrefix="0" xfId="0">
      <alignment vertical="center" textRotation="90"/>
    </xf>
    <xf numFmtId="0" fontId="37" fillId="8" borderId="53" applyAlignment="1" pivotButton="0" quotePrefix="0" xfId="0">
      <alignment vertical="center" textRotation="90"/>
    </xf>
    <xf numFmtId="0" fontId="37" fillId="8" borderId="16" applyAlignment="1" pivotButton="0" quotePrefix="0" xfId="0">
      <alignment vertical="center" textRotation="90"/>
    </xf>
    <xf numFmtId="0" fontId="37" fillId="8" borderId="64" applyAlignment="1" pivotButton="0" quotePrefix="0" xfId="0">
      <alignment vertical="center" textRotation="90"/>
    </xf>
    <xf numFmtId="0" fontId="15" fillId="11" borderId="41" applyAlignment="1" pivotButton="0" quotePrefix="0" xfId="0">
      <alignment horizontal="center" vertical="center"/>
    </xf>
    <xf numFmtId="0" fontId="15" fillId="11" borderId="38" applyAlignment="1" pivotButton="0" quotePrefix="0" xfId="0">
      <alignment horizontal="center" vertical="center"/>
    </xf>
    <xf numFmtId="0" fontId="15" fillId="11" borderId="54" applyAlignment="1" pivotButton="0" quotePrefix="0" xfId="0">
      <alignment horizontal="center" vertical="center"/>
    </xf>
    <xf numFmtId="0" fontId="13" fillId="4" borderId="37" applyAlignment="1" pivotButton="0" quotePrefix="0" xfId="0">
      <alignment horizontal="center" vertical="center"/>
    </xf>
    <xf numFmtId="0" fontId="13" fillId="4" borderId="36" applyAlignment="1" pivotButton="0" quotePrefix="0" xfId="0">
      <alignment horizontal="center" vertical="center"/>
    </xf>
    <xf numFmtId="0" fontId="17" fillId="8" borderId="18" applyAlignment="1" pivotButton="0" quotePrefix="0" xfId="0">
      <alignment horizontal="left" vertical="center"/>
    </xf>
    <xf numFmtId="0" fontId="17" fillId="8" borderId="18" applyAlignment="1" pivotButton="0" quotePrefix="0" xfId="0">
      <alignment horizontal="right" vertical="center"/>
    </xf>
    <xf numFmtId="0" fontId="35" fillId="4" borderId="26" applyAlignment="1" pivotButton="0" quotePrefix="0" xfId="0">
      <alignment horizontal="center" vertical="center" textRotation="90"/>
    </xf>
    <xf numFmtId="0" fontId="35" fillId="4" borderId="14" applyAlignment="1" pivotButton="0" quotePrefix="0" xfId="0">
      <alignment horizontal="center" vertical="center" textRotation="90"/>
    </xf>
    <xf numFmtId="0" fontId="35" fillId="4" borderId="57" applyAlignment="1" pivotButton="0" quotePrefix="0" xfId="0">
      <alignment horizontal="center" vertical="center" textRotation="90"/>
    </xf>
    <xf numFmtId="0" fontId="23" fillId="4" borderId="13" applyAlignment="1" pivotButton="0" quotePrefix="0" xfId="0">
      <alignment horizontal="center" vertical="center" textRotation="90"/>
    </xf>
    <xf numFmtId="0" fontId="0" fillId="0" borderId="0" applyAlignment="1" pivotButton="0" quotePrefix="0" xfId="0">
      <alignment horizontal="right"/>
    </xf>
    <xf numFmtId="0" fontId="0" fillId="0" borderId="6" applyAlignment="1" pivotButton="0" quotePrefix="0" xfId="0">
      <alignment horizontal="right"/>
    </xf>
    <xf numFmtId="2" fontId="6" fillId="0" borderId="43" applyAlignment="1" pivotButton="0" quotePrefix="0" xfId="0">
      <alignment horizontal="right"/>
    </xf>
    <xf numFmtId="2" fontId="6" fillId="0" borderId="44" applyAlignment="1" pivotButton="0" quotePrefix="0" xfId="0">
      <alignment horizontal="right"/>
    </xf>
    <xf numFmtId="2" fontId="6" fillId="0" borderId="47" applyAlignment="1" pivotButton="0" quotePrefix="0" xfId="0">
      <alignment horizontal="right"/>
    </xf>
    <xf numFmtId="2" fontId="6" fillId="0" borderId="48" applyAlignment="1" pivotButton="0" quotePrefix="0" xfId="0">
      <alignment horizontal="right"/>
    </xf>
    <xf numFmtId="2" fontId="0" fillId="0" borderId="41" applyAlignment="1" pivotButton="0" quotePrefix="0" xfId="0">
      <alignment horizontal="right"/>
    </xf>
    <xf numFmtId="2" fontId="0" fillId="0" borderId="52" applyAlignment="1" pivotButton="0" quotePrefix="0" xfId="0">
      <alignment horizontal="right"/>
    </xf>
    <xf numFmtId="0" fontId="6" fillId="0" borderId="59" applyAlignment="1" pivotButton="0" quotePrefix="0" xfId="0">
      <alignment horizontal="center"/>
    </xf>
    <xf numFmtId="0" fontId="6" fillId="0" borderId="60" applyAlignment="1" pivotButton="0" quotePrefix="0" xfId="0">
      <alignment horizontal="center"/>
    </xf>
    <xf numFmtId="0" fontId="6" fillId="0" borderId="61" applyAlignment="1" pivotButton="0" quotePrefix="0" xfId="0">
      <alignment horizontal="center"/>
    </xf>
    <xf numFmtId="0" fontId="6" fillId="0" borderId="42" applyAlignment="1" pivotButton="0" quotePrefix="0" xfId="0">
      <alignment horizontal="center"/>
    </xf>
    <xf numFmtId="0" fontId="6" fillId="0" borderId="22" applyAlignment="1" pivotButton="0" quotePrefix="0" xfId="0">
      <alignment horizontal="center"/>
    </xf>
    <xf numFmtId="0" fontId="6" fillId="0" borderId="45" applyAlignment="1" pivotButton="0" quotePrefix="0" xfId="0">
      <alignment horizontal="center"/>
    </xf>
    <xf numFmtId="0" fontId="6" fillId="0" borderId="46" applyAlignment="1" pivotButton="0" quotePrefix="0" xfId="0">
      <alignment horizontal="center"/>
    </xf>
    <xf numFmtId="0" fontId="0" fillId="0" borderId="49" applyAlignment="1" pivotButton="0" quotePrefix="0" xfId="0">
      <alignment horizontal="center"/>
    </xf>
    <xf numFmtId="0" fontId="0" fillId="0" borderId="50" applyAlignment="1" pivotButton="0" quotePrefix="0" xfId="0">
      <alignment horizontal="center"/>
    </xf>
    <xf numFmtId="0" fontId="0" fillId="0" borderId="51" applyAlignment="1" pivotButton="0" quotePrefix="0" xfId="0">
      <alignment horizontal="center"/>
    </xf>
    <xf numFmtId="0" fontId="0" fillId="0" borderId="27" applyAlignment="1" pivotButton="0" quotePrefix="0" xfId="0">
      <alignment horizontal="center"/>
    </xf>
    <xf numFmtId="0" fontId="3" fillId="9" borderId="12" applyAlignment="1" pivotButton="0" quotePrefix="0" xfId="0">
      <alignment horizontal="center" vertical="center"/>
    </xf>
    <xf numFmtId="0" fontId="0" fillId="0" borderId="6" applyAlignment="1" pivotButton="0" quotePrefix="0" xfId="0">
      <alignment vertical="center"/>
    </xf>
    <xf numFmtId="0" fontId="48" fillId="21" borderId="94" applyAlignment="1" pivotButton="0" quotePrefix="0" xfId="0">
      <alignment horizontal="center" vertical="center"/>
    </xf>
    <xf numFmtId="0" fontId="0" fillId="21" borderId="94" applyAlignment="1" pivotButton="0" quotePrefix="0" xfId="0">
      <alignment horizontal="center" vertical="center"/>
    </xf>
    <xf numFmtId="0" fontId="14" fillId="21" borderId="94" applyAlignment="1" pivotButton="0" quotePrefix="0" xfId="0">
      <alignment horizontal="center" vertical="center"/>
    </xf>
    <xf numFmtId="17" fontId="13" fillId="21" borderId="94" applyAlignment="1" pivotButton="0" quotePrefix="0" xfId="0">
      <alignment horizontal="center" vertical="center"/>
    </xf>
    <xf numFmtId="0" fontId="49" fillId="21" borderId="94" applyAlignment="1" pivotButton="0" quotePrefix="0" xfId="0">
      <alignment horizontal="center" vertical="center"/>
    </xf>
    <xf numFmtId="0" fontId="50" fillId="21" borderId="94" applyAlignment="1" pivotButton="0" quotePrefix="0" xfId="0">
      <alignment horizontal="center" vertical="center"/>
    </xf>
    <xf numFmtId="0" fontId="13" fillId="21" borderId="94" applyAlignment="1" pivotButton="0" quotePrefix="0" xfId="0">
      <alignment horizontal="center" vertical="center"/>
    </xf>
    <xf numFmtId="17" fontId="49" fillId="21" borderId="94" applyAlignment="1" pivotButton="0" quotePrefix="0" xfId="0">
      <alignment horizontal="center" vertical="center"/>
    </xf>
    <xf numFmtId="0" fontId="0" fillId="22" borderId="94" applyAlignment="1" pivotButton="0" quotePrefix="0" xfId="0">
      <alignment horizontal="center" vertical="center"/>
    </xf>
    <xf numFmtId="0" fontId="51" fillId="23" borderId="94" applyAlignment="1" pivotButton="0" quotePrefix="0" xfId="0">
      <alignment horizontal="center" vertical="center"/>
    </xf>
    <xf numFmtId="0" fontId="15" fillId="22" borderId="94" applyAlignment="1" pivotButton="0" quotePrefix="0" xfId="0">
      <alignment horizontal="center" vertical="center"/>
    </xf>
    <xf numFmtId="0" fontId="52" fillId="24" borderId="94" applyAlignment="1" pivotButton="0" quotePrefix="0" xfId="0">
      <alignment horizontal="center" vertical="center"/>
    </xf>
    <xf numFmtId="17" fontId="53" fillId="25" borderId="94" applyAlignment="1" pivotButton="0" quotePrefix="0" xfId="0">
      <alignment horizontal="center" vertical="center"/>
    </xf>
    <xf numFmtId="0" fontId="53" fillId="25" borderId="94" applyAlignment="1" pivotButton="0" quotePrefix="0" xfId="0">
      <alignment horizontal="center" vertical="center"/>
    </xf>
    <xf numFmtId="0" fontId="54" fillId="25" borderId="95" applyAlignment="1" pivotButton="0" quotePrefix="0" xfId="0">
      <alignment horizontal="center" vertical="center"/>
    </xf>
    <xf numFmtId="0" fontId="55" fillId="26" borderId="95" applyAlignment="1" pivotButton="0" quotePrefix="0" xfId="0">
      <alignment horizontal="center" vertical="center"/>
    </xf>
    <xf numFmtId="0" fontId="56" fillId="27" borderId="96" applyAlignment="1" pivotButton="0" quotePrefix="0" xfId="0">
      <alignment horizontal="left" vertical="center"/>
    </xf>
    <xf numFmtId="0" fontId="35" fillId="0" borderId="94" applyAlignment="1" pivotButton="0" quotePrefix="0" xfId="0">
      <alignment horizontal="center" vertical="center"/>
    </xf>
    <xf numFmtId="0" fontId="57" fillId="28" borderId="94" applyAlignment="1" pivotButton="0" quotePrefix="0" xfId="0">
      <alignment horizontal="center" vertical="center"/>
    </xf>
    <xf numFmtId="0" fontId="28" fillId="29" borderId="94" applyAlignment="1" pivotButton="0" quotePrefix="0" xfId="0">
      <alignment horizontal="center" vertical="center"/>
    </xf>
    <xf numFmtId="0" fontId="23" fillId="0" borderId="94" applyAlignment="1" pivotButton="0" quotePrefix="0" xfId="0">
      <alignment horizontal="center" vertical="center"/>
    </xf>
    <xf numFmtId="0" fontId="58" fillId="30" borderId="94" applyAlignment="1" pivotButton="0" quotePrefix="0" xfId="0">
      <alignment horizontal="center" vertical="center"/>
    </xf>
    <xf numFmtId="0" fontId="59" fillId="31" borderId="94" applyAlignment="1" pivotButton="0" quotePrefix="0" xfId="0">
      <alignment horizontal="center" vertical="center"/>
    </xf>
    <xf numFmtId="0" fontId="58" fillId="32" borderId="94" applyAlignment="1" pivotButton="0" quotePrefix="0" xfId="0">
      <alignment horizontal="center" vertical="center"/>
    </xf>
    <xf numFmtId="0" fontId="59" fillId="33" borderId="94" applyAlignment="1" pivotButton="0" quotePrefix="0" xfId="0">
      <alignment horizontal="center" vertical="center"/>
    </xf>
    <xf numFmtId="0" fontId="58" fillId="34" borderId="94" applyAlignment="1" pivotButton="0" quotePrefix="0" xfId="0">
      <alignment horizontal="center" vertical="center"/>
    </xf>
    <xf numFmtId="0" fontId="59" fillId="35" borderId="94" applyAlignment="1" pivotButton="0" quotePrefix="0" xfId="0">
      <alignment horizontal="center" vertical="center"/>
    </xf>
    <xf numFmtId="0" fontId="59" fillId="36" borderId="94" applyAlignment="1" pivotButton="0" quotePrefix="0" xfId="0">
      <alignment horizontal="center" vertical="center"/>
    </xf>
    <xf numFmtId="0" fontId="58" fillId="35" borderId="94" applyAlignment="1" pivotButton="0" quotePrefix="0" xfId="0">
      <alignment horizontal="center" vertical="center"/>
    </xf>
    <xf numFmtId="0" fontId="58" fillId="37" borderId="94" applyAlignment="1" pivotButton="0" quotePrefix="0" xfId="0">
      <alignment horizontal="center" vertical="center"/>
    </xf>
    <xf numFmtId="0" fontId="59" fillId="38" borderId="94" applyAlignment="1" pivotButton="0" quotePrefix="0" xfId="0">
      <alignment horizontal="center" vertical="center"/>
    </xf>
    <xf numFmtId="0" fontId="58" fillId="39" borderId="94" applyAlignment="1" pivotButton="0" quotePrefix="0" xfId="0">
      <alignment horizontal="center" vertical="center"/>
    </xf>
    <xf numFmtId="0" fontId="34" fillId="0" borderId="94" applyAlignment="1" pivotButton="0" quotePrefix="0" xfId="0">
      <alignment horizontal="center" vertical="center"/>
    </xf>
    <xf numFmtId="0" fontId="34" fillId="29" borderId="94" applyAlignment="1" pivotButton="0" quotePrefix="0" xfId="0">
      <alignment horizontal="center" vertical="center"/>
    </xf>
    <xf numFmtId="0" fontId="3" fillId="0" borderId="94" applyAlignment="1" pivotButton="0" quotePrefix="0" xfId="0">
      <alignment horizontal="center" vertical="center"/>
    </xf>
    <xf numFmtId="0" fontId="6" fillId="29" borderId="94" applyAlignment="1" pivotButton="0" quotePrefix="0" xfId="0">
      <alignment horizontal="center" vertical="center"/>
    </xf>
    <xf numFmtId="0" fontId="6" fillId="0" borderId="94" applyAlignment="1" pivotButton="0" quotePrefix="0" xfId="0">
      <alignment horizontal="center" vertical="center"/>
    </xf>
    <xf numFmtId="0" fontId="58" fillId="28" borderId="94" applyAlignment="1" pivotButton="0" quotePrefix="0" xfId="0">
      <alignment horizontal="center" vertical="center"/>
    </xf>
    <xf numFmtId="0" fontId="40" fillId="29" borderId="94" applyAlignment="1" pivotButton="0" quotePrefix="0" xfId="0">
      <alignment horizontal="center" vertical="center"/>
    </xf>
    <xf numFmtId="0" fontId="40" fillId="0" borderId="94" applyAlignment="1" pivotButton="0" quotePrefix="0" xfId="0">
      <alignment horizontal="center" vertical="center"/>
    </xf>
    <xf numFmtId="0" fontId="29" fillId="0" borderId="94" applyAlignment="1" pivotButton="0" quotePrefix="0" xfId="0">
      <alignment horizontal="center" vertical="center"/>
    </xf>
    <xf numFmtId="0" fontId="7" fillId="0" borderId="94" applyAlignment="1" pivotButton="0" quotePrefix="0" xfId="0">
      <alignment horizontal="center" vertical="center"/>
    </xf>
    <xf numFmtId="0" fontId="28" fillId="0" borderId="94" applyAlignment="1" pivotButton="0" quotePrefix="0" xfId="0">
      <alignment horizontal="center" vertical="center"/>
    </xf>
    <xf numFmtId="0" fontId="0" fillId="0" borderId="94" applyAlignment="1" pivotButton="0" quotePrefix="0" xfId="0">
      <alignment horizontal="center" vertical="center"/>
    </xf>
    <xf numFmtId="0" fontId="0" fillId="29" borderId="94" applyAlignment="1" pivotButton="0" quotePrefix="0" xfId="0">
      <alignment horizontal="center" vertical="center"/>
    </xf>
    <xf numFmtId="0" fontId="2" fillId="0" borderId="94" applyAlignment="1" pivotButton="0" quotePrefix="0" xfId="0">
      <alignment horizontal="center" vertical="center"/>
    </xf>
    <xf numFmtId="0" fontId="3" fillId="29" borderId="94" applyAlignment="1" pivotButton="0" quotePrefix="0" xfId="0">
      <alignment horizontal="center" vertical="center"/>
    </xf>
    <xf numFmtId="0" fontId="60" fillId="35" borderId="94" applyAlignment="1" pivotButton="0" quotePrefix="0" xfId="0">
      <alignment horizontal="center" vertical="center"/>
    </xf>
    <xf numFmtId="0" fontId="60" fillId="40" borderId="94" applyAlignment="1" pivotButton="0" quotePrefix="0" xfId="0">
      <alignment horizontal="center" vertical="center"/>
    </xf>
    <xf numFmtId="0" fontId="60" fillId="33" borderId="94" applyAlignment="1" pivotButton="0" quotePrefix="0" xfId="0">
      <alignment horizontal="center" vertical="center"/>
    </xf>
    <xf numFmtId="0" fontId="59" fillId="41" borderId="94" applyAlignment="1" pivotButton="0" quotePrefix="0" xfId="0">
      <alignment horizontal="center" vertical="center"/>
    </xf>
    <xf numFmtId="0" fontId="61" fillId="37" borderId="94" applyAlignment="1" pivotButton="0" quotePrefix="0" xfId="0">
      <alignment horizontal="center" vertical="center"/>
    </xf>
    <xf numFmtId="0" fontId="60" fillId="42" borderId="94" applyAlignment="1" pivotButton="0" quotePrefix="0" xfId="0">
      <alignment horizontal="center" vertical="center"/>
    </xf>
    <xf numFmtId="0" fontId="62" fillId="43" borderId="94" applyAlignment="1" pivotButton="0" quotePrefix="0" xfId="0">
      <alignment horizontal="center" vertical="center"/>
    </xf>
    <xf numFmtId="0" fontId="2" fillId="29" borderId="94" applyAlignment="1" pivotButton="0" quotePrefix="0" xfId="0">
      <alignment horizontal="center" vertical="center"/>
    </xf>
    <xf numFmtId="0" fontId="58" fillId="44" borderId="94" applyAlignment="1" pivotButton="0" quotePrefix="0" xfId="0">
      <alignment horizontal="center" vertical="center"/>
    </xf>
    <xf numFmtId="0" fontId="10" fillId="0" borderId="94" applyAlignment="1" pivotButton="0" quotePrefix="0" xfId="0">
      <alignment horizontal="center" vertical="center"/>
    </xf>
    <xf numFmtId="0" fontId="59" fillId="40" borderId="94" applyAlignment="1" pivotButton="0" quotePrefix="0" xfId="0">
      <alignment horizontal="center" vertical="center"/>
    </xf>
    <xf numFmtId="0" fontId="27" fillId="0" borderId="94" applyAlignment="1" pivotButton="0" quotePrefix="0" xfId="0">
      <alignment horizontal="center" vertical="center"/>
    </xf>
    <xf numFmtId="0" fontId="63" fillId="31" borderId="94" applyAlignment="1" pivotButton="0" quotePrefix="0" xfId="0">
      <alignment horizontal="center" vertical="center"/>
    </xf>
    <xf numFmtId="0" fontId="59" fillId="42" borderId="94" applyAlignment="1" pivotButton="0" quotePrefix="0" xfId="0">
      <alignment horizontal="center" vertical="center"/>
    </xf>
    <xf numFmtId="0" fontId="58" fillId="45" borderId="94" applyAlignment="1" pivotButton="0" quotePrefix="0" xfId="0">
      <alignment horizontal="center" vertical="center"/>
    </xf>
    <xf numFmtId="0" fontId="29" fillId="29" borderId="94" applyAlignment="1" pivotButton="0" quotePrefix="0" xfId="0">
      <alignment horizontal="center" vertical="center"/>
    </xf>
    <xf numFmtId="0" fontId="58" fillId="46" borderId="94" applyAlignment="1" pivotButton="0" quotePrefix="0" xfId="0">
      <alignment horizontal="center" vertical="center"/>
    </xf>
    <xf numFmtId="0" fontId="17" fillId="21" borderId="94" applyAlignment="1" pivotButton="0" quotePrefix="0" xfId="0">
      <alignment horizontal="center" vertical="center"/>
    </xf>
    <xf numFmtId="17" fontId="17" fillId="21" borderId="94" applyAlignment="1" pivotButton="0" quotePrefix="0" xfId="0">
      <alignment horizontal="center" vertical="center"/>
    </xf>
    <xf numFmtId="0" fontId="14" fillId="22" borderId="94" applyAlignment="1" pivotButton="0" quotePrefix="0" xfId="0">
      <alignment horizontal="center" vertical="center"/>
    </xf>
    <xf numFmtId="0" fontId="36" fillId="29" borderId="94" applyAlignment="1" pivotButton="0" quotePrefix="0" xfId="0">
      <alignment horizontal="center" vertical="center"/>
    </xf>
    <xf numFmtId="0" fontId="37" fillId="29" borderId="94" applyAlignment="1" pivotButton="0" quotePrefix="0" xfId="0">
      <alignment horizontal="center" vertical="center"/>
    </xf>
    <xf numFmtId="0" fontId="15" fillId="0" borderId="94" applyAlignment="1" pivotButton="0" quotePrefix="0" xfId="0">
      <alignment horizontal="center" vertical="center"/>
    </xf>
    <xf numFmtId="0" fontId="10" fillId="29" borderId="94" applyAlignment="1" pivotButton="0" quotePrefix="0" xfId="0">
      <alignment horizontal="center" vertical="center"/>
    </xf>
    <xf numFmtId="0" fontId="7" fillId="29" borderId="94" applyAlignment="1" pivotButton="0" quotePrefix="0" xfId="0">
      <alignment horizontal="center" vertical="center"/>
    </xf>
    <xf numFmtId="0" fontId="0" fillId="0" borderId="37" applyAlignment="1" pivotButton="0" quotePrefix="0" xfId="0">
      <alignment vertical="center"/>
    </xf>
    <xf numFmtId="0" fontId="3" fillId="21" borderId="94" applyAlignment="1" pivotButton="0" quotePrefix="0" xfId="0">
      <alignment horizontal="center" vertical="center"/>
    </xf>
    <xf numFmtId="0" fontId="28" fillId="21" borderId="94" applyAlignment="1" pivotButton="0" quotePrefix="0" xfId="0">
      <alignment horizontal="center" vertical="center"/>
    </xf>
    <xf numFmtId="0" fontId="7" fillId="21" borderId="94" applyAlignment="1" pivotButton="0" quotePrefix="0" xfId="0">
      <alignment horizontal="center" vertical="center"/>
    </xf>
    <xf numFmtId="0" fontId="6" fillId="21" borderId="94" applyAlignment="1" pivotButton="0" quotePrefix="0" xfId="0">
      <alignment horizontal="center" vertical="center"/>
    </xf>
    <xf numFmtId="0" fontId="2" fillId="21" borderId="94" applyAlignment="1" pivotButton="0" quotePrefix="0" xfId="0">
      <alignment horizontal="center" vertical="center"/>
    </xf>
    <xf numFmtId="0" fontId="16" fillId="0" borderId="21" applyAlignment="1" pivotButton="0" quotePrefix="0" xfId="0">
      <alignment vertical="center"/>
    </xf>
    <xf numFmtId="0" fontId="16" fillId="22" borderId="94" applyAlignment="1" pivotButton="0" quotePrefix="0" xfId="0">
      <alignment horizontal="center" vertical="center"/>
    </xf>
    <xf numFmtId="0" fontId="41" fillId="0" borderId="94" applyAlignment="1" pivotButton="0" quotePrefix="0" xfId="0">
      <alignment horizontal="center" vertical="center"/>
    </xf>
    <xf numFmtId="0" fontId="0" fillId="0" borderId="69" applyAlignment="1" pivotButton="0" quotePrefix="0" xfId="0">
      <alignment vertical="center"/>
    </xf>
    <xf numFmtId="0" fontId="38" fillId="0" borderId="94" applyAlignment="1" pivotButton="0" quotePrefix="0" xfId="0">
      <alignment horizontal="center" vertical="center"/>
    </xf>
    <xf numFmtId="0" fontId="64" fillId="25" borderId="94" applyAlignment="1" pivotButton="0" quotePrefix="0" xfId="0">
      <alignment horizontal="center" vertical="center"/>
    </xf>
    <xf numFmtId="0" fontId="67" fillId="0" borderId="94" applyAlignment="1" pivotButton="0" quotePrefix="0" xfId="0">
      <alignment horizontal="center" vertical="center"/>
    </xf>
    <xf numFmtId="0" fontId="52" fillId="0" borderId="94" applyAlignment="1" pivotButton="0" quotePrefix="0" xfId="0">
      <alignment horizontal="center" vertical="center"/>
    </xf>
    <xf numFmtId="0" fontId="66" fillId="0" borderId="94" applyAlignment="1" pivotButton="0" quotePrefix="0" xfId="0">
      <alignment horizontal="center" vertical="center"/>
    </xf>
    <xf numFmtId="0" fontId="52" fillId="27" borderId="94" applyAlignment="1" pivotButton="0" quotePrefix="0" xfId="0">
      <alignment horizontal="center" vertical="center"/>
    </xf>
    <xf numFmtId="0" fontId="66" fillId="3" borderId="94" applyAlignment="1" pivotButton="0" quotePrefix="0" xfId="0">
      <alignment horizontal="center" vertical="center"/>
    </xf>
    <xf numFmtId="0" fontId="64" fillId="0" borderId="94" pivotButton="0" quotePrefix="0" xfId="0"/>
    <xf numFmtId="0" fontId="65" fillId="21" borderId="94" pivotButton="0" quotePrefix="0" xfId="0"/>
    <xf numFmtId="0" fontId="64" fillId="0" borderId="94" applyAlignment="1" pivotButton="0" quotePrefix="0" xfId="0">
      <alignment horizontal="right"/>
    </xf>
    <xf numFmtId="0" fontId="64" fillId="4" borderId="94" applyAlignment="1" pivotButton="0" quotePrefix="0" xfId="0">
      <alignment horizontal="center"/>
    </xf>
    <xf numFmtId="0" fontId="64" fillId="0" borderId="94" applyAlignment="1" pivotButton="0" quotePrefix="0" xfId="0">
      <alignment horizontal="center"/>
    </xf>
    <xf numFmtId="0" fontId="52" fillId="25" borderId="94" applyAlignment="1" pivotButton="0" quotePrefix="0" xfId="0">
      <alignment horizontal="center" vertical="center"/>
    </xf>
    <xf numFmtId="0" fontId="67" fillId="25" borderId="94" applyAlignment="1" pivotButton="0" quotePrefix="0" xfId="0">
      <alignment horizontal="center" vertical="center"/>
    </xf>
    <xf numFmtId="0" fontId="66" fillId="0" borderId="94" applyAlignment="1" applyProtection="1" pivotButton="0" quotePrefix="0" xfId="0">
      <alignment horizontal="center" vertical="center"/>
      <protection locked="0" hidden="0"/>
    </xf>
    <xf numFmtId="0" fontId="52" fillId="27" borderId="95" pivotButton="0" quotePrefix="0" xfId="0"/>
    <xf numFmtId="0" fontId="66" fillId="27" borderId="94" applyAlignment="1" applyProtection="1" pivotButton="0" quotePrefix="0" xfId="0">
      <alignment horizontal="center" vertical="center"/>
      <protection locked="0" hidden="0"/>
    </xf>
    <xf numFmtId="0" fontId="66" fillId="27" borderId="94" applyAlignment="1" pivotButton="0" quotePrefix="0" xfId="0">
      <alignment horizontal="center" vertical="center"/>
    </xf>
    <xf numFmtId="0" fontId="66" fillId="25" borderId="94" applyAlignment="1" applyProtection="1" pivotButton="0" quotePrefix="0" xfId="0">
      <alignment horizontal="center" vertical="center"/>
      <protection locked="0" hidden="0"/>
    </xf>
    <xf numFmtId="0" fontId="66" fillId="25" borderId="94" applyAlignment="1" pivotButton="0" quotePrefix="0" xfId="0">
      <alignment horizontal="center" vertical="center"/>
    </xf>
    <xf numFmtId="2" fontId="66" fillId="0" borderId="94" applyAlignment="1" pivotButton="0" quotePrefix="0" xfId="0">
      <alignment horizontal="center" vertical="center"/>
    </xf>
  </cellXfs>
  <cellStyles count="1">
    <cellStyle name="Standard" xfId="0" builtinId="0"/>
  </cellStyles>
  <dxfs count="93"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5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50"/>
        </patternFill>
      </fill>
    </dxf>
    <dxf>
      <fill>
        <patternFill>
          <bgColor indexed="1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comments/comment1.xml><?xml version="1.0" encoding="utf-8"?>
<comments xmlns="http://schemas.openxmlformats.org/spreadsheetml/2006/main">
  <authors>
    <author>Putschler, Walter (054)</author>
  </authors>
  <commentList>
    <comment ref="AK7" authorId="0" shapeId="0">
      <text>
        <t xml:space="preserve">Geplanter EH-Kurs
</t>
      </text>
    </comment>
    <comment ref="AR7" authorId="0" shapeId="0">
      <text>
        <t xml:space="preserve">Geplanter EH-Kurs
</t>
      </text>
    </comment>
    <comment ref="AY7" authorId="0" shapeId="0">
      <text>
        <t xml:space="preserve">Geplanter EH-Kurs
</t>
      </text>
    </comment>
    <comment ref="BM7" authorId="0" shapeId="0">
      <text>
        <t xml:space="preserve">Geplanter EH-Kurs
</t>
      </text>
    </comment>
    <comment ref="BT7" authorId="0" shapeId="0">
      <text>
        <t xml:space="preserve">Geplanter EH-Kurs
</t>
      </text>
    </comment>
    <comment ref="CA7" authorId="0" shapeId="0">
      <text>
        <t xml:space="preserve">Geplanter EH-Kurs
</t>
      </text>
    </comment>
    <comment ref="CH7" authorId="0" shapeId="0">
      <text>
        <t xml:space="preserve">Geplanter EH-Kurs
</t>
      </text>
    </comment>
    <comment ref="DC7" authorId="0" shapeId="0">
      <text>
        <t xml:space="preserve">Geplanter EH-Kurs
</t>
      </text>
    </comment>
    <comment ref="DJ7" authorId="0" shapeId="0">
      <text>
        <t xml:space="preserve">Geplanter EH-Kurs
</t>
      </text>
    </comment>
    <comment ref="DQ7" authorId="0" shapeId="0">
      <text>
        <t xml:space="preserve">Raum für Verabschiedung geblockt
</t>
      </text>
    </comment>
    <comment ref="V8" authorId="0" shapeId="0">
      <text>
        <t xml:space="preserve">Wöchentlicher RTW-Check
</t>
      </text>
    </comment>
    <comment ref="AC8" authorId="0" shapeId="0">
      <text>
        <t xml:space="preserve">Monatlicher Verfallscheck RTW </t>
      </text>
    </comment>
    <comment ref="AX8" authorId="0" shapeId="0">
      <text>
        <t xml:space="preserve">Wöchentlicher RTW-Check
</t>
      </text>
    </comment>
    <comment ref="AY8" authorId="0" shapeId="0">
      <text>
        <t xml:space="preserve">Raumbuchung Mufu1 / Schulungsraum GZ 39
</t>
      </text>
    </comment>
    <comment ref="BD8" authorId="0" shapeId="0">
      <text>
        <t xml:space="preserve">13:00 Uhr Teams Austausch mit J. Koch </t>
      </text>
    </comment>
    <comment ref="BL8" authorId="0" shapeId="0">
      <text>
        <t xml:space="preserve">priv. Termin gegen 10:00 Uhr anwesend
</t>
      </text>
    </comment>
    <comment ref="CB8" authorId="0" shapeId="0">
      <text>
        <t>Konzernfortbildung Assistenzpersonal
Haus Lämmerbuckel</t>
      </text>
    </comment>
    <comment ref="CC8" authorId="0" shapeId="0">
      <text>
        <t>Konzernfortbildung Assistenzpersonal
Haus Lämmerbuckel</t>
      </text>
    </comment>
    <comment ref="CH8" authorId="0" shapeId="0">
      <text>
        <t xml:space="preserve">Raumbuchung Mufu1 / Schulungsraum GZ 39
</t>
      </text>
    </comment>
    <comment ref="DP8" authorId="0" shapeId="0">
      <text>
        <t xml:space="preserve">Wöchentlicher RTW-Check
</t>
      </text>
    </comment>
    <comment ref="I9" authorId="0" shapeId="0">
      <text>
        <t xml:space="preserve">Wöchentlicher RTW-Check
</t>
      </text>
    </comment>
    <comment ref="AJ9" authorId="0" shapeId="0">
      <text>
        <t xml:space="preserve">Wöchentlicher RTW-Check
</t>
      </text>
    </comment>
    <comment ref="AK9" authorId="0" shapeId="0">
      <text>
        <t xml:space="preserve">Raumbuchung Mufu1 / Schulungsraum GZ 39
</t>
      </text>
    </comment>
    <comment ref="BS9" authorId="0" shapeId="0">
      <text>
        <t xml:space="preserve">Wöchentlicher RTW-Check
</t>
      </text>
    </comment>
    <comment ref="CA9" authorId="0" shapeId="0">
      <text>
        <t xml:space="preserve">Raumbuchung Mufu1 / Schulungsraum GZ 39
</t>
      </text>
    </comment>
    <comment ref="CB9" authorId="0" shapeId="0">
      <text>
        <t>Konzernfortbildung Assistenzpersonal
Haus Lämmerbuckel</t>
      </text>
    </comment>
    <comment ref="CC9" authorId="0" shapeId="0">
      <text>
        <t>Konzernfortbildung Assistenzpersonal
Haus Lämmerbuckel</t>
      </text>
    </comment>
    <comment ref="BD10" authorId="0" shapeId="0">
      <text>
        <t xml:space="preserve">AZ 08:00 - 14:30 Uhr
</t>
      </text>
    </comment>
    <comment ref="BF10" authorId="0" shapeId="0">
      <text>
        <t xml:space="preserve">AZ 08:00 - 14:30 Uhr
</t>
      </text>
    </comment>
    <comment ref="BH10" authorId="0" shapeId="0">
      <text>
        <t xml:space="preserve">AZ 08:00 - 14:30 Uhr
</t>
      </text>
    </comment>
    <comment ref="BK10" authorId="0" shapeId="0">
      <text>
        <t xml:space="preserve">AZ 08:00 - 14:30 Uhr
</t>
      </text>
    </comment>
    <comment ref="BL10" authorId="0" shapeId="0">
      <text>
        <t xml:space="preserve">AZ 08:00 - 14:30 Uhr
</t>
      </text>
    </comment>
    <comment ref="BM10" authorId="0" shapeId="0">
      <text>
        <t xml:space="preserve">AZ 08:00 - 14:30 Uhr
</t>
      </text>
    </comment>
    <comment ref="BN10" authorId="0" shapeId="0">
      <text>
        <t xml:space="preserve">AZ 08:00 - 14:30 Uhr
</t>
      </text>
    </comment>
    <comment ref="BO10" authorId="0" shapeId="0">
      <text>
        <t xml:space="preserve">AZ 08:00 - 14:30 Uhr
</t>
      </text>
    </comment>
    <comment ref="BR10" authorId="0" shapeId="0">
      <text>
        <t xml:space="preserve">AZ 06:00 - 12:00 Uhr
</t>
      </text>
    </comment>
    <comment ref="BS10" authorId="0" shapeId="0">
      <text>
        <t xml:space="preserve">AZ 06:00 - 12:00 Uhr
</t>
      </text>
    </comment>
    <comment ref="BT10" authorId="0" shapeId="0">
      <text>
        <t xml:space="preserve">AZ 06:00 - 12:00 Uhr
</t>
      </text>
    </comment>
    <comment ref="BU10" authorId="0" shapeId="0">
      <text>
        <t xml:space="preserve">AZ 06:00 - 12:00 Uhr
</t>
      </text>
    </comment>
    <comment ref="BV10" authorId="0" shapeId="0">
      <text>
        <t xml:space="preserve">AZ 06:00 - 12:00 Uhr
</t>
      </text>
    </comment>
    <comment ref="BY10" authorId="0" shapeId="0">
      <text>
        <t xml:space="preserve">AZ 06:00 - 12:00 Uhr
</t>
      </text>
    </comment>
    <comment ref="BZ10" authorId="0" shapeId="0">
      <text>
        <t xml:space="preserve">AZ 06:00 - 12:00 Uhr
</t>
      </text>
    </comment>
    <comment ref="CA10" authorId="0" shapeId="0">
      <text>
        <t xml:space="preserve">AZ 06:00 - 12:00 Uhr
</t>
      </text>
    </comment>
    <comment ref="CB10" authorId="0" shapeId="0">
      <text>
        <t xml:space="preserve">AZ 06:00 - 12:00 Uhr
</t>
      </text>
    </comment>
    <comment ref="CC10" authorId="0" shapeId="0">
      <text>
        <t xml:space="preserve">AZ 06:00 - 12:00 Uhr
</t>
      </text>
    </comment>
    <comment ref="CF10" authorId="0" shapeId="0">
      <text>
        <t xml:space="preserve">AZ 06:00 - 12:00 Uhr
</t>
      </text>
    </comment>
    <comment ref="CG10" authorId="0" shapeId="0">
      <text>
        <t xml:space="preserve">AZ 06:00 - 12:00 Uhr
</t>
      </text>
    </comment>
    <comment ref="CH10" authorId="0" shapeId="0">
      <text>
        <t xml:space="preserve">AZ 06:00 - 12:00 Uhr
</t>
      </text>
    </comment>
    <comment ref="CI10" authorId="0" shapeId="0">
      <text>
        <t xml:space="preserve">AZ 06:00 - 12:00 Uhr
</t>
      </text>
    </comment>
    <comment ref="CJ10" authorId="0" shapeId="0">
      <text>
        <t xml:space="preserve">AZ 06:00 - 12:00 Uhr
</t>
      </text>
    </comment>
    <comment ref="CM10" authorId="0" shapeId="0">
      <text>
        <t xml:space="preserve">Monatlicher Verfallscheck: 
- RTW 83/1 u. 83/2
- Ambulanz RA u. KU
- Diag. 1 u. 2
- Physik. Therap.
</t>
      </text>
    </comment>
    <comment ref="CN10" authorId="0" shapeId="0">
      <text>
        <t xml:space="preserve">Monatlicher Verfallscheck: 
- RTW 83/1 u. 83/2
- Ambulanz RA u. KU
- Diag. 1 u. 2
- Physik. Therap.
</t>
      </text>
    </comment>
    <comment ref="CO10" authorId="0" shapeId="0">
      <text>
        <t xml:space="preserve">AZ 06:00 - 12:00 Uhr
</t>
      </text>
    </comment>
    <comment ref="CP10" authorId="0" shapeId="0">
      <text>
        <t xml:space="preserve">AZ 06:00 - 12:00 Uhr
</t>
      </text>
    </comment>
    <comment ref="CU10" authorId="0" shapeId="0">
      <text>
        <t xml:space="preserve">AZ 06:00 - 12:00 Uhr
</t>
      </text>
    </comment>
    <comment ref="CV10" authorId="0" shapeId="0">
      <text>
        <t xml:space="preserve">AZ 06:00 - 12:00 Uhr
</t>
      </text>
    </comment>
    <comment ref="CW10" authorId="0" shapeId="0">
      <text>
        <t xml:space="preserve">AZ 06:00 - 12:00 Uhr
</t>
      </text>
    </comment>
    <comment ref="CX10" authorId="0" shapeId="0">
      <text>
        <t xml:space="preserve">AZ 06:00 - 12:00 Uhr
</t>
      </text>
    </comment>
    <comment ref="CZ10" authorId="0" shapeId="0">
      <text>
        <t xml:space="preserve">AZ 06:00 - 12:00 Uhr
</t>
      </text>
    </comment>
    <comment ref="DA10" authorId="0" shapeId="0">
      <text>
        <t xml:space="preserve">AZ 06:00 - 12:00 Uhr
</t>
      </text>
    </comment>
    <comment ref="DB10" authorId="0" shapeId="0">
      <text>
        <t xml:space="preserve">AZ 06:00 - 12:00 Uhr
</t>
      </text>
    </comment>
    <comment ref="DC10" authorId="0" shapeId="0">
      <text>
        <t xml:space="preserve">AZ 06:00 - 12:00 Uhr
</t>
      </text>
    </comment>
    <comment ref="DD10" authorId="0" shapeId="0">
      <text>
        <t xml:space="preserve">AZ 06:00 - 12:00 Uhr
</t>
      </text>
    </comment>
    <comment ref="D11" authorId="0" shapeId="0">
      <text>
        <t xml:space="preserve">Arbeitszeitregelung folgt noch!
</t>
      </text>
    </comment>
    <comment ref="G11" authorId="0" shapeId="0">
      <text>
        <t xml:space="preserve">Arbeitszeitregelung folgt noch!
</t>
      </text>
    </comment>
    <comment ref="AK11" authorId="0" shapeId="0">
      <text>
        <t xml:space="preserve">Raumbuchung Mufu1 / Schulungsraum GZ 39
</t>
      </text>
    </comment>
    <comment ref="AL11" authorId="0" shapeId="0">
      <text>
        <t xml:space="preserve">QM-Themen in UT bei T. Fritz
</t>
      </text>
    </comment>
    <comment ref="AQ11" authorId="0" shapeId="0">
      <text>
        <t xml:space="preserve">alle 8 Wochen einzuplanen
</t>
      </text>
    </comment>
    <comment ref="AR11" authorId="0" shapeId="0">
      <text>
        <t xml:space="preserve">Raumbuchung Mufu1 / Schulungsraum GZ 39
</t>
      </text>
    </comment>
    <comment ref="BF11" authorId="0" shapeId="0">
      <text>
        <t xml:space="preserve">Monatlicher Verfallscheck: 
- RTW 83/1 u. 83/2
- Ambulanz RA u. KU
- Diag. 1 u. 2
- Physik. Therap.
</t>
      </text>
    </comment>
    <comment ref="BG11" authorId="0" shapeId="0">
      <text>
        <t>Konzernfortbildung Assistenzpersonal
Haus Lämmerbuckel</t>
      </text>
    </comment>
    <comment ref="BH11" authorId="0" shapeId="0">
      <text>
        <t>Konzernfortbildung Assistenzpersonal
Haus Lämmerbuckel</t>
      </text>
    </comment>
    <comment ref="BL11" authorId="0" shapeId="0">
      <text>
        <t xml:space="preserve">bis ca. 10:00 Uhr DI
</t>
      </text>
    </comment>
    <comment ref="BU11" authorId="0" shapeId="0">
      <text>
        <t xml:space="preserve">Rücksprachen mit Thorsten Fritz zu EQMS-Rastatt
06:30 -14:00 Uhr
</t>
      </text>
    </comment>
    <comment ref="CY11" authorId="0" shapeId="0">
      <text>
        <t xml:space="preserve">evtl. Taping Kurs extern
</t>
      </text>
    </comment>
    <comment ref="DI11" authorId="0" shapeId="0">
      <text>
        <t xml:space="preserve">Wöchentlicher RTW-Check
</t>
      </text>
    </comment>
    <comment ref="DL11" authorId="0" shapeId="0">
      <text>
        <t xml:space="preserve">Teamevent Paris
</t>
      </text>
    </comment>
    <comment ref="BE12" authorId="0" shapeId="0">
      <text>
        <t>OneERP Schulung</t>
      </text>
    </comment>
    <comment ref="BF12" authorId="0" shapeId="0">
      <text>
        <t>OneERP Schulung</t>
      </text>
    </comment>
    <comment ref="BG12" authorId="0" shapeId="0">
      <text>
        <t>Konzernfortbildung Assistenzpersonal
Haus Lämmerbuckel</t>
      </text>
    </comment>
    <comment ref="BH12" authorId="0" shapeId="0">
      <text>
        <t>Konzernfortbildung Assistenzpersonal
Haus Lämmerbuckel</t>
      </text>
    </comment>
    <comment ref="BT12" authorId="0" shapeId="0">
      <text>
        <t xml:space="preserve">Raumbuchung Mufu1 / Schulungsraum GZ 39
</t>
      </text>
    </comment>
    <comment ref="DA12" authorId="0" shapeId="0">
      <text>
        <t>Firma Fleischhacker wg. STK/MTK im Haus</t>
      </text>
    </comment>
    <comment ref="DB12" authorId="0" shapeId="0">
      <text>
        <t>Firma Fleischhacker wg. STK/MTK im Haus</t>
      </text>
    </comment>
    <comment ref="DC12" authorId="0" shapeId="0">
      <text>
        <t xml:space="preserve">Raumbuchung Mufu1 / Schulungsraum GZ 39
</t>
      </text>
    </comment>
    <comment ref="FG12" authorId="0" shapeId="0">
      <text>
        <t>Rettungsdienstliche Fortbildung in Mannheim</t>
      </text>
    </comment>
    <comment ref="FH12" authorId="0" shapeId="0">
      <text>
        <t>Rettungsdienstliche Fortbildung in Mannheim</t>
      </text>
    </comment>
    <comment ref="FI12" authorId="0" shapeId="0">
      <text>
        <t>Rettungsdienstliche Fortbildung in Mannheim</t>
      </text>
    </comment>
    <comment ref="O13" authorId="0" shapeId="0">
      <text>
        <t xml:space="preserve">Wöchentlicher RTW-Check
</t>
      </text>
    </comment>
    <comment ref="BL13" authorId="0" shapeId="0">
      <text>
        <t xml:space="preserve">Wöchentlicher RTW-Check
</t>
      </text>
    </comment>
    <comment ref="BZ13" authorId="0" shapeId="0">
      <text>
        <t xml:space="preserve">Wöchentlicher RTW-Check
</t>
      </text>
    </comment>
    <comment ref="CB13" authorId="0" shapeId="0">
      <text>
        <t>Konzernfortbildung Assistenzpersonal
Haus Lämmerbuckel</t>
      </text>
    </comment>
    <comment ref="CC13" authorId="0" shapeId="0">
      <text>
        <t>Konzernfortbildung Assistenzpersonal
Haus Lämmerbuckel</t>
      </text>
    </comment>
    <comment ref="CG13" authorId="0" shapeId="0">
      <text>
        <t xml:space="preserve">Wöchentlicher RTW-Check
</t>
      </text>
    </comment>
    <comment ref="CV13" authorId="0" shapeId="0">
      <text>
        <t xml:space="preserve">Wöchentlicher RTW-Check
</t>
      </text>
    </comment>
    <comment ref="AI14" authorId="0" shapeId="0">
      <text>
        <t xml:space="preserve">Putschler, Walter (054):
</t>
      </text>
    </comment>
    <comment ref="AJ14" authorId="0" shapeId="0">
      <text>
        <t xml:space="preserve">Wöchentlicher RTW-Check
</t>
      </text>
    </comment>
    <comment ref="AQ14" authorId="0" shapeId="0">
      <text>
        <t xml:space="preserve">Wöchentlicher RTW-Check
</t>
      </text>
    </comment>
    <comment ref="AX14" authorId="0" shapeId="0">
      <text>
        <t xml:space="preserve">Wöchentlicher RTW-Check
</t>
      </text>
    </comment>
    <comment ref="CB14" authorId="0" shapeId="0">
      <text>
        <t>Konzernfortbildung Assistenzpersonal
Haus Lämmerbuckel</t>
      </text>
    </comment>
    <comment ref="CC14" authorId="0" shapeId="0">
      <text>
        <t>Konzernfortbildung Assistenzpersonal
Haus Lämmerbuckel</t>
      </text>
    </comment>
    <comment ref="DB14" authorId="0" shapeId="0">
      <text>
        <t xml:space="preserve">Wöchentlicher RTW-Check
</t>
      </text>
    </comment>
    <comment ref="R15" authorId="0" shapeId="0">
      <text>
        <t xml:space="preserve">Kein Dienst
</t>
      </text>
    </comment>
    <comment ref="S15" authorId="0" shapeId="0">
      <text>
        <t xml:space="preserve">Kein Dienst
</t>
      </text>
    </comment>
    <comment ref="AJ15" authorId="0" shapeId="0">
      <text>
        <t xml:space="preserve">Arbeitsunfähigkeit durch Krankheit
</t>
      </text>
    </comment>
    <comment ref="AK15" authorId="0" shapeId="0">
      <text>
        <t xml:space="preserve">Arbeitsunfähigkeit durch Krankheit
</t>
      </text>
    </comment>
    <comment ref="AL15" authorId="0" shapeId="0">
      <text>
        <t xml:space="preserve">Arbeitsunfähigkeit durch Krankheit
</t>
      </text>
    </comment>
    <comment ref="AM15" authorId="0" shapeId="0">
      <text>
        <t xml:space="preserve">Arbeitsunfähigkeit durch Krankheit
</t>
      </text>
    </comment>
    <comment ref="BG15" authorId="0" shapeId="0">
      <text>
        <t>Konzernfortbildung Assistenzpersonal
Haus Lämmerbuckel</t>
      </text>
    </comment>
    <comment ref="BH15" authorId="0" shapeId="0">
      <text>
        <t>Konzernfortbildung Assistenzpersonal
Haus Lämmerbuckel</t>
      </text>
    </comment>
    <comment ref="BM15" authorId="0" shapeId="0">
      <text>
        <t xml:space="preserve">Raumbuchung Mufu1 / Schulungsraum GZ 39
</t>
      </text>
    </comment>
    <comment ref="CH15" authorId="0" shapeId="0">
      <text>
        <t xml:space="preserve">Wunsch vom 29.01.26 --&gt; GT
</t>
      </text>
    </comment>
    <comment ref="CI15" authorId="0" shapeId="0">
      <text>
        <t xml:space="preserve">Wunsch vom 08.01.26 --&gt; GT
</t>
      </text>
    </comment>
    <comment ref="DJ15" authorId="0" shapeId="0">
      <text>
        <t xml:space="preserve">Raumbuchung Mufu1 / Schulungsraum GZ 39
</t>
      </text>
    </comment>
    <comment ref="DL15" authorId="0" shapeId="0">
      <text>
        <t xml:space="preserve">Teamevent Paris
</t>
      </text>
    </comment>
    <comment ref="DP15" authorId="0" shapeId="0">
      <text>
        <t xml:space="preserve">Monatlicher Verfallscheck: 
- RTW 83/1 u. 83/2
- Ambulanz RA u. KU
- Diag. 1 u. 2
- Physik. Therap.
</t>
      </text>
    </comment>
    <comment ref="FG15" authorId="0" shapeId="0">
      <text>
        <t>Rettungsdienstliche Fortbildung in Mannheim</t>
      </text>
    </comment>
    <comment ref="FH15" authorId="0" shapeId="0">
      <text>
        <t>Rettungsdienstliche Fortbildung in Mannheim</t>
      </text>
    </comment>
    <comment ref="FI15" authorId="0" shapeId="0">
      <text>
        <t>Rettungsdienstliche Fortbildung in Mannheim</t>
      </text>
    </comment>
    <comment ref="AI16" authorId="0" shapeId="0">
      <text>
        <t xml:space="preserve">- 1. AT Florian Behrendt
</t>
      </text>
    </comment>
    <comment ref="AL16" authorId="0" shapeId="0">
      <text>
        <t xml:space="preserve">QM-Themen in UT bei T. Fritz
</t>
      </text>
    </comment>
    <comment ref="AN16" authorId="0" shapeId="0">
      <text>
        <t xml:space="preserve">EH - Kurs Emmaus
</t>
      </text>
    </comment>
    <comment ref="AR16" authorId="0" shapeId="0">
      <text>
        <t xml:space="preserve">Raumbuchung Mufu1 / Schulungsraum GZ 39
</t>
      </text>
    </comment>
    <comment ref="AS16" authorId="0" shapeId="0">
      <text>
        <t>priv. T. 
ZA 17:15 Uhr</t>
      </text>
    </comment>
    <comment ref="BD16" authorId="0" shapeId="0">
      <text>
        <t xml:space="preserve">13:00 Uhr Teams Austausch mit J. Koch </t>
      </text>
    </comment>
    <comment ref="BG16" authorId="0" shapeId="0">
      <text>
        <t>Konzernfortbildung Assistenzpersonal
Haus Lämmerbuckel</t>
      </text>
    </comment>
    <comment ref="BH16" authorId="0" shapeId="0">
      <text>
        <t>Konzernfortbildung Assistenzpersonal
Haus Lämmerbuckel</t>
      </text>
    </comment>
    <comment ref="BS16" authorId="0" shapeId="0">
      <text>
        <t xml:space="preserve">Navi Gespräch 13:30 - 14:00 Uhr
</t>
      </text>
    </comment>
    <comment ref="BU16" authorId="0" shapeId="0">
      <text>
        <t xml:space="preserve">Rücksprachen mit Thorsten Fritz zu EQMS-Rastatt
06:30 -14:00 Uhr
</t>
      </text>
    </comment>
    <comment ref="DL16" authorId="0" shapeId="0">
      <text>
        <t xml:space="preserve">Teamevent Paris
</t>
      </text>
    </comment>
    <comment ref="DB25" authorId="0" shapeId="0">
      <text>
        <t xml:space="preserve">ISO4501
</t>
      </text>
    </comment>
    <comment ref="DC25" authorId="0" shapeId="0">
      <text>
        <t xml:space="preserve">ISO4501
</t>
      </text>
    </comment>
    <comment ref="DD25" authorId="0" shapeId="0">
      <text>
        <t xml:space="preserve">ISO4501
</t>
      </text>
    </comment>
    <comment ref="DE25" authorId="0" shapeId="0">
      <text>
        <t xml:space="preserve">ISO4501
</t>
      </text>
    </comment>
    <comment ref="DF25" authorId="0" shapeId="0">
      <text>
        <t xml:space="preserve">ISO4501
</t>
      </text>
    </comment>
    <comment ref="DB27" authorId="0" shapeId="0">
      <text>
        <t xml:space="preserve">ISO4501
</t>
      </text>
    </comment>
    <comment ref="DC27" authorId="0" shapeId="0">
      <text>
        <t xml:space="preserve">ISO4501
</t>
      </text>
    </comment>
    <comment ref="DD27" authorId="0" shapeId="0">
      <text>
        <t xml:space="preserve">ISO4501
</t>
      </text>
    </comment>
    <comment ref="DE27" authorId="0" shapeId="0">
      <text>
        <t xml:space="preserve">ISO4501
</t>
      </text>
    </comment>
    <comment ref="DF27" authorId="0" shapeId="0">
      <text>
        <t xml:space="preserve">ISO4501
</t>
      </text>
    </comment>
    <comment ref="D28" authorId="0" shapeId="0">
      <text>
        <t>08:30 - 16:30 Uhr Qualimassnahme</t>
      </text>
    </comment>
    <comment ref="DB28" authorId="0" shapeId="0">
      <text>
        <t xml:space="preserve">ISO4501
</t>
      </text>
    </comment>
    <comment ref="DC28" authorId="0" shapeId="0">
      <text>
        <t xml:space="preserve">ISO4501
</t>
      </text>
    </comment>
    <comment ref="DD28" authorId="0" shapeId="0">
      <text>
        <t xml:space="preserve">ISO4501
</t>
      </text>
    </comment>
    <comment ref="DE28" authorId="0" shapeId="0">
      <text>
        <t xml:space="preserve">ISO4501
</t>
      </text>
    </comment>
    <comment ref="DF28" authorId="0" shapeId="0">
      <text>
        <t xml:space="preserve">ISO4501
</t>
      </text>
    </comment>
    <comment ref="DB29" authorId="0" shapeId="0">
      <text>
        <t xml:space="preserve">ISO4501
</t>
      </text>
    </comment>
    <comment ref="DC29" authorId="0" shapeId="0">
      <text>
        <t xml:space="preserve">ISO4501
</t>
      </text>
    </comment>
    <comment ref="DD29" authorId="0" shapeId="0">
      <text>
        <t xml:space="preserve">ISO4501
</t>
      </text>
    </comment>
    <comment ref="DE29" authorId="0" shapeId="0">
      <text>
        <t xml:space="preserve">ISO4501
</t>
      </text>
    </comment>
    <comment ref="DF29" authorId="0" shapeId="0">
      <text>
        <t xml:space="preserve">ISO4501
</t>
      </text>
    </comment>
    <comment ref="CO30" authorId="0" shapeId="0">
      <text>
        <t>Rettungsdienstliche Fortbildung in Mannheim</t>
      </text>
    </comment>
    <comment ref="CP30" authorId="0" shapeId="0">
      <text>
        <t>Rettungsdienstliche Fortbildung in Mannheim</t>
      </text>
    </comment>
    <comment ref="CQ30" authorId="0" shapeId="0">
      <text>
        <t>Rettungsdienstliche Fortbildung in Mannheim</t>
      </text>
    </comment>
    <comment ref="DB30" authorId="0" shapeId="0">
      <text>
        <t xml:space="preserve">ISO4501
</t>
      </text>
    </comment>
    <comment ref="DC30" authorId="0" shapeId="0">
      <text>
        <t xml:space="preserve">ISO4501
</t>
      </text>
    </comment>
    <comment ref="DD30" authorId="0" shapeId="0">
      <text>
        <t xml:space="preserve">ISO4501
</t>
      </text>
    </comment>
    <comment ref="DE30" authorId="0" shapeId="0">
      <text>
        <t xml:space="preserve">ISO4501
</t>
      </text>
    </comment>
    <comment ref="DF30" authorId="0" shapeId="0">
      <text>
        <t xml:space="preserve">ISO4501
</t>
      </text>
    </comment>
    <comment ref="CO31" authorId="0" shapeId="0">
      <text>
        <t>Rettungsdienstliche Fortbildung in Mannheim</t>
      </text>
    </comment>
    <comment ref="CP31" authorId="0" shapeId="0">
      <text>
        <t>Rettungsdienstliche Fortbildung in Mannheim</t>
      </text>
    </comment>
    <comment ref="CQ31" authorId="0" shapeId="0">
      <text>
        <t>Rettungsdienstliche Fortbildung in Mannheim</t>
      </text>
    </comment>
    <comment ref="K32" authorId="0" shapeId="0">
      <text>
        <t>Gesundheitsvortrag über LMS</t>
      </text>
    </comment>
    <comment ref="L32" authorId="0" shapeId="0">
      <text>
        <t xml:space="preserve">Wunsch vom 29.01.26 --&gt; GT
</t>
      </text>
    </comment>
    <comment ref="DB32" authorId="0" shapeId="0">
      <text>
        <t xml:space="preserve">ISO4501
</t>
      </text>
    </comment>
    <comment ref="DC32" authorId="0" shapeId="0">
      <text>
        <t xml:space="preserve">ISO4501
</t>
      </text>
    </comment>
    <comment ref="DD32" authorId="0" shapeId="0">
      <text>
        <t xml:space="preserve">ISO4501
</t>
      </text>
    </comment>
    <comment ref="DE32" authorId="0" shapeId="0">
      <text>
        <t xml:space="preserve">ISO4501
</t>
      </text>
    </comment>
    <comment ref="DF32" authorId="0" shapeId="0">
      <text>
        <t xml:space="preserve">ISO4501
</t>
      </text>
    </comment>
    <comment ref="FB32" authorId="0" shapeId="0">
      <text>
        <t>Gesundheitsvortrag über LMS</t>
      </text>
    </comment>
    <comment ref="J33" authorId="0" shapeId="0">
      <text>
        <t xml:space="preserve">15:45 Uhr priv. T. ZA
</t>
      </text>
    </comment>
    <comment ref="BI33" authorId="0" shapeId="0">
      <text>
        <t xml:space="preserve">Vorbereitung Joel
</t>
      </text>
    </comment>
    <comment ref="BJ33" authorId="0" shapeId="0">
      <text>
        <t xml:space="preserve">Kein Dienst - Event Joel
</t>
      </text>
    </comment>
    <comment ref="DB33" authorId="0" shapeId="0">
      <text>
        <t xml:space="preserve">ISO4501
</t>
      </text>
    </comment>
    <comment ref="DC33" authorId="0" shapeId="0">
      <text>
        <t xml:space="preserve">ISO4501
</t>
      </text>
    </comment>
    <comment ref="DD33" authorId="0" shapeId="0">
      <text>
        <t xml:space="preserve">ISO4501
</t>
      </text>
    </comment>
    <comment ref="DE33" authorId="0" shapeId="0">
      <text>
        <t xml:space="preserve">ISO4501
</t>
      </text>
    </comment>
    <comment ref="DF33" authorId="0" shapeId="0">
      <text>
        <t xml:space="preserve">ISO4501
</t>
      </text>
    </comment>
    <comment ref="EB33" authorId="0" shapeId="0">
      <text>
        <t xml:space="preserve">EH - Kurs Arche
</t>
      </text>
    </comment>
    <comment ref="CX40" authorId="0" shapeId="0">
      <text>
        <t xml:space="preserve">Bezahlter Schichtausgleichstag
</t>
      </text>
    </comment>
    <comment ref="CZ40" authorId="0" shapeId="0">
      <text>
        <t xml:space="preserve">OF-Begehung mit S. Smarsly
09:00 - 12:00 Uhr
Treffpunkt Stempeluhr P-Wesen
</t>
      </text>
    </comment>
    <comment ref="CX41" authorId="0" shapeId="0">
      <text>
        <t>QMB - Treffen 
opt. Termin</t>
      </text>
    </comment>
    <comment ref="CX42" authorId="0" shapeId="0">
      <text>
        <t xml:space="preserve">08:00 - 12:00 Uhr Konzernfobi via Skype
</t>
      </text>
    </comment>
    <comment ref="CY42" authorId="0" shapeId="0">
      <text>
        <t xml:space="preserve">EH-Ausbilder Fobi bei DRK OV Gernsbach
</t>
      </text>
    </comment>
    <comment ref="CW43" authorId="0" shapeId="0">
      <text>
        <t xml:space="preserve">Wöchentlicher RTW-Check
</t>
      </text>
    </comment>
    <comment ref="CX43" authorId="0" shapeId="0">
      <text>
        <t>Monatlicher Verfallscheck RTW + Unterstützung RTW Desinfektion</t>
      </text>
    </comment>
    <comment ref="CY43" authorId="0" shapeId="0">
      <text>
        <t xml:space="preserve">alle 8 Wochen einzuplanen
</t>
      </text>
    </comment>
    <comment ref="CX44" authorId="0" shapeId="0">
      <text>
        <t xml:space="preserve">Arbeitsunfähigkeit durch Krankheit
</t>
      </text>
    </comment>
    <comment ref="CX45" authorId="0" shapeId="0">
      <text>
        <t xml:space="preserve">KA = Kurzarbeit
</t>
      </text>
    </comment>
    <comment ref="CX46" authorId="0" shapeId="0">
      <text>
        <t xml:space="preserve">Raumbuchung Mufu1 / Schulungsraum GZ 39
</t>
      </text>
    </comment>
    <comment ref="CY46" authorId="0" shapeId="0">
      <text>
        <t xml:space="preserve">Geplanter EH-Kurs
</t>
      </text>
    </comment>
    <comment ref="CX52" authorId="0" shapeId="0">
      <text>
        <t xml:space="preserve">Montageeinsatz Bereich Jessica Moser
</t>
      </text>
    </comment>
    <comment ref="CY52" authorId="0" shapeId="0">
      <text>
        <t xml:space="preserve">Montageeinsatz Bereich Jessica Moser
</t>
      </text>
    </comment>
    <comment ref="CV53" authorId="0" shapeId="0">
      <text>
        <t xml:space="preserve">Ablösung Andi 03.00 Uhr wegen Einhaltung seiner 11h Ruhezeit;
Teamentwicklung im WATTS
Pforzheimer Str. 67 · 76275 Ettlingen
</t>
      </text>
    </comment>
    <comment ref="CW53" authorId="0" shapeId="0">
      <text>
        <t xml:space="preserve">08.00 - 13.30 Uhr FI;
ab 14.00 Uhr Teamentwicklung Ettlingen
</t>
      </text>
    </comment>
    <comment ref="CX53" authorId="0" shapeId="0">
      <text>
        <t xml:space="preserve">Teamentwicklung im
WATTS
Pforzheimer Str. 67 · 76275 Ettlingen
</t>
      </text>
    </comment>
  </commentList>
</comment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Tabelle2">
    <outlinePr summaryBelow="1" summaryRight="1"/>
    <pageSetUpPr/>
  </sheetPr>
  <dimension ref="A1:KP307"/>
  <sheetViews>
    <sheetView tabSelected="1" zoomScale="85" zoomScaleNormal="85" workbookViewId="0">
      <pane xSplit="2" topLeftCell="AD1" activePane="topRight" state="frozen"/>
      <selection pane="topRight" activeCell="BQ17" sqref="BQ17"/>
    </sheetView>
  </sheetViews>
  <sheetFormatPr baseColWidth="10" defaultColWidth="11.44140625" defaultRowHeight="15"/>
  <cols>
    <col width="1.5" customWidth="1" style="45" min="1" max="1"/>
    <col width="16" customWidth="1" style="65" min="2" max="2"/>
    <col width="5.8" customWidth="1" style="53" min="3" max="64"/>
    <col width="5.8" customWidth="1" min="4" max="4"/>
    <col width="5.8" customWidth="1" min="5" max="5"/>
    <col width="5.8" customWidth="1" min="6" max="6"/>
    <col width="5.8" customWidth="1" min="7" max="7"/>
    <col width="5.8" customWidth="1" min="8" max="8"/>
    <col width="5.8" customWidth="1" min="9" max="9"/>
    <col width="5.8" customWidth="1" min="10" max="10"/>
    <col width="5.8" customWidth="1" min="11" max="11"/>
    <col width="5.8" customWidth="1" min="12" max="12"/>
    <col width="5.8" customWidth="1" min="13" max="13"/>
    <col width="5.8" customWidth="1" min="14" max="14"/>
    <col width="5.8" customWidth="1" min="15" max="15"/>
    <col width="5.8" customWidth="1" min="16" max="16"/>
    <col width="5.8" customWidth="1" min="17" max="17"/>
    <col width="5.8" customWidth="1" min="18" max="18"/>
    <col width="5.8" customWidth="1" min="19" max="19"/>
    <col width="5.8" customWidth="1" min="20" max="20"/>
    <col width="5.8" customWidth="1" min="21" max="21"/>
    <col width="5.8" customWidth="1" min="22" max="22"/>
    <col width="5.8" customWidth="1" min="23" max="23"/>
    <col width="5.8" customWidth="1" min="24" max="24"/>
    <col width="5.8" customWidth="1" min="25" max="25"/>
    <col width="5.8" customWidth="1" min="26" max="26"/>
    <col width="5.8" customWidth="1" min="27" max="27"/>
    <col width="5.8" customWidth="1" min="28" max="28"/>
    <col width="5.8" customWidth="1" min="29" max="29"/>
    <col width="5.8" customWidth="1" min="30" max="30"/>
    <col width="5.8" customWidth="1" min="31" max="31"/>
    <col width="5.8" customWidth="1" min="32" max="32"/>
    <col width="5.8" customWidth="1" min="33" max="33"/>
    <col width="5.8" customWidth="1" min="34" max="34"/>
    <col width="5.8" customWidth="1" min="35" max="35"/>
    <col width="5.8" customWidth="1" min="36" max="36"/>
    <col width="5.8" customWidth="1" min="37" max="37"/>
    <col width="5.8" customWidth="1" min="38" max="38"/>
    <col width="5.8" customWidth="1" min="39" max="39"/>
    <col width="5.8" customWidth="1" min="40" max="40"/>
    <col width="5.8" customWidth="1" min="41" max="41"/>
    <col width="5.8" customWidth="1" min="42" max="42"/>
    <col width="5.8" customWidth="1" min="43" max="43"/>
    <col width="5.8" customWidth="1" min="44" max="44"/>
    <col width="5.8" customWidth="1" min="45" max="45"/>
    <col width="5.8" customWidth="1" min="46" max="46"/>
    <col width="5.8" customWidth="1" min="47" max="47"/>
    <col width="5.8" customWidth="1" min="48" max="48"/>
    <col width="5.8" customWidth="1" min="49" max="49"/>
    <col width="5.8" customWidth="1" min="50" max="50"/>
    <col width="5.8" customWidth="1" min="51" max="51"/>
    <col width="5.8" customWidth="1" min="52" max="52"/>
    <col width="5.8" customWidth="1" min="53" max="53"/>
    <col width="5.8" customWidth="1" min="54" max="54"/>
    <col width="5.8" customWidth="1" min="55" max="55"/>
    <col width="5.8" customWidth="1" min="56" max="56"/>
    <col width="5.8" customWidth="1" min="57" max="57"/>
    <col width="5.8" customWidth="1" min="58" max="58"/>
    <col width="5.8" customWidth="1" min="59" max="59"/>
    <col width="5.8" customWidth="1" min="60" max="60"/>
    <col width="5.8" customWidth="1" min="61" max="61"/>
    <col width="5.8" customWidth="1" min="62" max="62"/>
    <col width="5.8" customWidth="1" min="63" max="63"/>
    <col width="5.8" customWidth="1" min="64" max="64"/>
    <col width="5.8" customWidth="1" style="85" min="65" max="65"/>
    <col width="5.8" customWidth="1" style="53" min="66" max="155"/>
    <col width="5.8" customWidth="1" min="67" max="67"/>
    <col width="5.8" customWidth="1" min="68" max="68"/>
    <col width="5.8" customWidth="1" min="69" max="69"/>
    <col width="5.8" customWidth="1" min="70" max="70"/>
    <col width="5.8" customWidth="1" min="71" max="71"/>
    <col width="5.8" customWidth="1" min="72" max="72"/>
    <col width="5.8" customWidth="1" min="73" max="73"/>
    <col width="5.8" customWidth="1" min="74" max="74"/>
    <col width="5.8" customWidth="1" min="75" max="75"/>
    <col width="5.8" customWidth="1" min="76" max="76"/>
    <col width="5.8" customWidth="1" min="77" max="77"/>
    <col width="5.8" customWidth="1" min="78" max="78"/>
    <col width="5.8" customWidth="1" min="79" max="79"/>
    <col width="5.8" customWidth="1" min="80" max="80"/>
    <col width="5.8" customWidth="1" min="81" max="81"/>
    <col width="5.8" customWidth="1" min="82" max="82"/>
    <col width="5.8" customWidth="1" min="83" max="83"/>
    <col width="5.8" customWidth="1" min="84" max="84"/>
    <col width="5.8" customWidth="1" min="85" max="85"/>
    <col width="5.8" customWidth="1" min="86" max="86"/>
    <col width="5.8" customWidth="1" min="87" max="87"/>
    <col width="5.8" customWidth="1" min="88" max="88"/>
    <col width="5.8" customWidth="1" min="89" max="89"/>
    <col width="5.8" customWidth="1" min="90" max="90"/>
    <col width="5.8" customWidth="1" min="91" max="91"/>
    <col width="5.8" customWidth="1" min="92" max="92"/>
    <col width="5.8" customWidth="1" min="93" max="93"/>
    <col width="5.8" customWidth="1" min="94" max="94"/>
    <col width="5.8" customWidth="1" min="95" max="95"/>
    <col width="5.8" customWidth="1" min="96" max="96"/>
    <col width="5.8" customWidth="1" min="97" max="97"/>
    <col width="5.8" customWidth="1" min="98" max="98"/>
    <col width="5.8" customWidth="1" min="99" max="99"/>
    <col width="5.8" customWidth="1" min="100" max="100"/>
    <col width="5.8" customWidth="1" min="101" max="101"/>
    <col width="5.8" customWidth="1" min="102" max="102"/>
    <col width="5.8" customWidth="1" min="103" max="103"/>
    <col width="5.8" customWidth="1" min="104" max="104"/>
    <col width="5.8" customWidth="1" min="105" max="105"/>
    <col width="5.8" customWidth="1" min="106" max="106"/>
    <col width="5.8" customWidth="1" min="107" max="107"/>
    <col width="5.8" customWidth="1" min="108" max="108"/>
    <col width="5.8" customWidth="1" min="109" max="109"/>
    <col width="5.8" customWidth="1" min="110" max="110"/>
    <col width="5.8" customWidth="1" min="111" max="111"/>
    <col width="5.8" customWidth="1" min="112" max="112"/>
    <col width="5.8" customWidth="1" min="113" max="113"/>
    <col width="5.8" customWidth="1" min="114" max="114"/>
    <col width="5.8" customWidth="1" min="115" max="115"/>
    <col width="5.8" customWidth="1" min="116" max="116"/>
    <col width="5.8" customWidth="1" min="117" max="117"/>
    <col width="5.8" customWidth="1" min="118" max="118"/>
    <col width="5.8" customWidth="1" min="119" max="119"/>
    <col width="5.8" customWidth="1" min="120" max="120"/>
    <col width="5.8" customWidth="1" min="121" max="121"/>
    <col width="5.8" customWidth="1" min="122" max="122"/>
    <col width="5.8" customWidth="1" min="123" max="123"/>
    <col width="5.8" customWidth="1" min="124" max="124"/>
    <col width="5.8" customWidth="1" min="125" max="125"/>
    <col width="5.8" customWidth="1" min="126" max="126"/>
    <col width="5.8" customWidth="1" min="127" max="127"/>
    <col width="5.8" customWidth="1" min="128" max="128"/>
    <col width="5.8" customWidth="1" min="129" max="129"/>
    <col width="5.8" customWidth="1" min="130" max="130"/>
    <col width="5.8" customWidth="1" min="131" max="131"/>
    <col width="5.8" customWidth="1" min="132" max="132"/>
    <col width="5.8" customWidth="1" min="133" max="133"/>
    <col width="5.8" customWidth="1" min="134" max="134"/>
    <col width="5.8" customWidth="1" min="135" max="135"/>
    <col width="5.8" customWidth="1" min="136" max="136"/>
    <col width="5.8" customWidth="1" min="137" max="137"/>
    <col width="5.8" customWidth="1" min="138" max="138"/>
    <col width="5.8" customWidth="1" min="139" max="139"/>
    <col width="5.8" customWidth="1" min="140" max="140"/>
    <col width="5.8" customWidth="1" min="141" max="141"/>
    <col width="5.8" customWidth="1" min="142" max="142"/>
    <col width="5.8" customWidth="1" min="143" max="143"/>
    <col width="5.8" customWidth="1" min="144" max="144"/>
    <col width="5.8" customWidth="1" min="145" max="145"/>
    <col width="5.8" customWidth="1" min="146" max="146"/>
    <col width="5.8" customWidth="1" min="147" max="147"/>
    <col width="5.8" customWidth="1" min="148" max="148"/>
    <col width="5.8" customWidth="1" min="149" max="149"/>
    <col width="5.8" customWidth="1" min="150" max="150"/>
    <col width="5.8" customWidth="1" min="151" max="151"/>
    <col width="5.8" customWidth="1" min="152" max="152"/>
    <col width="5.8" customWidth="1" min="153" max="153"/>
    <col width="5.8" customWidth="1" min="154" max="154"/>
    <col width="5.8" customWidth="1" min="155" max="155"/>
    <col width="5.8" customWidth="1" style="81" min="156" max="157"/>
    <col width="5.8" customWidth="1" min="157" max="157"/>
    <col width="5.8" customWidth="1" style="53" min="158" max="183"/>
    <col width="5.8" customWidth="1" min="159" max="159"/>
    <col width="5.8" customWidth="1" min="160" max="160"/>
    <col width="5.8" customWidth="1" min="161" max="161"/>
    <col width="5.8" customWidth="1" min="162" max="162"/>
    <col width="5.8" customWidth="1" min="163" max="163"/>
    <col width="5.8" customWidth="1" min="164" max="164"/>
    <col width="5.8" customWidth="1" min="165" max="165"/>
    <col width="5.8" customWidth="1" min="166" max="166"/>
    <col width="5.8" customWidth="1" min="167" max="167"/>
    <col width="5.8" customWidth="1" min="168" max="168"/>
    <col width="5.8" customWidth="1" min="169" max="169"/>
    <col width="5.8" customWidth="1" min="170" max="170"/>
    <col width="5.8" customWidth="1" min="171" max="171"/>
    <col width="5.8" customWidth="1" min="172" max="172"/>
    <col width="5.8" customWidth="1" min="173" max="173"/>
    <col width="5.8" customWidth="1" min="174" max="174"/>
    <col width="5.8" customWidth="1" min="175" max="175"/>
    <col width="5.8" customWidth="1" min="176" max="176"/>
    <col width="5.8" customWidth="1" min="177" max="177"/>
    <col width="5.8" customWidth="1" min="178" max="178"/>
    <col width="5.8" customWidth="1" min="179" max="179"/>
    <col width="5.8" customWidth="1" min="180" max="180"/>
    <col width="5.8" customWidth="1" min="181" max="181"/>
    <col width="5.8" customWidth="1" min="182" max="182"/>
    <col width="5.8" customWidth="1" min="183" max="183"/>
    <col width="5.8" customWidth="1" style="45" min="184" max="184"/>
    <col width="5.8" customWidth="1" style="53" min="185" max="186"/>
    <col width="5.8" customWidth="1" min="186" max="186"/>
    <col width="5.8" customWidth="1" style="53" min="187" max="187"/>
    <col width="5.8" customWidth="1" style="53" min="188" max="188"/>
    <col width="5.8" customWidth="1" style="53" min="189" max="189"/>
    <col width="5.8" customWidth="1" style="53" min="190" max="16384"/>
    <col width="5.8" customWidth="1" min="191" max="191"/>
    <col width="5.8" customWidth="1" min="192" max="192"/>
    <col width="5.8" customWidth="1" min="193" max="193"/>
    <col width="5.8" customWidth="1" min="194" max="194"/>
    <col width="5.8" customWidth="1" min="195" max="195"/>
    <col width="5.8" customWidth="1" min="196" max="196"/>
    <col width="5.8" customWidth="1" min="197" max="197"/>
    <col width="5.8" customWidth="1" min="198" max="198"/>
    <col width="5.8" customWidth="1" min="199" max="199"/>
    <col width="5.8" customWidth="1" min="200" max="200"/>
    <col width="5.8" customWidth="1" min="201" max="201"/>
    <col width="5.8" customWidth="1" min="202" max="202"/>
    <col width="5.8" customWidth="1" min="203" max="203"/>
    <col width="5.8" customWidth="1" min="204" max="204"/>
    <col width="5.8" customWidth="1" min="205" max="205"/>
    <col width="5.8" customWidth="1" min="206" max="206"/>
    <col width="5.8" customWidth="1" min="207" max="207"/>
    <col width="5.8" customWidth="1" min="208" max="208"/>
    <col width="5.8" customWidth="1" min="209" max="209"/>
    <col width="5.8" customWidth="1" min="210" max="210"/>
    <col width="5.8" customWidth="1" min="211" max="211"/>
    <col width="5.8" customWidth="1" min="212" max="212"/>
    <col width="5.8" customWidth="1" min="213" max="213"/>
    <col width="5.8" customWidth="1" min="214" max="214"/>
    <col width="5.8" customWidth="1" min="215" max="215"/>
    <col width="5.8" customWidth="1" min="216" max="216"/>
    <col width="5.8" customWidth="1" min="217" max="217"/>
    <col width="5.8" customWidth="1" min="218" max="218"/>
    <col width="5.8" customWidth="1" min="219" max="219"/>
    <col width="5.8" customWidth="1" min="220" max="220"/>
    <col width="5.8" customWidth="1" min="221" max="221"/>
    <col width="5.8" customWidth="1" min="222" max="222"/>
    <col width="5.8" customWidth="1" min="223" max="223"/>
    <col width="5.8" customWidth="1" min="224" max="224"/>
    <col width="5.8" customWidth="1" min="225" max="225"/>
    <col width="5.8" customWidth="1" min="226" max="226"/>
    <col width="5.8" customWidth="1" min="227" max="227"/>
    <col width="5.8" customWidth="1" min="228" max="228"/>
    <col width="5.8" customWidth="1" min="229" max="229"/>
    <col width="5.8" customWidth="1" min="230" max="230"/>
    <col width="5.8" customWidth="1" min="231" max="231"/>
    <col width="5.8" customWidth="1" min="232" max="232"/>
    <col width="5.8" customWidth="1" min="233" max="233"/>
    <col width="5.8" customWidth="1" min="234" max="234"/>
    <col width="5.8" customWidth="1" min="235" max="235"/>
    <col width="5.8" customWidth="1" min="236" max="236"/>
    <col width="5.8" customWidth="1" min="237" max="237"/>
    <col width="5.8" customWidth="1" min="238" max="238"/>
    <col width="5.8" customWidth="1" min="239" max="239"/>
    <col width="5.8" customWidth="1" min="240" max="240"/>
    <col width="5.8" customWidth="1" min="241" max="241"/>
    <col width="5.8" customWidth="1" min="242" max="242"/>
    <col width="5.8" customWidth="1" min="243" max="243"/>
    <col width="5.8" customWidth="1" min="244" max="244"/>
    <col width="5.8" customWidth="1" min="245" max="245"/>
    <col width="5.8" customWidth="1" min="246" max="246"/>
    <col width="5.8" customWidth="1" min="247" max="247"/>
    <col width="5.8" customWidth="1" min="248" max="248"/>
    <col width="5.8" customWidth="1" min="249" max="249"/>
    <col width="5.8" customWidth="1" min="250" max="250"/>
    <col width="5.8" customWidth="1" min="251" max="251"/>
    <col width="5.8" customWidth="1" min="252" max="252"/>
    <col width="5.8" customWidth="1" min="253" max="253"/>
    <col width="5.8" customWidth="1" min="254" max="254"/>
    <col width="5.8" customWidth="1" min="255" max="255"/>
    <col width="5.8" customWidth="1" min="256" max="256"/>
    <col width="5.8" customWidth="1" min="257" max="257"/>
    <col width="5.8" customWidth="1" min="258" max="258"/>
    <col width="5.8" customWidth="1" min="259" max="259"/>
    <col width="5.8" customWidth="1" min="260" max="260"/>
    <col width="5.8" customWidth="1" min="261" max="261"/>
    <col width="5.8" customWidth="1" min="262" max="262"/>
    <col width="5.8" customWidth="1" min="263" max="263"/>
    <col width="5.8" customWidth="1" min="264" max="264"/>
    <col width="5.8" customWidth="1" min="265" max="265"/>
    <col width="5.8" customWidth="1" min="266" max="266"/>
    <col width="5.8" customWidth="1" min="267" max="267"/>
    <col width="5.8" customWidth="1" min="268" max="268"/>
    <col width="5.8" customWidth="1" min="269" max="269"/>
    <col width="5.8" customWidth="1" min="270" max="270"/>
    <col width="5.8" customWidth="1" min="271" max="271"/>
    <col width="5.8" customWidth="1" min="272" max="272"/>
    <col width="5.8" customWidth="1" min="273" max="273"/>
    <col width="5.8" customWidth="1" min="274" max="274"/>
    <col width="5.8" customWidth="1" min="275" max="275"/>
    <col width="5.8" customWidth="1" min="276" max="276"/>
    <col width="5.8" customWidth="1" min="277" max="277"/>
    <col width="5.8" customWidth="1" min="278" max="278"/>
    <col width="5.8" customWidth="1" min="279" max="279"/>
    <col width="5.8" customWidth="1" min="280" max="280"/>
    <col width="5.8" customWidth="1" min="281" max="281"/>
    <col width="5.8" customWidth="1" min="282" max="282"/>
    <col width="5.8" customWidth="1" min="283" max="283"/>
    <col width="5.8" customWidth="1" min="284" max="284"/>
    <col width="5.8" customWidth="1" min="285" max="285"/>
    <col width="5.8" customWidth="1" min="286" max="286"/>
    <col width="5.8" customWidth="1" min="287" max="287"/>
    <col width="5.8" customWidth="1" min="288" max="288"/>
    <col width="5.8" customWidth="1" min="289" max="289"/>
    <col width="5.8" customWidth="1" min="290" max="290"/>
    <col width="5.8" customWidth="1" min="291" max="291"/>
    <col width="5.8" customWidth="1" min="292" max="292"/>
    <col width="5.8" customWidth="1" min="293" max="293"/>
    <col width="5.8" customWidth="1" min="294" max="294"/>
    <col width="5.8" customWidth="1" min="295" max="295"/>
    <col width="5.8" customWidth="1" min="296" max="296"/>
    <col width="5.8" customWidth="1" min="297" max="297"/>
    <col width="5.8" customWidth="1" min="298" max="298"/>
    <col width="5.8" customWidth="1" min="299" max="299"/>
    <col width="5.8" customWidth="1" min="300" max="300"/>
    <col width="5.8" customWidth="1" min="301" max="301"/>
    <col width="5.8" customWidth="1" min="302" max="302"/>
  </cols>
  <sheetData>
    <row r="1" ht="6" customFormat="1" customHeight="1" s="45" thickBot="1">
      <c r="B1" s="46" t="n"/>
      <c r="C1" s="47" t="n"/>
      <c r="D1" s="47" t="n"/>
      <c r="E1" s="47" t="n"/>
      <c r="F1" s="47" t="n"/>
      <c r="G1" s="47" t="n"/>
      <c r="H1" s="47" t="n"/>
      <c r="I1" s="47" t="n"/>
      <c r="J1" s="47" t="n"/>
      <c r="K1" s="47" t="n"/>
      <c r="L1" s="47" t="n"/>
      <c r="M1" s="47" t="n"/>
      <c r="N1" s="47" t="n"/>
      <c r="O1" s="47" t="n"/>
      <c r="P1" s="47" t="n"/>
      <c r="Q1" s="47" t="n"/>
      <c r="R1" s="47" t="n"/>
      <c r="S1" s="47" t="n"/>
      <c r="T1" s="47" t="n"/>
      <c r="U1" s="47" t="n"/>
      <c r="V1" s="47" t="n"/>
      <c r="W1" s="47" t="n"/>
      <c r="X1" s="47" t="n"/>
      <c r="Y1" s="47" t="n"/>
      <c r="Z1" s="47" t="n"/>
      <c r="AA1" s="47" t="n"/>
      <c r="AB1" s="47" t="n"/>
      <c r="AC1" s="47" t="n"/>
      <c r="AD1" s="47" t="n"/>
      <c r="AE1" s="47" t="n"/>
      <c r="AF1" s="47" t="n"/>
      <c r="AG1" s="47" t="n"/>
      <c r="AH1" s="47" t="n"/>
      <c r="AI1" s="47" t="n"/>
      <c r="AJ1" s="47" t="n"/>
      <c r="AK1" s="47" t="n"/>
      <c r="AL1" s="47" t="n"/>
      <c r="AM1" s="47" t="n"/>
      <c r="AN1" s="47" t="n"/>
      <c r="AO1" s="47" t="n"/>
      <c r="AP1" s="47" t="n"/>
      <c r="AQ1" s="47" t="n"/>
      <c r="AR1" s="47" t="n"/>
      <c r="AS1" s="47" t="n"/>
      <c r="AT1" s="47" t="n"/>
      <c r="AU1" s="47" t="n"/>
      <c r="AV1" s="47" t="n"/>
      <c r="AW1" s="47" t="n"/>
      <c r="AX1" s="47" t="n"/>
      <c r="AY1" s="47" t="n"/>
      <c r="AZ1" s="47" t="n"/>
      <c r="BA1" s="47" t="n"/>
      <c r="BB1" s="47" t="n"/>
      <c r="BC1" s="47" t="n"/>
      <c r="BD1" s="47" t="n"/>
      <c r="BE1" s="47" t="n"/>
      <c r="BF1" s="47" t="n"/>
      <c r="BG1" s="47" t="n"/>
      <c r="BH1" s="47" t="n"/>
      <c r="BI1" s="47" t="n"/>
      <c r="BJ1" s="47" t="n"/>
      <c r="BK1" s="47" t="n"/>
      <c r="BL1" s="47" t="n"/>
      <c r="BM1" s="48" t="n"/>
      <c r="BN1" s="47" t="n"/>
      <c r="BO1" s="47" t="n"/>
      <c r="BP1" s="47" t="n"/>
      <c r="BQ1" s="47" t="n"/>
      <c r="BR1" s="47" t="n"/>
      <c r="BS1" s="47" t="n"/>
      <c r="BT1" s="47" t="n"/>
      <c r="BU1" s="47" t="n"/>
      <c r="BV1" s="47" t="n"/>
      <c r="BW1" s="47" t="n"/>
      <c r="BX1" s="47" t="n"/>
      <c r="BY1" s="47" t="n"/>
      <c r="BZ1" s="47" t="n"/>
      <c r="CA1" s="47" t="n"/>
      <c r="CB1" s="47" t="n"/>
      <c r="CC1" s="47" t="n"/>
      <c r="CD1" s="47" t="n"/>
      <c r="CE1" s="47" t="n"/>
      <c r="CF1" s="47" t="n"/>
      <c r="CG1" s="47" t="n"/>
      <c r="CH1" s="47" t="n"/>
      <c r="CI1" s="47" t="n"/>
      <c r="CJ1" s="47" t="n"/>
      <c r="CK1" s="47" t="n"/>
      <c r="CL1" s="47" t="n"/>
      <c r="CM1" s="47" t="n"/>
      <c r="CN1" s="47" t="n"/>
      <c r="CO1" s="47" t="n"/>
      <c r="CP1" s="47" t="n"/>
      <c r="CQ1" s="47" t="n"/>
      <c r="CR1" s="47" t="n"/>
      <c r="CS1" s="47" t="n"/>
      <c r="CT1" s="47" t="n"/>
      <c r="CU1" s="47" t="n"/>
      <c r="CV1" s="47" t="n"/>
      <c r="CW1" s="47" t="n"/>
      <c r="CX1" s="47" t="n"/>
      <c r="CY1" s="47" t="n"/>
      <c r="CZ1" s="47" t="n"/>
      <c r="DA1" s="47" t="n"/>
      <c r="DB1" s="47" t="n"/>
      <c r="DC1" s="47" t="n"/>
      <c r="DD1" s="47" t="n"/>
      <c r="DE1" s="47" t="n"/>
      <c r="DF1" s="47" t="n"/>
      <c r="DG1" s="47" t="n"/>
      <c r="DH1" s="47" t="n"/>
      <c r="DI1" s="47" t="n"/>
      <c r="DJ1" s="47" t="n"/>
      <c r="DK1" s="47" t="n"/>
      <c r="DL1" s="47" t="n"/>
      <c r="DM1" s="47" t="n"/>
      <c r="DN1" s="47" t="n"/>
      <c r="DO1" s="47" t="n"/>
      <c r="DP1" s="47" t="n"/>
      <c r="DQ1" s="47" t="n"/>
      <c r="DR1" s="47" t="n"/>
      <c r="DS1" s="47" t="n"/>
      <c r="DT1" s="47" t="n"/>
      <c r="DU1" s="47" t="n"/>
      <c r="DV1" s="47" t="n"/>
      <c r="DW1" s="47" t="n"/>
      <c r="DX1" s="47" t="n"/>
      <c r="DY1" s="47" t="n"/>
      <c r="DZ1" s="47" t="n"/>
      <c r="EA1" s="47" t="n"/>
      <c r="EB1" s="47" t="n"/>
      <c r="EC1" s="47" t="n"/>
      <c r="ED1" s="47" t="n"/>
      <c r="EE1" s="47" t="n"/>
      <c r="EF1" s="47" t="n"/>
      <c r="EG1" s="47" t="n"/>
      <c r="EH1" s="47" t="n"/>
      <c r="EI1" s="47" t="n"/>
      <c r="EJ1" s="47" t="n"/>
      <c r="EK1" s="47" t="n"/>
      <c r="EL1" s="47" t="n"/>
      <c r="EM1" s="47" t="n"/>
      <c r="EN1" s="47" t="n"/>
      <c r="EO1" s="47" t="n"/>
      <c r="EP1" s="47" t="n"/>
      <c r="EQ1" s="47" t="n"/>
      <c r="ER1" s="47" t="n"/>
      <c r="ES1" s="47" t="n"/>
      <c r="ET1" s="47" t="n"/>
      <c r="EU1" s="47" t="n"/>
      <c r="EV1" s="47" t="n"/>
      <c r="EW1" s="47" t="n"/>
      <c r="EX1" s="47" t="n"/>
      <c r="EY1" s="47" t="n"/>
      <c r="EZ1" s="47" t="n"/>
      <c r="FA1" s="47" t="n"/>
      <c r="FB1" s="47" t="n"/>
      <c r="FC1" s="47" t="n"/>
      <c r="FD1" s="47" t="n"/>
      <c r="FE1" s="47" t="n"/>
      <c r="FF1" s="47" t="n"/>
      <c r="FG1" s="47" t="n"/>
      <c r="FH1" s="47" t="n"/>
      <c r="FI1" s="47" t="n"/>
      <c r="FJ1" s="47" t="n"/>
      <c r="FK1" s="47" t="n"/>
      <c r="FL1" s="47" t="n"/>
      <c r="FM1" s="47" t="n"/>
      <c r="FN1" s="47" t="n"/>
      <c r="FO1" s="47" t="n"/>
      <c r="FP1" s="47" t="n"/>
      <c r="FQ1" s="47" t="n"/>
      <c r="FR1" s="47" t="n"/>
      <c r="FS1" s="47" t="n"/>
      <c r="FT1" s="47" t="n"/>
      <c r="FU1" s="47" t="n"/>
      <c r="FV1" s="47" t="n"/>
      <c r="FW1" s="47" t="n"/>
      <c r="FX1" s="47" t="n"/>
      <c r="FY1" s="47" t="n"/>
      <c r="FZ1" s="47" t="n"/>
      <c r="GA1" s="47" t="n"/>
    </row>
    <row r="2" ht="32" customHeight="1" thickBot="1">
      <c r="A2" s="385" t="n"/>
      <c r="B2" s="386" t="inlineStr">
        <is>
          <t>Jahr</t>
        </is>
      </c>
      <c r="C2" s="386" t="n">
        <v>2026</v>
      </c>
      <c r="D2" s="387" t="n"/>
      <c r="E2" s="387" t="n"/>
      <c r="F2" s="387" t="n"/>
      <c r="G2" s="387" t="n"/>
      <c r="H2" s="387" t="n"/>
      <c r="I2" s="387" t="n"/>
      <c r="J2" s="387" t="n"/>
      <c r="K2" s="387" t="n"/>
      <c r="L2" s="387" t="n"/>
      <c r="M2" s="387" t="n"/>
      <c r="N2" s="387" t="n"/>
      <c r="O2" s="387" t="n"/>
      <c r="P2" s="387" t="n"/>
      <c r="Q2" s="387" t="n"/>
      <c r="R2" s="387" t="n"/>
      <c r="S2" s="387" t="n"/>
      <c r="T2" s="387" t="n"/>
      <c r="U2" s="387" t="n"/>
      <c r="V2" s="387" t="n"/>
      <c r="W2" s="387" t="n"/>
      <c r="X2" s="387" t="n"/>
      <c r="Y2" s="387" t="n"/>
      <c r="Z2" s="387" t="n"/>
      <c r="AA2" s="387" t="n"/>
      <c r="AB2" s="387" t="n"/>
      <c r="AC2" s="387" t="n"/>
      <c r="AD2" s="387" t="n"/>
      <c r="AE2" s="387" t="n"/>
      <c r="AF2" s="387" t="n"/>
      <c r="AG2" s="387" t="n"/>
      <c r="AH2" s="387" t="n"/>
      <c r="AI2" s="387" t="n"/>
      <c r="AJ2" s="387" t="n"/>
      <c r="AK2" s="387" t="n"/>
      <c r="AL2" s="387" t="n"/>
      <c r="AM2" s="387" t="n"/>
      <c r="AN2" s="387" t="n"/>
      <c r="AO2" s="387" t="n"/>
      <c r="AP2" s="387" t="n"/>
      <c r="AQ2" s="387" t="n"/>
      <c r="AR2" s="387" t="n"/>
      <c r="AS2" s="387" t="n"/>
      <c r="AT2" s="387" t="n"/>
      <c r="AU2" s="387" t="n"/>
      <c r="AV2" s="387" t="n"/>
      <c r="AW2" s="387" t="n"/>
      <c r="AX2" s="387" t="n"/>
      <c r="AY2" s="387" t="n"/>
      <c r="AZ2" s="387" t="n"/>
      <c r="BA2" s="387" t="n"/>
      <c r="BB2" s="387" t="n"/>
      <c r="BC2" s="387" t="n"/>
      <c r="BD2" s="387" t="n"/>
      <c r="BE2" s="387" t="n"/>
      <c r="BF2" s="387" t="n"/>
      <c r="BG2" s="387" t="n"/>
      <c r="BH2" s="387" t="n"/>
      <c r="BI2" s="387" t="n"/>
      <c r="BJ2" s="387" t="n"/>
      <c r="BK2" s="387" t="n"/>
      <c r="BL2" s="387" t="n"/>
      <c r="BM2" s="388" t="n"/>
      <c r="BN2" s="387" t="n"/>
      <c r="BO2" s="387" t="n"/>
      <c r="BP2" s="387" t="n"/>
      <c r="BQ2" s="387" t="n"/>
      <c r="BR2" s="387" t="n"/>
      <c r="BS2" s="387" t="n"/>
      <c r="BT2" s="387" t="n"/>
      <c r="BU2" s="387" t="n"/>
      <c r="BV2" s="387" t="n"/>
      <c r="BW2" s="387" t="n"/>
      <c r="BX2" s="387" t="n"/>
      <c r="BY2" s="387" t="n"/>
      <c r="BZ2" s="387" t="n"/>
      <c r="CA2" s="387" t="n"/>
      <c r="CB2" s="387" t="n"/>
      <c r="CC2" s="387" t="n"/>
      <c r="CD2" s="387" t="n"/>
      <c r="CE2" s="387" t="n"/>
      <c r="CF2" s="387" t="n"/>
      <c r="CG2" s="387" t="n"/>
      <c r="CH2" s="387" t="n"/>
      <c r="CI2" s="387" t="n"/>
      <c r="CJ2" s="387" t="n"/>
      <c r="CK2" s="387" t="n"/>
      <c r="CL2" s="387" t="n"/>
      <c r="CM2" s="387" t="n"/>
      <c r="CN2" s="387" t="n"/>
      <c r="CO2" s="387" t="n"/>
      <c r="CP2" s="387" t="n"/>
      <c r="CQ2" s="387" t="n"/>
      <c r="CR2" s="387" t="n"/>
      <c r="CS2" s="387" t="n"/>
      <c r="CT2" s="387" t="n"/>
      <c r="CU2" s="387" t="n"/>
      <c r="CV2" s="387" t="n"/>
      <c r="CW2" s="387" t="n"/>
      <c r="CX2" s="387" t="n"/>
      <c r="CY2" s="387" t="n"/>
      <c r="CZ2" s="387" t="n"/>
      <c r="DA2" s="387" t="n"/>
      <c r="DB2" s="387" t="n"/>
      <c r="DC2" s="387" t="n"/>
      <c r="DD2" s="387" t="n"/>
      <c r="DE2" s="387" t="n"/>
      <c r="DF2" s="387" t="n"/>
      <c r="DG2" s="387" t="n"/>
      <c r="DH2" s="387" t="n"/>
      <c r="DI2" s="387" t="n"/>
      <c r="DJ2" s="387" t="n"/>
      <c r="DK2" s="387" t="n"/>
      <c r="DL2" s="387" t="n"/>
      <c r="DM2" s="387" t="n"/>
      <c r="DN2" s="387" t="n"/>
      <c r="DO2" s="387" t="n"/>
      <c r="DP2" s="387" t="n"/>
      <c r="DQ2" s="387" t="n"/>
      <c r="DR2" s="387" t="n"/>
      <c r="DS2" s="387" t="n"/>
      <c r="DT2" s="387" t="n"/>
      <c r="DU2" s="387" t="n"/>
      <c r="DV2" s="387" t="n"/>
      <c r="DW2" s="387" t="n"/>
      <c r="DX2" s="387" t="n"/>
      <c r="DY2" s="387" t="n"/>
      <c r="DZ2" s="387" t="n"/>
      <c r="EA2" s="387" t="n"/>
      <c r="EB2" s="387" t="n"/>
      <c r="EC2" s="387" t="n"/>
      <c r="ED2" s="387" t="n"/>
      <c r="EE2" s="387" t="n"/>
      <c r="EF2" s="387" t="n"/>
      <c r="EG2" s="387" t="n"/>
      <c r="EH2" s="387" t="n"/>
      <c r="EI2" s="387" t="n"/>
      <c r="EJ2" s="387" t="n"/>
      <c r="EK2" s="387" t="n"/>
      <c r="EL2" s="387" t="n"/>
      <c r="EM2" s="387" t="n"/>
      <c r="EN2" s="387" t="n"/>
      <c r="EO2" s="387" t="n"/>
      <c r="EP2" s="387" t="n"/>
      <c r="EQ2" s="387" t="n"/>
      <c r="ER2" s="387" t="n"/>
      <c r="ES2" s="387" t="n"/>
      <c r="ET2" s="387" t="n"/>
      <c r="EU2" s="387" t="n"/>
      <c r="EV2" s="387" t="n"/>
      <c r="EW2" s="387" t="n"/>
      <c r="EX2" s="387" t="n"/>
      <c r="EY2" s="387" t="n"/>
      <c r="EZ2" s="387" t="n"/>
      <c r="FA2" s="387" t="n"/>
      <c r="FB2" s="387" t="n"/>
      <c r="FC2" s="387" t="n"/>
      <c r="FD2" s="387" t="n"/>
      <c r="FE2" s="387" t="n"/>
      <c r="FF2" s="387" t="n"/>
      <c r="FG2" s="387" t="n"/>
      <c r="FH2" s="387" t="n"/>
      <c r="FI2" s="387" t="n"/>
      <c r="FJ2" s="387" t="n"/>
      <c r="FK2" s="387" t="n"/>
      <c r="FL2" s="387" t="n"/>
      <c r="FM2" s="387" t="n"/>
      <c r="FN2" s="387" t="n"/>
      <c r="FO2" s="387" t="n"/>
      <c r="FP2" s="387" t="n"/>
      <c r="FQ2" s="387" t="n"/>
      <c r="FR2" s="387" t="n"/>
      <c r="FS2" s="387" t="n"/>
      <c r="FT2" s="387" t="n"/>
      <c r="FU2" s="387" t="n"/>
      <c r="FV2" s="387" t="n"/>
      <c r="FW2" s="387" t="n"/>
      <c r="FX2" s="387" t="n"/>
      <c r="FY2" s="387" t="n"/>
      <c r="FZ2" s="387" t="n"/>
      <c r="GA2" s="387" t="n"/>
      <c r="GB2" s="387" t="n"/>
      <c r="GC2" s="387" t="n"/>
      <c r="GD2" s="387" t="n"/>
      <c r="GE2" s="387" t="n"/>
      <c r="GF2" s="387" t="n"/>
      <c r="GG2" s="387" t="n"/>
      <c r="GH2" s="387" t="n"/>
      <c r="GI2" s="387" t="n"/>
      <c r="GJ2" s="387" t="n"/>
      <c r="GK2" s="387" t="n"/>
      <c r="GL2" s="387" t="n"/>
      <c r="GM2" s="387" t="n"/>
      <c r="GN2" s="387" t="n"/>
      <c r="GO2" s="387" t="n"/>
      <c r="GP2" s="387" t="n"/>
      <c r="GQ2" s="387" t="n"/>
      <c r="GR2" s="387" t="n"/>
      <c r="GS2" s="387" t="n"/>
      <c r="GT2" s="387" t="n"/>
      <c r="GU2" s="387" t="n"/>
      <c r="GV2" s="387" t="n"/>
      <c r="GW2" s="387" t="n"/>
      <c r="GX2" s="387" t="n"/>
      <c r="GY2" s="387" t="n"/>
      <c r="GZ2" s="387" t="n"/>
      <c r="HA2" s="387" t="n"/>
      <c r="HB2" s="387" t="n"/>
      <c r="HC2" s="387" t="n"/>
      <c r="HD2" s="387" t="n"/>
      <c r="HE2" s="387" t="n"/>
      <c r="HF2" s="387" t="n"/>
      <c r="HG2" s="387" t="n"/>
      <c r="HH2" s="387" t="n"/>
      <c r="HI2" s="387" t="n"/>
      <c r="HJ2" s="387" t="n"/>
      <c r="HK2" s="387" t="n"/>
      <c r="HL2" s="387" t="n"/>
      <c r="HM2" s="387" t="n"/>
      <c r="HN2" s="387" t="n"/>
      <c r="HO2" s="387" t="n"/>
      <c r="HP2" s="387" t="n"/>
      <c r="HQ2" s="387" t="n"/>
      <c r="HR2" s="387" t="n"/>
      <c r="HS2" s="387" t="n"/>
      <c r="HT2" s="387" t="n"/>
      <c r="HU2" s="387" t="n"/>
      <c r="HV2" s="387" t="n"/>
      <c r="HW2" s="387" t="n"/>
      <c r="HX2" s="387" t="n"/>
      <c r="HY2" s="387" t="n"/>
      <c r="HZ2" s="387" t="n"/>
      <c r="IA2" s="387" t="n"/>
      <c r="IB2" s="387" t="n"/>
      <c r="IC2" s="387" t="n"/>
      <c r="ID2" s="387" t="n"/>
      <c r="IE2" s="387" t="n"/>
      <c r="IF2" s="387" t="n"/>
      <c r="IG2" s="387" t="n"/>
      <c r="IH2" s="387" t="n"/>
      <c r="II2" s="387" t="n"/>
      <c r="IJ2" s="387" t="n"/>
      <c r="IK2" s="387" t="n"/>
      <c r="IL2" s="387" t="n"/>
      <c r="IM2" s="387" t="n"/>
      <c r="IN2" s="387" t="n"/>
      <c r="IO2" s="387" t="n"/>
      <c r="IP2" s="387" t="n"/>
      <c r="IQ2" s="387" t="n"/>
      <c r="IR2" s="387" t="n"/>
      <c r="IS2" s="387" t="n"/>
      <c r="IT2" s="387" t="n"/>
      <c r="IU2" s="387" t="n"/>
      <c r="IV2" s="387" t="n"/>
      <c r="IW2" s="387" t="n"/>
      <c r="IX2" s="387" t="n"/>
      <c r="IY2" s="387" t="n"/>
      <c r="IZ2" s="387" t="n"/>
      <c r="JA2" s="387" t="n"/>
      <c r="JB2" s="387" t="n"/>
      <c r="JC2" s="387" t="n"/>
      <c r="JD2" s="387" t="n"/>
      <c r="JE2" s="387" t="n"/>
      <c r="JF2" s="387" t="n"/>
      <c r="JG2" s="387" t="n"/>
      <c r="JH2" s="387" t="n"/>
      <c r="JI2" s="387" t="n"/>
      <c r="JJ2" s="387" t="n"/>
      <c r="JK2" s="387" t="n"/>
      <c r="JL2" s="387" t="n"/>
      <c r="JM2" s="387" t="n"/>
      <c r="JN2" s="387" t="n"/>
      <c r="JO2" s="387" t="n"/>
      <c r="JP2" s="387" t="n"/>
      <c r="JQ2" s="387" t="n"/>
      <c r="JR2" s="387" t="n"/>
      <c r="JS2" s="387" t="n"/>
      <c r="JT2" s="387" t="n"/>
      <c r="JU2" s="387" t="n"/>
      <c r="JV2" s="387" t="n"/>
      <c r="JW2" s="387" t="n"/>
      <c r="JX2" s="387" t="n"/>
      <c r="JY2" s="387" t="n"/>
      <c r="JZ2" s="387" t="n"/>
      <c r="KA2" s="387" t="n"/>
      <c r="KB2" s="387" t="n"/>
      <c r="KC2" s="387" t="n"/>
      <c r="KD2" s="387" t="n"/>
      <c r="KE2" s="387" t="n"/>
      <c r="KF2" s="387" t="n"/>
      <c r="KG2" s="387" t="n"/>
      <c r="KH2" s="387" t="n"/>
      <c r="KI2" s="387" t="n"/>
      <c r="KJ2" s="387" t="n"/>
      <c r="KK2" s="387" t="n"/>
      <c r="KL2" s="387" t="n"/>
      <c r="KM2" s="387" t="n"/>
      <c r="KN2" s="387" t="n"/>
      <c r="KO2" s="387" t="n"/>
      <c r="KP2" s="387" t="n"/>
    </row>
    <row r="3" ht="28" customFormat="1" customHeight="1" s="81" thickBot="1">
      <c r="A3" s="385" t="n"/>
      <c r="B3" s="389" t="n"/>
      <c r="C3" s="387" t="n"/>
      <c r="D3" s="387" t="n"/>
      <c r="E3" s="387" t="n"/>
      <c r="F3" s="387" t="n"/>
      <c r="G3" s="387" t="n"/>
      <c r="H3" s="387" t="n"/>
      <c r="I3" s="387" t="n"/>
      <c r="J3" s="387" t="n"/>
      <c r="K3" s="387" t="n"/>
      <c r="L3" s="387" t="n"/>
      <c r="M3" s="390" t="inlineStr">
        <is>
          <t>Jan</t>
        </is>
      </c>
      <c r="N3" s="387" t="n"/>
      <c r="O3" s="387" t="n"/>
      <c r="P3" s="387" t="n"/>
      <c r="Q3" s="391">
        <f>C2</f>
        <v/>
      </c>
      <c r="R3" s="387" t="n"/>
      <c r="S3" s="387" t="n"/>
      <c r="T3" s="387" t="n"/>
      <c r="U3" s="392" t="n"/>
      <c r="V3" s="392" t="n"/>
      <c r="W3" s="392" t="n"/>
      <c r="X3" s="387" t="n"/>
      <c r="Y3" s="387" t="n"/>
      <c r="Z3" s="387" t="n"/>
      <c r="AA3" s="387" t="n"/>
      <c r="AB3" s="387" t="n"/>
      <c r="AC3" s="387" t="n"/>
      <c r="AD3" s="387" t="n"/>
      <c r="AE3" s="387" t="n"/>
      <c r="AF3" s="387" t="n"/>
      <c r="AG3" s="387" t="n"/>
      <c r="AH3" s="389" t="n"/>
      <c r="AI3" s="389" t="n"/>
      <c r="AJ3" s="389" t="n"/>
      <c r="AK3" s="389" t="n"/>
      <c r="AL3" s="389" t="n"/>
      <c r="AM3" s="389" t="n"/>
      <c r="AN3" s="389" t="n"/>
      <c r="AO3" s="389" t="n"/>
      <c r="AP3" s="389" t="n"/>
      <c r="AQ3" s="389" t="n"/>
      <c r="AR3" s="393" t="inlineStr">
        <is>
          <t>Feb</t>
        </is>
      </c>
      <c r="AS3" s="387" t="n"/>
      <c r="AT3" s="387" t="n"/>
      <c r="AU3" s="387" t="n"/>
      <c r="AV3" s="391">
        <f>C2</f>
        <v/>
      </c>
      <c r="AW3" s="387" t="n"/>
      <c r="AX3" s="387" t="n"/>
      <c r="AY3" s="387" t="n"/>
      <c r="AZ3" s="389" t="n"/>
      <c r="BA3" s="389" t="n"/>
      <c r="BB3" s="389" t="n"/>
      <c r="BC3" s="389" t="n"/>
      <c r="BD3" s="389" t="n"/>
      <c r="BE3" s="389" t="n"/>
      <c r="BF3" s="389" t="n"/>
      <c r="BG3" s="389" t="n"/>
      <c r="BH3" s="389" t="n"/>
      <c r="BI3" s="389" t="n"/>
      <c r="BJ3" s="389" t="n"/>
      <c r="BK3" s="392" t="n"/>
      <c r="BL3" s="392" t="n"/>
      <c r="BM3" s="392" t="n"/>
      <c r="BN3" s="392" t="n"/>
      <c r="BO3" s="392" t="n"/>
      <c r="BP3" s="392" t="n"/>
      <c r="BQ3" s="392" t="n"/>
      <c r="BR3" s="392" t="n"/>
      <c r="BS3" s="392" t="n"/>
      <c r="BT3" s="390" t="inlineStr">
        <is>
          <t>Mrz</t>
        </is>
      </c>
      <c r="BU3" s="387" t="n"/>
      <c r="BV3" s="387" t="n"/>
      <c r="BW3" s="387" t="n"/>
      <c r="BX3" s="391">
        <f>C2</f>
        <v/>
      </c>
      <c r="BY3" s="387" t="n"/>
      <c r="BZ3" s="387" t="n"/>
      <c r="CA3" s="387" t="n"/>
      <c r="CB3" s="392" t="n"/>
      <c r="CC3" s="392" t="n"/>
      <c r="CD3" s="392" t="n"/>
      <c r="CE3" s="392" t="n"/>
      <c r="CF3" s="392" t="n"/>
      <c r="CG3" s="392" t="n"/>
      <c r="CH3" s="392" t="n"/>
      <c r="CI3" s="392" t="n"/>
      <c r="CJ3" s="392" t="n"/>
      <c r="CK3" s="392" t="n"/>
      <c r="CL3" s="392" t="n"/>
      <c r="CM3" s="392" t="n"/>
      <c r="CN3" s="392" t="n"/>
      <c r="CO3" s="389" t="n"/>
      <c r="CP3" s="389" t="n"/>
      <c r="CQ3" s="389" t="n"/>
      <c r="CR3" s="389" t="n"/>
      <c r="CS3" s="389" t="n"/>
      <c r="CT3" s="389" t="n"/>
      <c r="CU3" s="389" t="n"/>
      <c r="CV3" s="389" t="n"/>
      <c r="CW3" s="389" t="n"/>
      <c r="CX3" s="389" t="n"/>
      <c r="CY3" s="393" t="inlineStr">
        <is>
          <t>Apr</t>
        </is>
      </c>
      <c r="CZ3" s="387" t="n"/>
      <c r="DA3" s="387" t="n"/>
      <c r="DB3" s="387" t="n"/>
      <c r="DC3" s="391">
        <f>C2</f>
        <v/>
      </c>
      <c r="DD3" s="387" t="n"/>
      <c r="DE3" s="387" t="n"/>
      <c r="DF3" s="387" t="n"/>
      <c r="DG3" s="389" t="n"/>
      <c r="DH3" s="389" t="n"/>
      <c r="DI3" s="389" t="n"/>
      <c r="DJ3" s="389" t="n"/>
      <c r="DK3" s="389" t="n"/>
      <c r="DL3" s="389" t="n"/>
      <c r="DM3" s="389" t="n"/>
      <c r="DN3" s="389" t="n"/>
      <c r="DO3" s="389" t="n"/>
      <c r="DP3" s="389" t="n"/>
      <c r="DQ3" s="389" t="n"/>
      <c r="DR3" s="389" t="n"/>
      <c r="DS3" s="392" t="n"/>
      <c r="DT3" s="392" t="n"/>
      <c r="DU3" s="392" t="n"/>
      <c r="DV3" s="392" t="n"/>
      <c r="DW3" s="392" t="n"/>
      <c r="DX3" s="392" t="n"/>
      <c r="DY3" s="392" t="n"/>
      <c r="DZ3" s="392" t="n"/>
      <c r="EA3" s="392" t="n"/>
      <c r="EB3" s="392" t="n"/>
      <c r="EC3" s="392" t="n"/>
      <c r="ED3" s="392" t="n"/>
      <c r="EE3" s="390" t="inlineStr">
        <is>
          <t>Mai</t>
        </is>
      </c>
      <c r="EF3" s="387" t="n"/>
      <c r="EG3" s="387" t="n"/>
      <c r="EH3" s="387" t="n"/>
      <c r="EI3" s="391">
        <f>C2</f>
        <v/>
      </c>
      <c r="EJ3" s="387" t="n"/>
      <c r="EK3" s="387" t="n"/>
      <c r="EL3" s="387" t="n"/>
      <c r="EM3" s="392" t="n"/>
      <c r="EN3" s="392" t="n"/>
      <c r="EO3" s="392" t="n"/>
      <c r="EP3" s="392" t="n"/>
      <c r="EQ3" s="392" t="n"/>
      <c r="ER3" s="392" t="n"/>
      <c r="ES3" s="392" t="n"/>
      <c r="ET3" s="392" t="n"/>
      <c r="EU3" s="392" t="n"/>
      <c r="EV3" s="392" t="n"/>
      <c r="EW3" s="392" t="n"/>
      <c r="EX3" s="389" t="n"/>
      <c r="EY3" s="389" t="n"/>
      <c r="EZ3" s="389" t="n"/>
      <c r="FA3" s="387" t="n"/>
      <c r="FB3" s="389" t="n"/>
      <c r="FC3" s="389" t="n"/>
      <c r="FD3" s="389" t="n"/>
      <c r="FE3" s="389" t="n"/>
      <c r="FF3" s="389" t="n"/>
      <c r="FG3" s="389" t="n"/>
      <c r="FH3" s="393" t="inlineStr">
        <is>
          <t>Jun</t>
        </is>
      </c>
      <c r="FI3" s="387" t="n"/>
      <c r="FJ3" s="387" t="n"/>
      <c r="FK3" s="387" t="n"/>
      <c r="FL3" s="391">
        <f>C2</f>
        <v/>
      </c>
      <c r="FM3" s="387" t="n"/>
      <c r="FN3" s="387" t="n"/>
      <c r="FO3" s="387" t="n"/>
      <c r="FP3" s="389" t="n"/>
      <c r="FQ3" s="389" t="n"/>
      <c r="FR3" s="389" t="n"/>
      <c r="FS3" s="389" t="n"/>
      <c r="FT3" s="389" t="n"/>
      <c r="FU3" s="389" t="n"/>
      <c r="FV3" s="389" t="n"/>
      <c r="FW3" s="389" t="n"/>
      <c r="FX3" s="389" t="n"/>
      <c r="FY3" s="389" t="n"/>
      <c r="FZ3" s="389" t="n"/>
      <c r="GA3" s="389" t="n"/>
      <c r="GB3" s="389" t="n"/>
      <c r="GC3" s="387" t="n"/>
      <c r="GD3" s="387" t="n"/>
      <c r="GE3" s="387" t="n"/>
      <c r="GF3" s="387" t="n"/>
      <c r="GG3" s="387" t="n"/>
      <c r="GH3" s="387" t="n"/>
      <c r="GI3" s="387" t="n"/>
      <c r="GJ3" s="387" t="n"/>
      <c r="GK3" s="387" t="n"/>
      <c r="GL3" s="387" t="n"/>
      <c r="GM3" s="387" t="n"/>
      <c r="GN3" s="387" t="n"/>
      <c r="GO3" s="387" t="n"/>
      <c r="GP3" s="387" t="n"/>
      <c r="GQ3" s="387" t="n"/>
      <c r="GR3" s="387" t="n"/>
      <c r="GS3" s="387" t="n"/>
      <c r="GT3" s="387" t="n"/>
      <c r="GU3" s="387" t="n"/>
      <c r="GV3" s="387" t="n"/>
      <c r="GW3" s="387" t="n"/>
      <c r="GX3" s="387" t="n"/>
      <c r="GY3" s="387" t="n"/>
      <c r="GZ3" s="387" t="n"/>
      <c r="HA3" s="387" t="n"/>
      <c r="HB3" s="387" t="n"/>
      <c r="HC3" s="387" t="n"/>
      <c r="HD3" s="387" t="n"/>
      <c r="HE3" s="387" t="n"/>
      <c r="HF3" s="387" t="n"/>
      <c r="HG3" s="387" t="n"/>
      <c r="HH3" s="387" t="n"/>
      <c r="HI3" s="387" t="n"/>
      <c r="HJ3" s="387" t="n"/>
      <c r="HK3" s="387" t="n"/>
      <c r="HL3" s="387" t="n"/>
      <c r="HM3" s="387" t="n"/>
      <c r="HN3" s="387" t="n"/>
      <c r="HO3" s="387" t="n"/>
      <c r="HP3" s="387" t="n"/>
      <c r="HQ3" s="387" t="n"/>
      <c r="HR3" s="387" t="n"/>
      <c r="HS3" s="387" t="n"/>
      <c r="HT3" s="387" t="n"/>
      <c r="HU3" s="387" t="n"/>
      <c r="HV3" s="387" t="n"/>
      <c r="HW3" s="387" t="n"/>
      <c r="HX3" s="387" t="n"/>
      <c r="HY3" s="387" t="n"/>
      <c r="HZ3" s="387" t="n"/>
      <c r="IA3" s="387" t="n"/>
      <c r="IB3" s="387" t="n"/>
      <c r="IC3" s="387" t="n"/>
      <c r="ID3" s="387" t="n"/>
      <c r="IE3" s="387" t="n"/>
      <c r="IF3" s="387" t="n"/>
      <c r="IG3" s="387" t="n"/>
      <c r="IH3" s="387" t="n"/>
      <c r="II3" s="387" t="n"/>
      <c r="IJ3" s="387" t="n"/>
      <c r="IK3" s="387" t="n"/>
      <c r="IL3" s="387" t="n"/>
      <c r="IM3" s="387" t="n"/>
      <c r="IN3" s="387" t="n"/>
      <c r="IO3" s="387" t="n"/>
      <c r="IP3" s="387" t="n"/>
      <c r="IQ3" s="387" t="n"/>
      <c r="IR3" s="387" t="n"/>
      <c r="IS3" s="387" t="n"/>
      <c r="IT3" s="387" t="n"/>
      <c r="IU3" s="387" t="n"/>
      <c r="IV3" s="387" t="n"/>
      <c r="IW3" s="387" t="n"/>
      <c r="IX3" s="387" t="n"/>
      <c r="IY3" s="387" t="n"/>
      <c r="IZ3" s="387" t="n"/>
      <c r="JA3" s="387" t="n"/>
      <c r="JB3" s="387" t="n"/>
      <c r="JC3" s="387" t="n"/>
      <c r="JD3" s="387" t="n"/>
      <c r="JE3" s="387" t="n"/>
      <c r="JF3" s="387" t="n"/>
      <c r="JG3" s="387" t="n"/>
      <c r="JH3" s="387" t="n"/>
      <c r="JI3" s="387" t="n"/>
      <c r="JJ3" s="387" t="n"/>
      <c r="JK3" s="387" t="n"/>
      <c r="JL3" s="387" t="n"/>
      <c r="JM3" s="387" t="n"/>
      <c r="JN3" s="387" t="n"/>
      <c r="JO3" s="387" t="n"/>
      <c r="JP3" s="387" t="n"/>
      <c r="JQ3" s="387" t="n"/>
      <c r="JR3" s="387" t="n"/>
      <c r="JS3" s="387" t="n"/>
      <c r="JT3" s="387" t="n"/>
      <c r="JU3" s="387" t="n"/>
      <c r="JV3" s="387" t="n"/>
      <c r="JW3" s="387" t="n"/>
      <c r="JX3" s="387" t="n"/>
      <c r="JY3" s="387" t="n"/>
      <c r="JZ3" s="387" t="n"/>
      <c r="KA3" s="387" t="n"/>
      <c r="KB3" s="387" t="n"/>
      <c r="KC3" s="387" t="n"/>
      <c r="KD3" s="387" t="n"/>
      <c r="KE3" s="387" t="n"/>
      <c r="KF3" s="387" t="n"/>
      <c r="KG3" s="387" t="n"/>
      <c r="KH3" s="387" t="n"/>
      <c r="KI3" s="387" t="n"/>
      <c r="KJ3" s="387" t="n"/>
      <c r="KK3" s="387" t="n"/>
      <c r="KL3" s="387" t="n"/>
      <c r="KM3" s="387" t="n"/>
      <c r="KN3" s="387" t="n"/>
      <c r="KO3" s="387" t="n"/>
      <c r="KP3" s="387" t="n"/>
    </row>
    <row r="4" ht="16" customHeight="1" thickBot="1">
      <c r="B4" s="394" t="n"/>
      <c r="C4" s="395" t="inlineStr">
        <is>
          <t>Weihnachtsferien</t>
        </is>
      </c>
      <c r="D4" s="394" t="n"/>
      <c r="E4" s="394" t="n"/>
      <c r="F4" s="394" t="n"/>
      <c r="G4" s="394" t="n"/>
      <c r="H4" s="394" t="n"/>
      <c r="I4" s="396" t="n"/>
      <c r="J4" s="396" t="n"/>
      <c r="K4" s="396" t="n"/>
      <c r="L4" s="396" t="n"/>
      <c r="M4" s="396" t="n"/>
      <c r="N4" s="396" t="n"/>
      <c r="O4" s="396" t="n"/>
      <c r="P4" s="396" t="n"/>
      <c r="Q4" s="396" t="n"/>
      <c r="R4" s="396" t="n"/>
      <c r="S4" s="396" t="n"/>
      <c r="T4" s="396" t="n"/>
      <c r="U4" s="396" t="n"/>
      <c r="V4" s="396" t="n"/>
      <c r="W4" s="396" t="n"/>
      <c r="X4" s="396" t="n"/>
      <c r="Y4" s="396" t="n"/>
      <c r="Z4" s="396" t="n"/>
      <c r="AA4" s="396" t="n"/>
      <c r="AB4" s="396" t="n"/>
      <c r="AC4" s="396" t="n"/>
      <c r="AD4" s="396" t="n"/>
      <c r="AE4" s="396" t="n"/>
      <c r="AF4" s="396" t="n"/>
      <c r="AG4" s="396" t="n"/>
      <c r="AH4" s="396" t="n"/>
      <c r="AI4" s="396" t="n"/>
      <c r="AJ4" s="396" t="n"/>
      <c r="AK4" s="396" t="n"/>
      <c r="AL4" s="396" t="n"/>
      <c r="AM4" s="396" t="n"/>
      <c r="AN4" s="396" t="n"/>
      <c r="AO4" s="396" t="n"/>
      <c r="AP4" s="396" t="n"/>
      <c r="AQ4" s="396" t="n"/>
      <c r="AR4" s="396" t="n"/>
      <c r="AS4" s="396" t="n"/>
      <c r="AT4" s="396" t="n"/>
      <c r="AU4" s="395" t="inlineStr">
        <is>
          <t>Faschingsferien</t>
        </is>
      </c>
      <c r="AV4" s="394" t="n"/>
      <c r="AW4" s="394" t="n"/>
      <c r="AX4" s="394" t="n"/>
      <c r="AY4" s="394" t="n"/>
      <c r="AZ4" s="394" t="n"/>
      <c r="BA4" s="394" t="n"/>
      <c r="BB4" s="394" t="n"/>
      <c r="BC4" s="394" t="n"/>
      <c r="BD4" s="396" t="n"/>
      <c r="BE4" s="396" t="n"/>
      <c r="BF4" s="396" t="n"/>
      <c r="BG4" s="396" t="n"/>
      <c r="BH4" s="396" t="n"/>
      <c r="BI4" s="396" t="n"/>
      <c r="BJ4" s="396" t="n"/>
      <c r="BK4" s="396" t="n"/>
      <c r="BL4" s="396" t="n"/>
      <c r="BM4" s="396" t="n"/>
      <c r="BN4" s="396" t="n"/>
      <c r="BO4" s="396" t="n"/>
      <c r="BP4" s="396" t="n"/>
      <c r="BQ4" s="396" t="n"/>
      <c r="BR4" s="396" t="n"/>
      <c r="BS4" s="396" t="n"/>
      <c r="BT4" s="396" t="n"/>
      <c r="BU4" s="396" t="n"/>
      <c r="BV4" s="396" t="n"/>
      <c r="BW4" s="396" t="n"/>
      <c r="BX4" s="396" t="n"/>
      <c r="BY4" s="396" t="n"/>
      <c r="BZ4" s="396" t="n"/>
      <c r="CA4" s="396" t="n"/>
      <c r="CB4" s="396" t="n"/>
      <c r="CC4" s="396" t="n"/>
      <c r="CD4" s="396" t="n"/>
      <c r="CE4" s="396" t="n"/>
      <c r="CF4" s="396" t="n"/>
      <c r="CG4" s="396" t="n"/>
      <c r="CH4" s="396" t="n"/>
      <c r="CI4" s="396" t="n"/>
      <c r="CJ4" s="396" t="n"/>
      <c r="CK4" s="395" t="inlineStr">
        <is>
          <t>Osterferien</t>
        </is>
      </c>
      <c r="CL4" s="394" t="n"/>
      <c r="CM4" s="394" t="n"/>
      <c r="CN4" s="394" t="n"/>
      <c r="CO4" s="394" t="n"/>
      <c r="CP4" s="394" t="n"/>
      <c r="CQ4" s="394" t="n"/>
      <c r="CR4" s="394" t="n"/>
      <c r="CS4" s="394" t="n"/>
      <c r="CT4" s="394" t="n"/>
      <c r="CU4" s="394" t="n"/>
      <c r="CV4" s="394" t="n"/>
      <c r="CW4" s="394" t="n"/>
      <c r="CX4" s="394" t="n"/>
      <c r="CY4" s="394" t="n"/>
      <c r="CZ4" s="394" t="n"/>
      <c r="DA4" s="396" t="n"/>
      <c r="DB4" s="396" t="n"/>
      <c r="DC4" s="396" t="n"/>
      <c r="DD4" s="396" t="n"/>
      <c r="DE4" s="396" t="n"/>
      <c r="DF4" s="396" t="n"/>
      <c r="DG4" s="396" t="n"/>
      <c r="DH4" s="396" t="n"/>
      <c r="DI4" s="396" t="n"/>
      <c r="DJ4" s="396" t="n"/>
      <c r="DK4" s="396" t="n"/>
      <c r="DL4" s="396" t="n"/>
      <c r="DM4" s="396" t="n"/>
      <c r="DN4" s="396" t="n"/>
      <c r="DO4" s="396" t="n"/>
      <c r="DP4" s="396" t="n"/>
      <c r="DQ4" s="396" t="n"/>
      <c r="DR4" s="396" t="n"/>
      <c r="DS4" s="396" t="n"/>
      <c r="DT4" s="396" t="n"/>
      <c r="DU4" s="396" t="n"/>
      <c r="DV4" s="396" t="n"/>
      <c r="DW4" s="396" t="n"/>
      <c r="DX4" s="396" t="n"/>
      <c r="DY4" s="396" t="n"/>
      <c r="DZ4" s="396" t="n"/>
      <c r="EA4" s="396" t="n"/>
      <c r="EB4" s="396" t="n"/>
      <c r="EC4" s="396" t="n"/>
      <c r="ED4" s="396" t="n"/>
      <c r="EE4" s="396" t="n"/>
      <c r="EF4" s="396" t="n"/>
      <c r="EG4" s="396" t="n"/>
      <c r="EH4" s="396" t="n"/>
      <c r="EI4" s="396" t="n"/>
      <c r="EJ4" s="396" t="n"/>
      <c r="EK4" s="396" t="n"/>
      <c r="EL4" s="396" t="n"/>
      <c r="EM4" s="396" t="n"/>
      <c r="EN4" s="396" t="n"/>
      <c r="EO4" s="395" t="inlineStr">
        <is>
          <t>Pfingstferien</t>
        </is>
      </c>
      <c r="EP4" s="394" t="n"/>
      <c r="EQ4" s="394" t="n"/>
      <c r="ER4" s="394" t="n"/>
      <c r="ES4" s="394" t="n"/>
      <c r="ET4" s="394" t="n"/>
      <c r="EU4" s="394" t="n"/>
      <c r="EV4" s="394" t="n"/>
      <c r="EW4" s="394" t="n"/>
      <c r="EX4" s="394" t="n"/>
      <c r="EY4" s="394" t="n"/>
      <c r="EZ4" s="394" t="n"/>
      <c r="FA4" s="394" t="n"/>
      <c r="FB4" s="394" t="n"/>
      <c r="FC4" s="394" t="n"/>
      <c r="FD4" s="394" t="n"/>
      <c r="FE4" s="396" t="n"/>
      <c r="FF4" s="396" t="n"/>
      <c r="FG4" s="396" t="n"/>
      <c r="FH4" s="396" t="n"/>
      <c r="FI4" s="396" t="n"/>
      <c r="FJ4" s="396" t="n"/>
      <c r="FK4" s="396" t="n"/>
      <c r="FL4" s="396" t="n"/>
      <c r="FM4" s="396" t="n"/>
      <c r="FN4" s="396" t="n"/>
      <c r="FO4" s="396" t="n"/>
      <c r="FP4" s="396" t="n"/>
      <c r="FQ4" s="396" t="n"/>
      <c r="FR4" s="396" t="n"/>
      <c r="FS4" s="396" t="n"/>
      <c r="FT4" s="396" t="n"/>
      <c r="FU4" s="396" t="n"/>
      <c r="FV4" s="396" t="n"/>
      <c r="FW4" s="396" t="n"/>
      <c r="FX4" s="396" t="n"/>
      <c r="FY4" s="396" t="n"/>
      <c r="FZ4" s="396" t="n"/>
      <c r="GA4" s="396" t="n"/>
      <c r="GB4" s="396" t="n"/>
      <c r="GC4" s="394" t="n"/>
      <c r="GD4" s="394" t="n"/>
      <c r="GE4" s="394" t="n"/>
      <c r="GF4" s="394" t="n"/>
      <c r="GG4" s="394" t="n"/>
      <c r="GH4" s="394" t="n"/>
      <c r="GI4" s="394" t="n"/>
      <c r="GJ4" s="394" t="n"/>
      <c r="GK4" s="394" t="n"/>
      <c r="GL4" s="394" t="n"/>
      <c r="GM4" s="394" t="n"/>
      <c r="GN4" s="394" t="n"/>
      <c r="GO4" s="394" t="n"/>
      <c r="GP4" s="394" t="n"/>
      <c r="GQ4" s="394" t="n"/>
      <c r="GR4" s="394" t="n"/>
      <c r="GS4" s="394" t="n"/>
      <c r="GT4" s="394" t="n"/>
      <c r="GU4" s="394" t="n"/>
      <c r="GV4" s="394" t="n"/>
      <c r="GW4" s="394" t="n"/>
      <c r="GX4" s="394" t="n"/>
      <c r="GY4" s="394" t="n"/>
      <c r="GZ4" s="394" t="n"/>
      <c r="HA4" s="394" t="n"/>
      <c r="HB4" s="394" t="n"/>
      <c r="HC4" s="394" t="n"/>
      <c r="HD4" s="394" t="n"/>
      <c r="HE4" s="394" t="n"/>
      <c r="HF4" s="394" t="n"/>
      <c r="HG4" s="394" t="n"/>
      <c r="HH4" s="394" t="n"/>
      <c r="HI4" s="394" t="n"/>
      <c r="HJ4" s="394" t="n"/>
      <c r="HK4" s="394" t="n"/>
      <c r="HL4" s="394" t="n"/>
      <c r="HM4" s="394" t="n"/>
      <c r="HN4" s="394" t="n"/>
      <c r="HO4" s="394" t="n"/>
      <c r="HP4" s="394" t="n"/>
      <c r="HQ4" s="394" t="n"/>
      <c r="HR4" s="394" t="n"/>
      <c r="HS4" s="394" t="n"/>
      <c r="HT4" s="394" t="n"/>
      <c r="HU4" s="394" t="n"/>
      <c r="HV4" s="394" t="n"/>
      <c r="HW4" s="394" t="n"/>
      <c r="HX4" s="394" t="n"/>
      <c r="HY4" s="394" t="n"/>
      <c r="HZ4" s="394" t="n"/>
      <c r="IA4" s="394" t="n"/>
      <c r="IB4" s="394" t="n"/>
      <c r="IC4" s="394" t="n"/>
      <c r="ID4" s="394" t="n"/>
      <c r="IE4" s="394" t="n"/>
      <c r="IF4" s="394" t="n"/>
      <c r="IG4" s="394" t="n"/>
      <c r="IH4" s="394" t="n"/>
      <c r="II4" s="394" t="n"/>
      <c r="IJ4" s="394" t="n"/>
      <c r="IK4" s="394" t="n"/>
      <c r="IL4" s="394" t="n"/>
      <c r="IM4" s="394" t="n"/>
      <c r="IN4" s="394" t="n"/>
      <c r="IO4" s="394" t="n"/>
      <c r="IP4" s="394" t="n"/>
      <c r="IQ4" s="394" t="n"/>
      <c r="IR4" s="394" t="n"/>
      <c r="IS4" s="394" t="n"/>
      <c r="IT4" s="394" t="n"/>
      <c r="IU4" s="394" t="n"/>
      <c r="IV4" s="394" t="n"/>
      <c r="IW4" s="394" t="n"/>
      <c r="IX4" s="394" t="n"/>
      <c r="IY4" s="394" t="n"/>
      <c r="IZ4" s="394" t="n"/>
      <c r="JA4" s="394" t="n"/>
      <c r="JB4" s="394" t="n"/>
      <c r="JC4" s="394" t="n"/>
      <c r="JD4" s="394" t="n"/>
      <c r="JE4" s="394" t="n"/>
      <c r="JF4" s="394" t="n"/>
      <c r="JG4" s="394" t="n"/>
      <c r="JH4" s="394" t="n"/>
      <c r="JI4" s="394" t="n"/>
      <c r="JJ4" s="394" t="n"/>
      <c r="JK4" s="394" t="n"/>
      <c r="JL4" s="394" t="n"/>
      <c r="JM4" s="394" t="n"/>
      <c r="JN4" s="394" t="n"/>
      <c r="JO4" s="394" t="n"/>
      <c r="JP4" s="394" t="n"/>
      <c r="JQ4" s="394" t="n"/>
      <c r="JR4" s="394" t="n"/>
      <c r="JS4" s="394" t="n"/>
      <c r="JT4" s="394" t="n"/>
      <c r="JU4" s="394" t="n"/>
      <c r="JV4" s="394" t="n"/>
      <c r="JW4" s="394" t="n"/>
      <c r="JX4" s="394" t="n"/>
      <c r="JY4" s="394" t="n"/>
      <c r="JZ4" s="394" t="n"/>
      <c r="KA4" s="394" t="n"/>
      <c r="KB4" s="394" t="n"/>
      <c r="KC4" s="394" t="n"/>
      <c r="KD4" s="394" t="n"/>
      <c r="KE4" s="394" t="n"/>
      <c r="KF4" s="394" t="n"/>
      <c r="KG4" s="394" t="n"/>
      <c r="KH4" s="394" t="n"/>
      <c r="KI4" s="394" t="n"/>
      <c r="KJ4" s="394" t="n"/>
      <c r="KK4" s="394" t="n"/>
      <c r="KL4" s="394" t="n"/>
      <c r="KM4" s="394" t="n"/>
      <c r="KN4" s="394" t="n"/>
      <c r="KO4" s="394" t="n"/>
      <c r="KP4" s="394" t="n"/>
    </row>
    <row r="5" ht="18" customHeight="1" thickBot="1">
      <c r="B5" s="397" t="n"/>
      <c r="C5" s="397" t="inlineStr">
        <is>
          <t>KW 1</t>
        </is>
      </c>
      <c r="D5" s="397" t="n"/>
      <c r="E5" s="397" t="n"/>
      <c r="F5" s="397" t="n"/>
      <c r="G5" s="397" t="inlineStr">
        <is>
          <t>KW 2</t>
        </is>
      </c>
      <c r="H5" s="397" t="n"/>
      <c r="I5" s="397" t="n"/>
      <c r="J5" s="397" t="n"/>
      <c r="K5" s="397" t="n"/>
      <c r="L5" s="397" t="n"/>
      <c r="M5" s="397" t="n"/>
      <c r="N5" s="397" t="inlineStr">
        <is>
          <t>KW 3</t>
        </is>
      </c>
      <c r="O5" s="397" t="n"/>
      <c r="P5" s="397" t="n"/>
      <c r="Q5" s="397" t="n"/>
      <c r="R5" s="397" t="n"/>
      <c r="S5" s="397" t="n"/>
      <c r="T5" s="397" t="n"/>
      <c r="U5" s="397" t="inlineStr">
        <is>
          <t>KW 4</t>
        </is>
      </c>
      <c r="V5" s="397" t="n"/>
      <c r="W5" s="397" t="n"/>
      <c r="X5" s="397" t="n"/>
      <c r="Y5" s="397" t="n"/>
      <c r="Z5" s="397" t="n"/>
      <c r="AA5" s="397" t="n"/>
      <c r="AB5" s="397" t="inlineStr">
        <is>
          <t>KW 5</t>
        </is>
      </c>
      <c r="AC5" s="397" t="n"/>
      <c r="AD5" s="397" t="n"/>
      <c r="AE5" s="397" t="n"/>
      <c r="AF5" s="397" t="n"/>
      <c r="AG5" s="397" t="n"/>
      <c r="AH5" s="397" t="n"/>
      <c r="AI5" s="397" t="inlineStr">
        <is>
          <t>KW 6</t>
        </is>
      </c>
      <c r="AJ5" s="397" t="n"/>
      <c r="AK5" s="397" t="n"/>
      <c r="AL5" s="397" t="n"/>
      <c r="AM5" s="397" t="n"/>
      <c r="AN5" s="397" t="n"/>
      <c r="AO5" s="397" t="n"/>
      <c r="AP5" s="397" t="inlineStr">
        <is>
          <t>KW 7</t>
        </is>
      </c>
      <c r="AQ5" s="397" t="n"/>
      <c r="AR5" s="397" t="n"/>
      <c r="AS5" s="397" t="n"/>
      <c r="AT5" s="397" t="n"/>
      <c r="AU5" s="397" t="n"/>
      <c r="AV5" s="397" t="n"/>
      <c r="AW5" s="397" t="inlineStr">
        <is>
          <t>KW 8</t>
        </is>
      </c>
      <c r="AX5" s="397" t="n"/>
      <c r="AY5" s="397" t="n"/>
      <c r="AZ5" s="397" t="n"/>
      <c r="BA5" s="397" t="n"/>
      <c r="BB5" s="397" t="n"/>
      <c r="BC5" s="397" t="n"/>
      <c r="BD5" s="397" t="inlineStr">
        <is>
          <t>KW 9</t>
        </is>
      </c>
      <c r="BE5" s="397" t="n"/>
      <c r="BF5" s="397" t="n"/>
      <c r="BG5" s="397" t="n"/>
      <c r="BH5" s="397" t="n"/>
      <c r="BI5" s="397" t="n"/>
      <c r="BJ5" s="397" t="n"/>
      <c r="BK5" s="397" t="inlineStr">
        <is>
          <t>KW 10</t>
        </is>
      </c>
      <c r="BL5" s="397" t="n"/>
      <c r="BM5" s="397" t="n"/>
      <c r="BN5" s="397" t="n"/>
      <c r="BO5" s="397" t="n"/>
      <c r="BP5" s="397" t="n"/>
      <c r="BQ5" s="397" t="n"/>
      <c r="BR5" s="397" t="inlineStr">
        <is>
          <t>KW 11</t>
        </is>
      </c>
      <c r="BS5" s="397" t="n"/>
      <c r="BT5" s="397" t="n"/>
      <c r="BU5" s="397" t="n"/>
      <c r="BV5" s="397" t="n"/>
      <c r="BW5" s="397" t="n"/>
      <c r="BX5" s="397" t="n"/>
      <c r="BY5" s="397" t="inlineStr">
        <is>
          <t>KW 12</t>
        </is>
      </c>
      <c r="BZ5" s="397" t="n"/>
      <c r="CA5" s="397" t="n"/>
      <c r="CB5" s="397" t="n"/>
      <c r="CC5" s="397" t="n"/>
      <c r="CD5" s="397" t="n"/>
      <c r="CE5" s="397" t="n"/>
      <c r="CF5" s="397" t="inlineStr">
        <is>
          <t>KW 13</t>
        </is>
      </c>
      <c r="CG5" s="397" t="n"/>
      <c r="CH5" s="397" t="n"/>
      <c r="CI5" s="397" t="n"/>
      <c r="CJ5" s="397" t="n"/>
      <c r="CK5" s="397" t="n"/>
      <c r="CL5" s="397" t="n"/>
      <c r="CM5" s="397" t="inlineStr">
        <is>
          <t>KW 14</t>
        </is>
      </c>
      <c r="CN5" s="397" t="n"/>
      <c r="CO5" s="397" t="n"/>
      <c r="CP5" s="397" t="n"/>
      <c r="CQ5" s="397" t="n"/>
      <c r="CR5" s="397" t="n"/>
      <c r="CS5" s="397" t="n"/>
      <c r="CT5" s="397" t="inlineStr">
        <is>
          <t>KW 15</t>
        </is>
      </c>
      <c r="CU5" s="397" t="n"/>
      <c r="CV5" s="397" t="n"/>
      <c r="CW5" s="397" t="n"/>
      <c r="CX5" s="397" t="n"/>
      <c r="CY5" s="397" t="n"/>
      <c r="CZ5" s="397" t="n"/>
      <c r="DA5" s="397" t="inlineStr">
        <is>
          <t>KW 16</t>
        </is>
      </c>
      <c r="DB5" s="397" t="n"/>
      <c r="DC5" s="397" t="n"/>
      <c r="DD5" s="397" t="n"/>
      <c r="DE5" s="397" t="n"/>
      <c r="DF5" s="397" t="n"/>
      <c r="DG5" s="397" t="n"/>
      <c r="DH5" s="397" t="inlineStr">
        <is>
          <t>KW 17</t>
        </is>
      </c>
      <c r="DI5" s="397" t="n"/>
      <c r="DJ5" s="397" t="n"/>
      <c r="DK5" s="397" t="n"/>
      <c r="DL5" s="397" t="n"/>
      <c r="DM5" s="397" t="n"/>
      <c r="DN5" s="397" t="n"/>
      <c r="DO5" s="397" t="inlineStr">
        <is>
          <t>KW 18</t>
        </is>
      </c>
      <c r="DP5" s="397" t="n"/>
      <c r="DQ5" s="397" t="n"/>
      <c r="DR5" s="397" t="n"/>
      <c r="DS5" s="397" t="n"/>
      <c r="DT5" s="397" t="n"/>
      <c r="DU5" s="397" t="n"/>
      <c r="DV5" s="397" t="inlineStr">
        <is>
          <t>KW 19</t>
        </is>
      </c>
      <c r="DW5" s="397" t="n"/>
      <c r="DX5" s="397" t="n"/>
      <c r="DY5" s="397" t="n"/>
      <c r="DZ5" s="397" t="n"/>
      <c r="EA5" s="397" t="n"/>
      <c r="EB5" s="397" t="n"/>
      <c r="EC5" s="397" t="inlineStr">
        <is>
          <t>KW 20</t>
        </is>
      </c>
      <c r="ED5" s="397" t="n"/>
      <c r="EE5" s="397" t="n"/>
      <c r="EF5" s="397" t="n"/>
      <c r="EG5" s="397" t="n"/>
      <c r="EH5" s="397" t="n"/>
      <c r="EI5" s="397" t="n"/>
      <c r="EJ5" s="397" t="inlineStr">
        <is>
          <t>KW 21</t>
        </is>
      </c>
      <c r="EK5" s="397" t="n"/>
      <c r="EL5" s="397" t="n"/>
      <c r="EM5" s="397" t="n"/>
      <c r="EN5" s="397" t="n"/>
      <c r="EO5" s="397" t="n"/>
      <c r="EP5" s="397" t="n"/>
      <c r="EQ5" s="397" t="inlineStr">
        <is>
          <t>KW 22</t>
        </is>
      </c>
      <c r="ER5" s="397" t="n"/>
      <c r="ES5" s="397" t="n"/>
      <c r="ET5" s="397" t="n"/>
      <c r="EU5" s="397" t="n"/>
      <c r="EV5" s="397" t="n"/>
      <c r="EW5" s="397" t="n"/>
      <c r="EX5" s="397" t="inlineStr">
        <is>
          <t>KW 23</t>
        </is>
      </c>
      <c r="EY5" s="397" t="n"/>
      <c r="EZ5" s="397" t="n"/>
      <c r="FA5" s="397" t="n"/>
      <c r="FB5" s="397" t="n"/>
      <c r="FC5" s="397" t="n"/>
      <c r="FD5" s="397" t="n"/>
      <c r="FE5" s="397" t="inlineStr">
        <is>
          <t>KW 24</t>
        </is>
      </c>
      <c r="FF5" s="397" t="n"/>
      <c r="FG5" s="397" t="n"/>
      <c r="FH5" s="397" t="n"/>
      <c r="FI5" s="397" t="n"/>
      <c r="FJ5" s="397" t="n"/>
      <c r="FK5" s="397" t="n"/>
      <c r="FL5" s="397" t="inlineStr">
        <is>
          <t>KW 25</t>
        </is>
      </c>
      <c r="FM5" s="397" t="n"/>
      <c r="FN5" s="397" t="n"/>
      <c r="FO5" s="397" t="n"/>
      <c r="FP5" s="397" t="n"/>
      <c r="FQ5" s="397" t="n"/>
      <c r="FR5" s="397" t="n"/>
      <c r="FS5" s="397" t="inlineStr">
        <is>
          <t>KW 26</t>
        </is>
      </c>
      <c r="FT5" s="397" t="n"/>
      <c r="FU5" s="397" t="n"/>
      <c r="FV5" s="397" t="n"/>
      <c r="FW5" s="397" t="n"/>
      <c r="FX5" s="397" t="n"/>
      <c r="FY5" s="397" t="n"/>
      <c r="FZ5" s="397" t="inlineStr">
        <is>
          <t>KW 27</t>
        </is>
      </c>
      <c r="GA5" s="397" t="n"/>
      <c r="GB5" s="397" t="n"/>
      <c r="GC5" s="397" t="n"/>
      <c r="GD5" s="397" t="n"/>
      <c r="GE5" s="397" t="n"/>
      <c r="GF5" s="397" t="n"/>
      <c r="GG5" s="397" t="n"/>
      <c r="GH5" s="397" t="n"/>
      <c r="GI5" s="397" t="n"/>
      <c r="GJ5" s="397" t="n"/>
      <c r="GK5" s="397" t="n"/>
      <c r="GL5" s="397" t="n"/>
      <c r="GM5" s="397" t="n"/>
      <c r="GN5" s="397" t="n"/>
      <c r="GO5" s="397" t="n"/>
      <c r="GP5" s="397" t="n"/>
      <c r="GQ5" s="397" t="n"/>
      <c r="GR5" s="397" t="n"/>
      <c r="GS5" s="397" t="n"/>
      <c r="GT5" s="397" t="n"/>
      <c r="GU5" s="397" t="n"/>
      <c r="GV5" s="397" t="n"/>
      <c r="GW5" s="397" t="n"/>
      <c r="GX5" s="397" t="n"/>
      <c r="GY5" s="397" t="n"/>
      <c r="GZ5" s="397" t="n"/>
      <c r="HA5" s="397" t="n"/>
      <c r="HB5" s="397" t="n"/>
      <c r="HC5" s="397" t="n"/>
      <c r="HD5" s="397" t="n"/>
      <c r="HE5" s="397" t="n"/>
      <c r="HF5" s="397" t="n"/>
      <c r="HG5" s="397" t="n"/>
      <c r="HH5" s="397" t="n"/>
      <c r="HI5" s="397" t="n"/>
      <c r="HJ5" s="397" t="n"/>
      <c r="HK5" s="397" t="n"/>
      <c r="HL5" s="397" t="n"/>
      <c r="HM5" s="397" t="n"/>
      <c r="HN5" s="397" t="n"/>
      <c r="HO5" s="397" t="n"/>
      <c r="HP5" s="397" t="n"/>
      <c r="HQ5" s="397" t="n"/>
      <c r="HR5" s="397" t="n"/>
      <c r="HS5" s="397" t="n"/>
      <c r="HT5" s="397" t="n"/>
      <c r="HU5" s="397" t="n"/>
      <c r="HV5" s="397" t="n"/>
      <c r="HW5" s="397" t="n"/>
      <c r="HX5" s="397" t="n"/>
      <c r="HY5" s="397" t="n"/>
      <c r="HZ5" s="397" t="n"/>
      <c r="IA5" s="397" t="n"/>
      <c r="IB5" s="397" t="n"/>
      <c r="IC5" s="397" t="n"/>
      <c r="ID5" s="397" t="n"/>
      <c r="IE5" s="397" t="n"/>
      <c r="IF5" s="397" t="n"/>
      <c r="IG5" s="397" t="n"/>
      <c r="IH5" s="397" t="n"/>
      <c r="II5" s="397" t="n"/>
      <c r="IJ5" s="397" t="n"/>
      <c r="IK5" s="397" t="n"/>
      <c r="IL5" s="397" t="n"/>
      <c r="IM5" s="397" t="n"/>
      <c r="IN5" s="397" t="n"/>
      <c r="IO5" s="397" t="n"/>
      <c r="IP5" s="397" t="n"/>
      <c r="IQ5" s="397" t="n"/>
      <c r="IR5" s="397" t="n"/>
      <c r="IS5" s="397" t="n"/>
      <c r="IT5" s="397" t="n"/>
      <c r="IU5" s="397" t="n"/>
      <c r="IV5" s="397" t="n"/>
      <c r="IW5" s="397" t="n"/>
      <c r="IX5" s="397" t="n"/>
      <c r="IY5" s="397" t="n"/>
      <c r="IZ5" s="397" t="n"/>
      <c r="JA5" s="397" t="n"/>
      <c r="JB5" s="397" t="n"/>
      <c r="JC5" s="397" t="n"/>
      <c r="JD5" s="397" t="n"/>
      <c r="JE5" s="397" t="n"/>
      <c r="JF5" s="397" t="n"/>
      <c r="JG5" s="397" t="n"/>
      <c r="JH5" s="397" t="n"/>
      <c r="JI5" s="397" t="n"/>
      <c r="JJ5" s="397" t="n"/>
      <c r="JK5" s="397" t="n"/>
      <c r="JL5" s="397" t="n"/>
      <c r="JM5" s="397" t="n"/>
      <c r="JN5" s="397" t="n"/>
      <c r="JO5" s="397" t="n"/>
      <c r="JP5" s="397" t="n"/>
      <c r="JQ5" s="397" t="n"/>
      <c r="JR5" s="397" t="n"/>
      <c r="JS5" s="397" t="n"/>
      <c r="JT5" s="397" t="n"/>
      <c r="JU5" s="397" t="n"/>
      <c r="JV5" s="397" t="n"/>
      <c r="JW5" s="397" t="n"/>
      <c r="JX5" s="397" t="n"/>
      <c r="JY5" s="397" t="n"/>
      <c r="JZ5" s="397" t="n"/>
      <c r="KA5" s="397" t="n"/>
      <c r="KB5" s="397" t="n"/>
      <c r="KC5" s="397" t="n"/>
      <c r="KD5" s="397" t="n"/>
      <c r="KE5" s="397" t="n"/>
      <c r="KF5" s="397" t="n"/>
      <c r="KG5" s="397" t="n"/>
      <c r="KH5" s="397" t="n"/>
      <c r="KI5" s="397" t="n"/>
      <c r="KJ5" s="397" t="n"/>
      <c r="KK5" s="397" t="n"/>
      <c r="KL5" s="397" t="n"/>
      <c r="KM5" s="397" t="n"/>
      <c r="KN5" s="397" t="n"/>
      <c r="KO5" s="397" t="n"/>
      <c r="KP5" s="397" t="n"/>
    </row>
    <row r="6" ht="24" customHeight="1">
      <c r="B6" s="398" t="n"/>
      <c r="C6" s="399" t="n">
        <v>1</v>
      </c>
      <c r="D6" s="399" t="n">
        <v>2</v>
      </c>
      <c r="E6" s="399" t="n">
        <v>3</v>
      </c>
      <c r="F6" s="399" t="n">
        <v>4</v>
      </c>
      <c r="G6" s="399" t="n">
        <v>5</v>
      </c>
      <c r="H6" s="399" t="n">
        <v>6</v>
      </c>
      <c r="I6" s="399" t="n">
        <v>7</v>
      </c>
      <c r="J6" s="399" t="n">
        <v>8</v>
      </c>
      <c r="K6" s="399" t="n">
        <v>9</v>
      </c>
      <c r="L6" s="399" t="n">
        <v>10</v>
      </c>
      <c r="M6" s="399" t="n">
        <v>11</v>
      </c>
      <c r="N6" s="399" t="n">
        <v>12</v>
      </c>
      <c r="O6" s="399" t="n">
        <v>13</v>
      </c>
      <c r="P6" s="399" t="n">
        <v>14</v>
      </c>
      <c r="Q6" s="399" t="n">
        <v>15</v>
      </c>
      <c r="R6" s="399" t="n">
        <v>16</v>
      </c>
      <c r="S6" s="399" t="n">
        <v>17</v>
      </c>
      <c r="T6" s="399" t="n">
        <v>18</v>
      </c>
      <c r="U6" s="399" t="n">
        <v>19</v>
      </c>
      <c r="V6" s="399" t="n">
        <v>20</v>
      </c>
      <c r="W6" s="399" t="n">
        <v>21</v>
      </c>
      <c r="X6" s="399" t="n">
        <v>22</v>
      </c>
      <c r="Y6" s="399" t="n">
        <v>23</v>
      </c>
      <c r="Z6" s="399" t="n">
        <v>24</v>
      </c>
      <c r="AA6" s="399" t="n">
        <v>25</v>
      </c>
      <c r="AB6" s="399" t="n">
        <v>26</v>
      </c>
      <c r="AC6" s="399" t="n">
        <v>27</v>
      </c>
      <c r="AD6" s="399" t="n">
        <v>28</v>
      </c>
      <c r="AE6" s="399" t="n">
        <v>29</v>
      </c>
      <c r="AF6" s="399" t="n">
        <v>30</v>
      </c>
      <c r="AG6" s="399" t="n">
        <v>31</v>
      </c>
      <c r="AH6" s="399" t="n">
        <v>1</v>
      </c>
      <c r="AI6" s="399" t="n">
        <v>2</v>
      </c>
      <c r="AJ6" s="399" t="n">
        <v>3</v>
      </c>
      <c r="AK6" s="399" t="n">
        <v>4</v>
      </c>
      <c r="AL6" s="399" t="n">
        <v>5</v>
      </c>
      <c r="AM6" s="399" t="n">
        <v>6</v>
      </c>
      <c r="AN6" s="399" t="n">
        <v>7</v>
      </c>
      <c r="AO6" s="399" t="n">
        <v>8</v>
      </c>
      <c r="AP6" s="399" t="n">
        <v>9</v>
      </c>
      <c r="AQ6" s="399" t="n">
        <v>10</v>
      </c>
      <c r="AR6" s="399" t="n">
        <v>11</v>
      </c>
      <c r="AS6" s="399" t="n">
        <v>12</v>
      </c>
      <c r="AT6" s="399" t="n">
        <v>13</v>
      </c>
      <c r="AU6" s="399" t="n">
        <v>14</v>
      </c>
      <c r="AV6" s="399" t="n">
        <v>15</v>
      </c>
      <c r="AW6" s="399" t="n">
        <v>16</v>
      </c>
      <c r="AX6" s="399" t="n">
        <v>17</v>
      </c>
      <c r="AY6" s="399" t="n">
        <v>18</v>
      </c>
      <c r="AZ6" s="399" t="n">
        <v>19</v>
      </c>
      <c r="BA6" s="399" t="n">
        <v>20</v>
      </c>
      <c r="BB6" s="399" t="n">
        <v>21</v>
      </c>
      <c r="BC6" s="399" t="n">
        <v>22</v>
      </c>
      <c r="BD6" s="399" t="n">
        <v>23</v>
      </c>
      <c r="BE6" s="399" t="n">
        <v>24</v>
      </c>
      <c r="BF6" s="399" t="n">
        <v>25</v>
      </c>
      <c r="BG6" s="399" t="n">
        <v>26</v>
      </c>
      <c r="BH6" s="399" t="n">
        <v>27</v>
      </c>
      <c r="BI6" s="399" t="n">
        <v>28</v>
      </c>
      <c r="BJ6" s="399" t="n">
        <v>1</v>
      </c>
      <c r="BK6" s="399" t="n">
        <v>2</v>
      </c>
      <c r="BL6" s="399" t="n">
        <v>3</v>
      </c>
      <c r="BM6" s="399" t="n">
        <v>4</v>
      </c>
      <c r="BN6" s="399" t="n">
        <v>5</v>
      </c>
      <c r="BO6" s="399" t="n">
        <v>6</v>
      </c>
      <c r="BP6" s="399" t="n">
        <v>7</v>
      </c>
      <c r="BQ6" s="399" t="n">
        <v>8</v>
      </c>
      <c r="BR6" s="399" t="n">
        <v>9</v>
      </c>
      <c r="BS6" s="399" t="n">
        <v>10</v>
      </c>
      <c r="BT6" s="399" t="n">
        <v>11</v>
      </c>
      <c r="BU6" s="399" t="n">
        <v>12</v>
      </c>
      <c r="BV6" s="399" t="n">
        <v>13</v>
      </c>
      <c r="BW6" s="399" t="n">
        <v>14</v>
      </c>
      <c r="BX6" s="399" t="n">
        <v>15</v>
      </c>
      <c r="BY6" s="399" t="n">
        <v>16</v>
      </c>
      <c r="BZ6" s="399" t="n">
        <v>17</v>
      </c>
      <c r="CA6" s="399" t="n">
        <v>18</v>
      </c>
      <c r="CB6" s="399" t="n">
        <v>19</v>
      </c>
      <c r="CC6" s="399" t="n">
        <v>20</v>
      </c>
      <c r="CD6" s="399" t="n">
        <v>21</v>
      </c>
      <c r="CE6" s="399" t="n">
        <v>22</v>
      </c>
      <c r="CF6" s="399" t="n">
        <v>23</v>
      </c>
      <c r="CG6" s="399" t="n">
        <v>24</v>
      </c>
      <c r="CH6" s="399" t="n">
        <v>25</v>
      </c>
      <c r="CI6" s="399" t="n">
        <v>26</v>
      </c>
      <c r="CJ6" s="399" t="n">
        <v>27</v>
      </c>
      <c r="CK6" s="399" t="n">
        <v>28</v>
      </c>
      <c r="CL6" s="399" t="n">
        <v>29</v>
      </c>
      <c r="CM6" s="399" t="n">
        <v>30</v>
      </c>
      <c r="CN6" s="399" t="n">
        <v>31</v>
      </c>
      <c r="CO6" s="399" t="n">
        <v>1</v>
      </c>
      <c r="CP6" s="399" t="n">
        <v>2</v>
      </c>
      <c r="CQ6" s="399" t="n">
        <v>3</v>
      </c>
      <c r="CR6" s="399" t="n">
        <v>4</v>
      </c>
      <c r="CS6" s="399" t="n">
        <v>5</v>
      </c>
      <c r="CT6" s="399" t="n">
        <v>6</v>
      </c>
      <c r="CU6" s="399" t="n">
        <v>7</v>
      </c>
      <c r="CV6" s="399" t="n">
        <v>8</v>
      </c>
      <c r="CW6" s="399" t="n">
        <v>9</v>
      </c>
      <c r="CX6" s="399" t="n">
        <v>10</v>
      </c>
      <c r="CY6" s="399" t="n">
        <v>11</v>
      </c>
      <c r="CZ6" s="399" t="n">
        <v>12</v>
      </c>
      <c r="DA6" s="399" t="n">
        <v>13</v>
      </c>
      <c r="DB6" s="399" t="n">
        <v>14</v>
      </c>
      <c r="DC6" s="399" t="n">
        <v>15</v>
      </c>
      <c r="DD6" s="399" t="n">
        <v>16</v>
      </c>
      <c r="DE6" s="399" t="n">
        <v>17</v>
      </c>
      <c r="DF6" s="399" t="n">
        <v>18</v>
      </c>
      <c r="DG6" s="399" t="n">
        <v>19</v>
      </c>
      <c r="DH6" s="399" t="n">
        <v>20</v>
      </c>
      <c r="DI6" s="399" t="n">
        <v>21</v>
      </c>
      <c r="DJ6" s="399" t="n">
        <v>22</v>
      </c>
      <c r="DK6" s="399" t="n">
        <v>23</v>
      </c>
      <c r="DL6" s="399" t="n">
        <v>24</v>
      </c>
      <c r="DM6" s="399" t="n">
        <v>25</v>
      </c>
      <c r="DN6" s="399" t="n">
        <v>26</v>
      </c>
      <c r="DO6" s="399" t="n">
        <v>27</v>
      </c>
      <c r="DP6" s="399" t="n">
        <v>28</v>
      </c>
      <c r="DQ6" s="399" t="n">
        <v>29</v>
      </c>
      <c r="DR6" s="399" t="n">
        <v>30</v>
      </c>
      <c r="DS6" s="399" t="n">
        <v>1</v>
      </c>
      <c r="DT6" s="399" t="n">
        <v>2</v>
      </c>
      <c r="DU6" s="399" t="n">
        <v>3</v>
      </c>
      <c r="DV6" s="399" t="n">
        <v>4</v>
      </c>
      <c r="DW6" s="399" t="n">
        <v>5</v>
      </c>
      <c r="DX6" s="399" t="n">
        <v>6</v>
      </c>
      <c r="DY6" s="399" t="n">
        <v>7</v>
      </c>
      <c r="DZ6" s="399" t="n">
        <v>8</v>
      </c>
      <c r="EA6" s="399" t="n">
        <v>9</v>
      </c>
      <c r="EB6" s="399" t="n">
        <v>10</v>
      </c>
      <c r="EC6" s="399" t="n">
        <v>11</v>
      </c>
      <c r="ED6" s="399" t="n">
        <v>12</v>
      </c>
      <c r="EE6" s="399" t="n">
        <v>13</v>
      </c>
      <c r="EF6" s="399" t="n">
        <v>14</v>
      </c>
      <c r="EG6" s="399" t="n">
        <v>15</v>
      </c>
      <c r="EH6" s="399" t="n">
        <v>16</v>
      </c>
      <c r="EI6" s="399" t="n">
        <v>17</v>
      </c>
      <c r="EJ6" s="399" t="n">
        <v>18</v>
      </c>
      <c r="EK6" s="399" t="n">
        <v>19</v>
      </c>
      <c r="EL6" s="399" t="n">
        <v>20</v>
      </c>
      <c r="EM6" s="399" t="n">
        <v>21</v>
      </c>
      <c r="EN6" s="399" t="n">
        <v>22</v>
      </c>
      <c r="EO6" s="399" t="n">
        <v>23</v>
      </c>
      <c r="EP6" s="399" t="n">
        <v>24</v>
      </c>
      <c r="EQ6" s="399" t="n">
        <v>25</v>
      </c>
      <c r="ER6" s="399" t="n">
        <v>26</v>
      </c>
      <c r="ES6" s="399" t="n">
        <v>27</v>
      </c>
      <c r="ET6" s="399" t="n">
        <v>28</v>
      </c>
      <c r="EU6" s="399" t="n">
        <v>29</v>
      </c>
      <c r="EV6" s="399" t="n">
        <v>30</v>
      </c>
      <c r="EW6" s="399" t="n">
        <v>31</v>
      </c>
      <c r="EX6" s="399" t="n">
        <v>1</v>
      </c>
      <c r="EY6" s="399" t="n">
        <v>2</v>
      </c>
      <c r="EZ6" s="399" t="n">
        <v>3</v>
      </c>
      <c r="FA6" s="399" t="n">
        <v>4</v>
      </c>
      <c r="FB6" s="399" t="n">
        <v>5</v>
      </c>
      <c r="FC6" s="399" t="n">
        <v>6</v>
      </c>
      <c r="FD6" s="399" t="n">
        <v>7</v>
      </c>
      <c r="FE6" s="399" t="n">
        <v>8</v>
      </c>
      <c r="FF6" s="399" t="n">
        <v>9</v>
      </c>
      <c r="FG6" s="399" t="n">
        <v>10</v>
      </c>
      <c r="FH6" s="399" t="n">
        <v>11</v>
      </c>
      <c r="FI6" s="399" t="n">
        <v>12</v>
      </c>
      <c r="FJ6" s="399" t="n">
        <v>13</v>
      </c>
      <c r="FK6" s="399" t="n">
        <v>14</v>
      </c>
      <c r="FL6" s="399" t="n">
        <v>15</v>
      </c>
      <c r="FM6" s="399" t="n">
        <v>16</v>
      </c>
      <c r="FN6" s="399" t="n">
        <v>17</v>
      </c>
      <c r="FO6" s="399" t="n">
        <v>18</v>
      </c>
      <c r="FP6" s="399" t="n">
        <v>19</v>
      </c>
      <c r="FQ6" s="399" t="n">
        <v>20</v>
      </c>
      <c r="FR6" s="399" t="n">
        <v>21</v>
      </c>
      <c r="FS6" s="399" t="n">
        <v>22</v>
      </c>
      <c r="FT6" s="399" t="n">
        <v>23</v>
      </c>
      <c r="FU6" s="399" t="n">
        <v>24</v>
      </c>
      <c r="FV6" s="399" t="n">
        <v>25</v>
      </c>
      <c r="FW6" s="399" t="n">
        <v>26</v>
      </c>
      <c r="FX6" s="399" t="n">
        <v>27</v>
      </c>
      <c r="FY6" s="399" t="n">
        <v>28</v>
      </c>
      <c r="FZ6" s="399" t="n">
        <v>29</v>
      </c>
      <c r="GA6" s="399" t="n">
        <v>30</v>
      </c>
      <c r="GB6" s="399" t="n"/>
      <c r="GC6" s="399" t="n"/>
      <c r="GD6" s="399" t="n"/>
      <c r="GE6" s="399" t="n"/>
      <c r="GF6" s="399" t="n"/>
      <c r="GG6" s="399" t="n"/>
      <c r="GH6" s="399" t="n"/>
      <c r="GI6" s="399" t="n"/>
      <c r="GJ6" s="399" t="n"/>
      <c r="GK6" s="399" t="n"/>
      <c r="GL6" s="399" t="n"/>
      <c r="GM6" s="399" t="n"/>
      <c r="GN6" s="399" t="n"/>
      <c r="GO6" s="399" t="n"/>
      <c r="GP6" s="399" t="n"/>
      <c r="GQ6" s="399" t="n"/>
      <c r="GR6" s="399" t="n"/>
      <c r="GS6" s="399" t="n"/>
      <c r="GT6" s="399" t="n"/>
      <c r="GU6" s="399" t="n"/>
      <c r="GV6" s="399" t="n"/>
      <c r="GW6" s="399" t="n"/>
      <c r="GX6" s="399" t="n"/>
      <c r="GY6" s="399" t="n"/>
      <c r="GZ6" s="399" t="n"/>
      <c r="HA6" s="399" t="n"/>
      <c r="HB6" s="399" t="n"/>
      <c r="HC6" s="399" t="n"/>
      <c r="HD6" s="399" t="n"/>
      <c r="HE6" s="399" t="n"/>
      <c r="HF6" s="399" t="n"/>
      <c r="HG6" s="399" t="n"/>
      <c r="HH6" s="399" t="n"/>
      <c r="HI6" s="399" t="n"/>
      <c r="HJ6" s="399" t="n"/>
      <c r="HK6" s="399" t="n"/>
      <c r="HL6" s="399" t="n"/>
      <c r="HM6" s="399" t="n"/>
      <c r="HN6" s="399" t="n"/>
      <c r="HO6" s="399" t="n"/>
      <c r="HP6" s="399" t="n"/>
      <c r="HQ6" s="399" t="n"/>
      <c r="HR6" s="399" t="n"/>
      <c r="HS6" s="399" t="n"/>
      <c r="HT6" s="399" t="n"/>
      <c r="HU6" s="399" t="n"/>
      <c r="HV6" s="399" t="n"/>
      <c r="HW6" s="399" t="n"/>
      <c r="HX6" s="399" t="n"/>
      <c r="HY6" s="399" t="n"/>
      <c r="HZ6" s="399" t="n"/>
      <c r="IA6" s="399" t="n"/>
      <c r="IB6" s="399" t="n"/>
      <c r="IC6" s="399" t="n"/>
      <c r="ID6" s="399" t="n"/>
      <c r="IE6" s="399" t="n"/>
      <c r="IF6" s="399" t="n"/>
      <c r="IG6" s="399" t="n"/>
      <c r="IH6" s="399" t="n"/>
      <c r="II6" s="399" t="n"/>
      <c r="IJ6" s="399" t="n"/>
      <c r="IK6" s="399" t="n"/>
      <c r="IL6" s="399" t="n"/>
      <c r="IM6" s="399" t="n"/>
      <c r="IN6" s="399" t="n"/>
      <c r="IO6" s="399" t="n"/>
      <c r="IP6" s="399" t="n"/>
      <c r="IQ6" s="399" t="n"/>
      <c r="IR6" s="399" t="n"/>
      <c r="IS6" s="399" t="n"/>
      <c r="IT6" s="399" t="n"/>
      <c r="IU6" s="399" t="n"/>
      <c r="IV6" s="399" t="n"/>
      <c r="IW6" s="399" t="n"/>
      <c r="IX6" s="399" t="n"/>
      <c r="IY6" s="399" t="n"/>
      <c r="IZ6" s="399" t="n"/>
      <c r="JA6" s="399" t="n"/>
      <c r="JB6" s="399" t="n"/>
      <c r="JC6" s="399" t="n"/>
      <c r="JD6" s="399" t="n"/>
      <c r="JE6" s="399" t="n"/>
      <c r="JF6" s="399" t="n"/>
      <c r="JG6" s="399" t="n"/>
      <c r="JH6" s="399" t="n"/>
      <c r="JI6" s="399" t="n"/>
      <c r="JJ6" s="399" t="n"/>
      <c r="JK6" s="399" t="n"/>
      <c r="JL6" s="399" t="n"/>
      <c r="JM6" s="399" t="n"/>
      <c r="JN6" s="399" t="n"/>
      <c r="JO6" s="399" t="n"/>
      <c r="JP6" s="399" t="n"/>
      <c r="JQ6" s="399" t="n"/>
      <c r="JR6" s="399" t="n"/>
      <c r="JS6" s="399" t="n"/>
      <c r="JT6" s="399" t="n"/>
      <c r="JU6" s="399" t="n"/>
      <c r="JV6" s="399" t="n"/>
      <c r="JW6" s="399" t="n"/>
      <c r="JX6" s="399" t="n"/>
      <c r="JY6" s="399" t="n"/>
      <c r="JZ6" s="399" t="n"/>
      <c r="KA6" s="399" t="n"/>
      <c r="KB6" s="399" t="n"/>
      <c r="KC6" s="399" t="n"/>
      <c r="KD6" s="399" t="n"/>
      <c r="KE6" s="399" t="n"/>
      <c r="KF6" s="399" t="n"/>
      <c r="KG6" s="399" t="n"/>
      <c r="KH6" s="399" t="n"/>
      <c r="KI6" s="399" t="n"/>
      <c r="KJ6" s="399" t="n"/>
      <c r="KK6" s="399" t="n"/>
      <c r="KL6" s="399" t="n"/>
      <c r="KM6" s="399" t="n"/>
      <c r="KN6" s="399" t="n"/>
      <c r="KO6" s="399" t="n"/>
      <c r="KP6" s="399" t="n"/>
    </row>
    <row r="7" ht="24" customHeight="1" thickBot="1">
      <c r="B7" s="400" t="n"/>
      <c r="C7" s="400" t="inlineStr">
        <is>
          <t>Do</t>
        </is>
      </c>
      <c r="D7" s="400" t="inlineStr">
        <is>
          <t>Fr</t>
        </is>
      </c>
      <c r="E7" s="401" t="inlineStr">
        <is>
          <t>Sa</t>
        </is>
      </c>
      <c r="F7" s="401" t="inlineStr">
        <is>
          <t>So</t>
        </is>
      </c>
      <c r="G7" s="400" t="inlineStr">
        <is>
          <t>Mo</t>
        </is>
      </c>
      <c r="H7" s="400" t="inlineStr">
        <is>
          <t>Di</t>
        </is>
      </c>
      <c r="I7" s="400" t="inlineStr">
        <is>
          <t>Mi</t>
        </is>
      </c>
      <c r="J7" s="400" t="inlineStr">
        <is>
          <t>Do</t>
        </is>
      </c>
      <c r="K7" s="400" t="inlineStr">
        <is>
          <t>Fr</t>
        </is>
      </c>
      <c r="L7" s="401" t="inlineStr">
        <is>
          <t>Sa</t>
        </is>
      </c>
      <c r="M7" s="401" t="inlineStr">
        <is>
          <t>So</t>
        </is>
      </c>
      <c r="N7" s="400" t="inlineStr">
        <is>
          <t>Mo</t>
        </is>
      </c>
      <c r="O7" s="400" t="inlineStr">
        <is>
          <t>Di</t>
        </is>
      </c>
      <c r="P7" s="400" t="inlineStr">
        <is>
          <t>Mi</t>
        </is>
      </c>
      <c r="Q7" s="400" t="inlineStr">
        <is>
          <t>Do</t>
        </is>
      </c>
      <c r="R7" s="400" t="inlineStr">
        <is>
          <t>Fr</t>
        </is>
      </c>
      <c r="S7" s="401" t="inlineStr">
        <is>
          <t>Sa</t>
        </is>
      </c>
      <c r="T7" s="401" t="inlineStr">
        <is>
          <t>So</t>
        </is>
      </c>
      <c r="U7" s="400" t="inlineStr">
        <is>
          <t>Mo</t>
        </is>
      </c>
      <c r="V7" s="400" t="inlineStr">
        <is>
          <t>Di</t>
        </is>
      </c>
      <c r="W7" s="400" t="inlineStr">
        <is>
          <t>Mi</t>
        </is>
      </c>
      <c r="X7" s="400" t="inlineStr">
        <is>
          <t>Do</t>
        </is>
      </c>
      <c r="Y7" s="400" t="inlineStr">
        <is>
          <t>Fr</t>
        </is>
      </c>
      <c r="Z7" s="401" t="inlineStr">
        <is>
          <t>Sa</t>
        </is>
      </c>
      <c r="AA7" s="401" t="inlineStr">
        <is>
          <t>So</t>
        </is>
      </c>
      <c r="AB7" s="400" t="inlineStr">
        <is>
          <t>Mo</t>
        </is>
      </c>
      <c r="AC7" s="400" t="inlineStr">
        <is>
          <t>Di</t>
        </is>
      </c>
      <c r="AD7" s="400" t="inlineStr">
        <is>
          <t>Mi</t>
        </is>
      </c>
      <c r="AE7" s="400" t="inlineStr">
        <is>
          <t>Do</t>
        </is>
      </c>
      <c r="AF7" s="400" t="inlineStr">
        <is>
          <t>Fr</t>
        </is>
      </c>
      <c r="AG7" s="401" t="inlineStr">
        <is>
          <t>Sa</t>
        </is>
      </c>
      <c r="AH7" s="401" t="inlineStr">
        <is>
          <t>So</t>
        </is>
      </c>
      <c r="AI7" s="400" t="inlineStr">
        <is>
          <t>Mo</t>
        </is>
      </c>
      <c r="AJ7" s="400" t="inlineStr">
        <is>
          <t>Di</t>
        </is>
      </c>
      <c r="AK7" s="400" t="inlineStr">
        <is>
          <t>Mi</t>
        </is>
      </c>
      <c r="AL7" s="400" t="inlineStr">
        <is>
          <t>Do</t>
        </is>
      </c>
      <c r="AM7" s="400" t="inlineStr">
        <is>
          <t>Fr</t>
        </is>
      </c>
      <c r="AN7" s="401" t="inlineStr">
        <is>
          <t>Sa</t>
        </is>
      </c>
      <c r="AO7" s="401" t="inlineStr">
        <is>
          <t>So</t>
        </is>
      </c>
      <c r="AP7" s="400" t="inlineStr">
        <is>
          <t>Mo</t>
        </is>
      </c>
      <c r="AQ7" s="400" t="inlineStr">
        <is>
          <t>Di</t>
        </is>
      </c>
      <c r="AR7" s="400" t="inlineStr">
        <is>
          <t>Mi</t>
        </is>
      </c>
      <c r="AS7" s="400" t="inlineStr">
        <is>
          <t>Do</t>
        </is>
      </c>
      <c r="AT7" s="400" t="inlineStr">
        <is>
          <t>Fr</t>
        </is>
      </c>
      <c r="AU7" s="401" t="inlineStr">
        <is>
          <t>Sa</t>
        </is>
      </c>
      <c r="AV7" s="401" t="inlineStr">
        <is>
          <t>So</t>
        </is>
      </c>
      <c r="AW7" s="400" t="inlineStr">
        <is>
          <t>Mo</t>
        </is>
      </c>
      <c r="AX7" s="400" t="inlineStr">
        <is>
          <t>Di</t>
        </is>
      </c>
      <c r="AY7" s="400" t="inlineStr">
        <is>
          <t>Mi</t>
        </is>
      </c>
      <c r="AZ7" s="400" t="inlineStr">
        <is>
          <t>Do</t>
        </is>
      </c>
      <c r="BA7" s="400" t="inlineStr">
        <is>
          <t>Fr</t>
        </is>
      </c>
      <c r="BB7" s="401" t="inlineStr">
        <is>
          <t>Sa</t>
        </is>
      </c>
      <c r="BC7" s="401" t="inlineStr">
        <is>
          <t>So</t>
        </is>
      </c>
      <c r="BD7" s="400" t="inlineStr">
        <is>
          <t>Mo</t>
        </is>
      </c>
      <c r="BE7" s="400" t="inlineStr">
        <is>
          <t>Di</t>
        </is>
      </c>
      <c r="BF7" s="400" t="inlineStr">
        <is>
          <t>Mi</t>
        </is>
      </c>
      <c r="BG7" s="400" t="inlineStr">
        <is>
          <t>Do</t>
        </is>
      </c>
      <c r="BH7" s="400" t="inlineStr">
        <is>
          <t>Fr</t>
        </is>
      </c>
      <c r="BI7" s="401" t="inlineStr">
        <is>
          <t>Sa</t>
        </is>
      </c>
      <c r="BJ7" s="401" t="inlineStr">
        <is>
          <t>So</t>
        </is>
      </c>
      <c r="BK7" s="400" t="inlineStr">
        <is>
          <t>Mo</t>
        </is>
      </c>
      <c r="BL7" s="400" t="inlineStr">
        <is>
          <t>Di</t>
        </is>
      </c>
      <c r="BM7" s="400" t="inlineStr">
        <is>
          <t>Mi</t>
        </is>
      </c>
      <c r="BN7" s="400" t="inlineStr">
        <is>
          <t>Do</t>
        </is>
      </c>
      <c r="BO7" s="400" t="inlineStr">
        <is>
          <t>Fr</t>
        </is>
      </c>
      <c r="BP7" s="401" t="inlineStr">
        <is>
          <t>Sa</t>
        </is>
      </c>
      <c r="BQ7" s="401" t="inlineStr">
        <is>
          <t>So</t>
        </is>
      </c>
      <c r="BR7" s="400" t="inlineStr">
        <is>
          <t>Mo</t>
        </is>
      </c>
      <c r="BS7" s="400" t="inlineStr">
        <is>
          <t>Di</t>
        </is>
      </c>
      <c r="BT7" s="400" t="inlineStr">
        <is>
          <t>Mi</t>
        </is>
      </c>
      <c r="BU7" s="400" t="inlineStr">
        <is>
          <t>Do</t>
        </is>
      </c>
      <c r="BV7" s="400" t="inlineStr">
        <is>
          <t>Fr</t>
        </is>
      </c>
      <c r="BW7" s="401" t="inlineStr">
        <is>
          <t>Sa</t>
        </is>
      </c>
      <c r="BX7" s="401" t="inlineStr">
        <is>
          <t>So</t>
        </is>
      </c>
      <c r="BY7" s="400" t="inlineStr">
        <is>
          <t>Mo</t>
        </is>
      </c>
      <c r="BZ7" s="400" t="inlineStr">
        <is>
          <t>Di</t>
        </is>
      </c>
      <c r="CA7" s="400" t="inlineStr">
        <is>
          <t>Mi</t>
        </is>
      </c>
      <c r="CB7" s="400" t="inlineStr">
        <is>
          <t>Do</t>
        </is>
      </c>
      <c r="CC7" s="400" t="inlineStr">
        <is>
          <t>Fr</t>
        </is>
      </c>
      <c r="CD7" s="401" t="inlineStr">
        <is>
          <t>Sa</t>
        </is>
      </c>
      <c r="CE7" s="401" t="inlineStr">
        <is>
          <t>So</t>
        </is>
      </c>
      <c r="CF7" s="400" t="inlineStr">
        <is>
          <t>Mo</t>
        </is>
      </c>
      <c r="CG7" s="400" t="inlineStr">
        <is>
          <t>Di</t>
        </is>
      </c>
      <c r="CH7" s="400" t="inlineStr">
        <is>
          <t>Mi</t>
        </is>
      </c>
      <c r="CI7" s="400" t="inlineStr">
        <is>
          <t>Do</t>
        </is>
      </c>
      <c r="CJ7" s="400" t="inlineStr">
        <is>
          <t>Fr</t>
        </is>
      </c>
      <c r="CK7" s="401" t="inlineStr">
        <is>
          <t>Sa</t>
        </is>
      </c>
      <c r="CL7" s="401" t="inlineStr">
        <is>
          <t>So</t>
        </is>
      </c>
      <c r="CM7" s="400" t="inlineStr">
        <is>
          <t>Mo</t>
        </is>
      </c>
      <c r="CN7" s="400" t="inlineStr">
        <is>
          <t>Di</t>
        </is>
      </c>
      <c r="CO7" s="400" t="inlineStr">
        <is>
          <t>Mi</t>
        </is>
      </c>
      <c r="CP7" s="400" t="inlineStr">
        <is>
          <t>Do</t>
        </is>
      </c>
      <c r="CQ7" s="400" t="inlineStr">
        <is>
          <t>Fr</t>
        </is>
      </c>
      <c r="CR7" s="401" t="inlineStr">
        <is>
          <t>Sa</t>
        </is>
      </c>
      <c r="CS7" s="401" t="inlineStr">
        <is>
          <t>So</t>
        </is>
      </c>
      <c r="CT7" s="400" t="inlineStr">
        <is>
          <t>Mo</t>
        </is>
      </c>
      <c r="CU7" s="400" t="inlineStr">
        <is>
          <t>Di</t>
        </is>
      </c>
      <c r="CV7" s="400" t="inlineStr">
        <is>
          <t>Mi</t>
        </is>
      </c>
      <c r="CW7" s="400" t="inlineStr">
        <is>
          <t>Do</t>
        </is>
      </c>
      <c r="CX7" s="400" t="inlineStr">
        <is>
          <t>Fr</t>
        </is>
      </c>
      <c r="CY7" s="401" t="inlineStr">
        <is>
          <t>Sa</t>
        </is>
      </c>
      <c r="CZ7" s="401" t="inlineStr">
        <is>
          <t>So</t>
        </is>
      </c>
      <c r="DA7" s="400" t="inlineStr">
        <is>
          <t>Mo</t>
        </is>
      </c>
      <c r="DB7" s="400" t="inlineStr">
        <is>
          <t>Di</t>
        </is>
      </c>
      <c r="DC7" s="400" t="inlineStr">
        <is>
          <t>Mi</t>
        </is>
      </c>
      <c r="DD7" s="400" t="inlineStr">
        <is>
          <t>Do</t>
        </is>
      </c>
      <c r="DE7" s="400" t="inlineStr">
        <is>
          <t>Fr</t>
        </is>
      </c>
      <c r="DF7" s="401" t="inlineStr">
        <is>
          <t>Sa</t>
        </is>
      </c>
      <c r="DG7" s="401" t="inlineStr">
        <is>
          <t>So</t>
        </is>
      </c>
      <c r="DH7" s="400" t="inlineStr">
        <is>
          <t>Mo</t>
        </is>
      </c>
      <c r="DI7" s="400" t="inlineStr">
        <is>
          <t>Di</t>
        </is>
      </c>
      <c r="DJ7" s="400" t="inlineStr">
        <is>
          <t>Mi</t>
        </is>
      </c>
      <c r="DK7" s="400" t="inlineStr">
        <is>
          <t>Do</t>
        </is>
      </c>
      <c r="DL7" s="400" t="inlineStr">
        <is>
          <t>Fr</t>
        </is>
      </c>
      <c r="DM7" s="401" t="inlineStr">
        <is>
          <t>Sa</t>
        </is>
      </c>
      <c r="DN7" s="401" t="inlineStr">
        <is>
          <t>So</t>
        </is>
      </c>
      <c r="DO7" s="400" t="inlineStr">
        <is>
          <t>Mo</t>
        </is>
      </c>
      <c r="DP7" s="400" t="inlineStr">
        <is>
          <t>Di</t>
        </is>
      </c>
      <c r="DQ7" s="400" t="inlineStr">
        <is>
          <t>Mi</t>
        </is>
      </c>
      <c r="DR7" s="400" t="inlineStr">
        <is>
          <t>Do</t>
        </is>
      </c>
      <c r="DS7" s="400" t="inlineStr">
        <is>
          <t>Fr</t>
        </is>
      </c>
      <c r="DT7" s="401" t="inlineStr">
        <is>
          <t>Sa</t>
        </is>
      </c>
      <c r="DU7" s="401" t="inlineStr">
        <is>
          <t>So</t>
        </is>
      </c>
      <c r="DV7" s="400" t="inlineStr">
        <is>
          <t>Mo</t>
        </is>
      </c>
      <c r="DW7" s="400" t="inlineStr">
        <is>
          <t>Di</t>
        </is>
      </c>
      <c r="DX7" s="400" t="inlineStr">
        <is>
          <t>Mi</t>
        </is>
      </c>
      <c r="DY7" s="400" t="inlineStr">
        <is>
          <t>Do</t>
        </is>
      </c>
      <c r="DZ7" s="400" t="inlineStr">
        <is>
          <t>Fr</t>
        </is>
      </c>
      <c r="EA7" s="401" t="inlineStr">
        <is>
          <t>Sa</t>
        </is>
      </c>
      <c r="EB7" s="401" t="inlineStr">
        <is>
          <t>So</t>
        </is>
      </c>
      <c r="EC7" s="400" t="inlineStr">
        <is>
          <t>Mo</t>
        </is>
      </c>
      <c r="ED7" s="400" t="inlineStr">
        <is>
          <t>Di</t>
        </is>
      </c>
      <c r="EE7" s="400" t="inlineStr">
        <is>
          <t>Mi</t>
        </is>
      </c>
      <c r="EF7" s="400" t="inlineStr">
        <is>
          <t>Do</t>
        </is>
      </c>
      <c r="EG7" s="400" t="inlineStr">
        <is>
          <t>Fr</t>
        </is>
      </c>
      <c r="EH7" s="401" t="inlineStr">
        <is>
          <t>Sa</t>
        </is>
      </c>
      <c r="EI7" s="401" t="inlineStr">
        <is>
          <t>So</t>
        </is>
      </c>
      <c r="EJ7" s="400" t="inlineStr">
        <is>
          <t>Mo</t>
        </is>
      </c>
      <c r="EK7" s="400" t="inlineStr">
        <is>
          <t>Di</t>
        </is>
      </c>
      <c r="EL7" s="400" t="inlineStr">
        <is>
          <t>Mi</t>
        </is>
      </c>
      <c r="EM7" s="400" t="inlineStr">
        <is>
          <t>Do</t>
        </is>
      </c>
      <c r="EN7" s="400" t="inlineStr">
        <is>
          <t>Fr</t>
        </is>
      </c>
      <c r="EO7" s="401" t="inlineStr">
        <is>
          <t>Sa</t>
        </is>
      </c>
      <c r="EP7" s="401" t="inlineStr">
        <is>
          <t>So</t>
        </is>
      </c>
      <c r="EQ7" s="400" t="inlineStr">
        <is>
          <t>Mo</t>
        </is>
      </c>
      <c r="ER7" s="400" t="inlineStr">
        <is>
          <t>Di</t>
        </is>
      </c>
      <c r="ES7" s="400" t="inlineStr">
        <is>
          <t>Mi</t>
        </is>
      </c>
      <c r="ET7" s="400" t="inlineStr">
        <is>
          <t>Do</t>
        </is>
      </c>
      <c r="EU7" s="400" t="inlineStr">
        <is>
          <t>Fr</t>
        </is>
      </c>
      <c r="EV7" s="401" t="inlineStr">
        <is>
          <t>Sa</t>
        </is>
      </c>
      <c r="EW7" s="401" t="inlineStr">
        <is>
          <t>So</t>
        </is>
      </c>
      <c r="EX7" s="400" t="inlineStr">
        <is>
          <t>Mo</t>
        </is>
      </c>
      <c r="EY7" s="400" t="inlineStr">
        <is>
          <t>Di</t>
        </is>
      </c>
      <c r="EZ7" s="400" t="inlineStr">
        <is>
          <t>Mi</t>
        </is>
      </c>
      <c r="FA7" s="400" t="inlineStr">
        <is>
          <t>Do</t>
        </is>
      </c>
      <c r="FB7" s="400" t="inlineStr">
        <is>
          <t>Fr</t>
        </is>
      </c>
      <c r="FC7" s="401" t="inlineStr">
        <is>
          <t>Sa</t>
        </is>
      </c>
      <c r="FD7" s="401" t="inlineStr">
        <is>
          <t>So</t>
        </is>
      </c>
      <c r="FE7" s="400" t="inlineStr">
        <is>
          <t>Mo</t>
        </is>
      </c>
      <c r="FF7" s="400" t="inlineStr">
        <is>
          <t>Di</t>
        </is>
      </c>
      <c r="FG7" s="400" t="inlineStr">
        <is>
          <t>Mi</t>
        </is>
      </c>
      <c r="FH7" s="400" t="inlineStr">
        <is>
          <t>Do</t>
        </is>
      </c>
      <c r="FI7" s="400" t="inlineStr">
        <is>
          <t>Fr</t>
        </is>
      </c>
      <c r="FJ7" s="401" t="inlineStr">
        <is>
          <t>Sa</t>
        </is>
      </c>
      <c r="FK7" s="401" t="inlineStr">
        <is>
          <t>So</t>
        </is>
      </c>
      <c r="FL7" s="400" t="inlineStr">
        <is>
          <t>Mo</t>
        </is>
      </c>
      <c r="FM7" s="400" t="inlineStr">
        <is>
          <t>Di</t>
        </is>
      </c>
      <c r="FN7" s="400" t="inlineStr">
        <is>
          <t>Mi</t>
        </is>
      </c>
      <c r="FO7" s="400" t="inlineStr">
        <is>
          <t>Do</t>
        </is>
      </c>
      <c r="FP7" s="400" t="inlineStr">
        <is>
          <t>Fr</t>
        </is>
      </c>
      <c r="FQ7" s="401" t="inlineStr">
        <is>
          <t>Sa</t>
        </is>
      </c>
      <c r="FR7" s="401" t="inlineStr">
        <is>
          <t>So</t>
        </is>
      </c>
      <c r="FS7" s="400" t="inlineStr">
        <is>
          <t>Mo</t>
        </is>
      </c>
      <c r="FT7" s="400" t="inlineStr">
        <is>
          <t>Di</t>
        </is>
      </c>
      <c r="FU7" s="400" t="inlineStr">
        <is>
          <t>Mi</t>
        </is>
      </c>
      <c r="FV7" s="400" t="inlineStr">
        <is>
          <t>Do</t>
        </is>
      </c>
      <c r="FW7" s="400" t="inlineStr">
        <is>
          <t>Fr</t>
        </is>
      </c>
      <c r="FX7" s="401" t="inlineStr">
        <is>
          <t>Sa</t>
        </is>
      </c>
      <c r="FY7" s="401" t="inlineStr">
        <is>
          <t>So</t>
        </is>
      </c>
      <c r="FZ7" s="400" t="inlineStr">
        <is>
          <t>Mo</t>
        </is>
      </c>
      <c r="GA7" s="400" t="inlineStr">
        <is>
          <t>Di</t>
        </is>
      </c>
      <c r="GB7" s="400" t="n"/>
      <c r="GC7" s="400" t="n"/>
      <c r="GD7" s="400" t="n"/>
      <c r="GE7" s="400" t="n"/>
      <c r="GF7" s="400" t="n"/>
      <c r="GG7" s="400" t="n"/>
      <c r="GH7" s="400" t="n"/>
      <c r="GI7" s="400" t="n"/>
      <c r="GJ7" s="400" t="n"/>
      <c r="GK7" s="400" t="n"/>
      <c r="GL7" s="400" t="n"/>
      <c r="GM7" s="400" t="n"/>
      <c r="GN7" s="400" t="n"/>
      <c r="GO7" s="400" t="n"/>
      <c r="GP7" s="400" t="n"/>
      <c r="GQ7" s="400" t="n"/>
      <c r="GR7" s="400" t="n"/>
      <c r="GS7" s="400" t="n"/>
      <c r="GT7" s="400" t="n"/>
      <c r="GU7" s="400" t="n"/>
      <c r="GV7" s="400" t="n"/>
      <c r="GW7" s="400" t="n"/>
      <c r="GX7" s="400" t="n"/>
      <c r="GY7" s="400" t="n"/>
      <c r="GZ7" s="400" t="n"/>
      <c r="HA7" s="400" t="n"/>
      <c r="HB7" s="400" t="n"/>
      <c r="HC7" s="400" t="n"/>
      <c r="HD7" s="400" t="n"/>
      <c r="HE7" s="400" t="n"/>
      <c r="HF7" s="400" t="n"/>
      <c r="HG7" s="400" t="n"/>
      <c r="HH7" s="400" t="n"/>
      <c r="HI7" s="400" t="n"/>
      <c r="HJ7" s="400" t="n"/>
      <c r="HK7" s="400" t="n"/>
      <c r="HL7" s="400" t="n"/>
      <c r="HM7" s="400" t="n"/>
      <c r="HN7" s="400" t="n"/>
      <c r="HO7" s="400" t="n"/>
      <c r="HP7" s="400" t="n"/>
      <c r="HQ7" s="400" t="n"/>
      <c r="HR7" s="400" t="n"/>
      <c r="HS7" s="400" t="n"/>
      <c r="HT7" s="400" t="n"/>
      <c r="HU7" s="400" t="n"/>
      <c r="HV7" s="400" t="n"/>
      <c r="HW7" s="400" t="n"/>
      <c r="HX7" s="400" t="n"/>
      <c r="HY7" s="400" t="n"/>
      <c r="HZ7" s="400" t="n"/>
      <c r="IA7" s="400" t="n"/>
      <c r="IB7" s="400" t="n"/>
      <c r="IC7" s="400" t="n"/>
      <c r="ID7" s="400" t="n"/>
      <c r="IE7" s="400" t="n"/>
      <c r="IF7" s="400" t="n"/>
      <c r="IG7" s="400" t="n"/>
      <c r="IH7" s="400" t="n"/>
      <c r="II7" s="400" t="n"/>
      <c r="IJ7" s="400" t="n"/>
      <c r="IK7" s="400" t="n"/>
      <c r="IL7" s="400" t="n"/>
      <c r="IM7" s="400" t="n"/>
      <c r="IN7" s="400" t="n"/>
      <c r="IO7" s="400" t="n"/>
      <c r="IP7" s="400" t="n"/>
      <c r="IQ7" s="400" t="n"/>
      <c r="IR7" s="400" t="n"/>
      <c r="IS7" s="400" t="n"/>
      <c r="IT7" s="400" t="n"/>
      <c r="IU7" s="400" t="n"/>
      <c r="IV7" s="400" t="n"/>
      <c r="IW7" s="400" t="n"/>
      <c r="IX7" s="400" t="n"/>
      <c r="IY7" s="400" t="n"/>
      <c r="IZ7" s="400" t="n"/>
      <c r="JA7" s="400" t="n"/>
      <c r="JB7" s="400" t="n"/>
      <c r="JC7" s="400" t="n"/>
      <c r="JD7" s="400" t="n"/>
      <c r="JE7" s="400" t="n"/>
      <c r="JF7" s="400" t="n"/>
      <c r="JG7" s="400" t="n"/>
      <c r="JH7" s="400" t="n"/>
      <c r="JI7" s="400" t="n"/>
      <c r="JJ7" s="400" t="n"/>
      <c r="JK7" s="400" t="n"/>
      <c r="JL7" s="400" t="n"/>
      <c r="JM7" s="400" t="n"/>
      <c r="JN7" s="400" t="n"/>
      <c r="JO7" s="400" t="n"/>
      <c r="JP7" s="400" t="n"/>
      <c r="JQ7" s="400" t="n"/>
      <c r="JR7" s="400" t="n"/>
      <c r="JS7" s="400" t="n"/>
      <c r="JT7" s="400" t="n"/>
      <c r="JU7" s="400" t="n"/>
      <c r="JV7" s="400" t="n"/>
      <c r="JW7" s="400" t="n"/>
      <c r="JX7" s="400" t="n"/>
      <c r="JY7" s="400" t="n"/>
      <c r="JZ7" s="400" t="n"/>
      <c r="KA7" s="400" t="n"/>
      <c r="KB7" s="400" t="n"/>
      <c r="KC7" s="400" t="n"/>
      <c r="KD7" s="400" t="n"/>
      <c r="KE7" s="400" t="n"/>
      <c r="KF7" s="400" t="n"/>
      <c r="KG7" s="400" t="n"/>
      <c r="KH7" s="400" t="n"/>
      <c r="KI7" s="400" t="n"/>
      <c r="KJ7" s="400" t="n"/>
      <c r="KK7" s="400" t="n"/>
      <c r="KL7" s="400" t="n"/>
      <c r="KM7" s="400" t="n"/>
      <c r="KN7" s="400" t="n"/>
      <c r="KO7" s="400" t="n"/>
      <c r="KP7" s="400" t="n"/>
    </row>
    <row r="8" ht="26" customHeight="1" thickBot="1">
      <c r="B8" s="402" t="inlineStr">
        <is>
          <t>Breig</t>
        </is>
      </c>
      <c r="C8" s="403" t="n"/>
      <c r="D8" s="404" t="inlineStr">
        <is>
          <t>U    alt</t>
        </is>
      </c>
      <c r="E8" s="405" t="n"/>
      <c r="F8" s="405" t="n"/>
      <c r="G8" s="404" t="inlineStr">
        <is>
          <t>U    alt</t>
        </is>
      </c>
      <c r="H8" s="406" t="n"/>
      <c r="I8" s="407" t="inlineStr">
        <is>
          <t>NI</t>
        </is>
      </c>
      <c r="J8" s="407" t="inlineStr">
        <is>
          <t>NI</t>
        </is>
      </c>
      <c r="K8" s="408" t="inlineStr">
        <is>
          <t>GT</t>
        </is>
      </c>
      <c r="L8" s="405" t="n"/>
      <c r="M8" s="405" t="n"/>
      <c r="N8" s="409" t="inlineStr">
        <is>
          <t>SI</t>
        </is>
      </c>
      <c r="O8" s="409" t="inlineStr">
        <is>
          <t>SI</t>
        </is>
      </c>
      <c r="P8" s="409" t="inlineStr">
        <is>
          <t>SI</t>
        </is>
      </c>
      <c r="Q8" s="409" t="inlineStr">
        <is>
          <t>SI</t>
        </is>
      </c>
      <c r="R8" s="409" t="inlineStr">
        <is>
          <t>SI</t>
        </is>
      </c>
      <c r="S8" s="405" t="n"/>
      <c r="T8" s="405" t="n"/>
      <c r="U8" s="410" t="inlineStr">
        <is>
          <t>FII</t>
        </is>
      </c>
      <c r="V8" s="410" t="inlineStr">
        <is>
          <t>FII</t>
        </is>
      </c>
      <c r="W8" s="410" t="inlineStr">
        <is>
          <t>FII</t>
        </is>
      </c>
      <c r="X8" s="410" t="inlineStr">
        <is>
          <t>FII</t>
        </is>
      </c>
      <c r="Y8" s="410" t="inlineStr">
        <is>
          <t>FII</t>
        </is>
      </c>
      <c r="Z8" s="405" t="n"/>
      <c r="AA8" s="405" t="n"/>
      <c r="AB8" s="411" t="inlineStr">
        <is>
          <t>KU</t>
        </is>
      </c>
      <c r="AC8" s="410" t="inlineStr">
        <is>
          <t>FII</t>
        </is>
      </c>
      <c r="AD8" s="412" t="inlineStr">
        <is>
          <t>DI</t>
        </is>
      </c>
      <c r="AE8" s="411" t="inlineStr">
        <is>
          <t>KU</t>
        </is>
      </c>
      <c r="AF8" s="412" t="inlineStr">
        <is>
          <t>DI</t>
        </is>
      </c>
      <c r="AG8" s="405" t="n"/>
      <c r="AH8" s="407" t="inlineStr">
        <is>
          <t>NI</t>
        </is>
      </c>
      <c r="AI8" s="407" t="inlineStr">
        <is>
          <t>NI</t>
        </is>
      </c>
      <c r="AJ8" s="407" t="inlineStr">
        <is>
          <t>NI</t>
        </is>
      </c>
      <c r="AK8" s="407" t="inlineStr">
        <is>
          <t>NI</t>
        </is>
      </c>
      <c r="AL8" s="407" t="inlineStr">
        <is>
          <t>NI</t>
        </is>
      </c>
      <c r="AM8" s="413" t="inlineStr">
        <is>
          <t>NST</t>
        </is>
      </c>
      <c r="AN8" s="405" t="n"/>
      <c r="AO8" s="405" t="n"/>
      <c r="AP8" s="409" t="inlineStr">
        <is>
          <t>SI</t>
        </is>
      </c>
      <c r="AQ8" s="409" t="inlineStr">
        <is>
          <t>SI</t>
        </is>
      </c>
      <c r="AR8" s="409" t="inlineStr">
        <is>
          <t>SI</t>
        </is>
      </c>
      <c r="AS8" s="409" t="inlineStr">
        <is>
          <t>SI</t>
        </is>
      </c>
      <c r="AT8" s="409" t="inlineStr">
        <is>
          <t>SI</t>
        </is>
      </c>
      <c r="AU8" s="405" t="n"/>
      <c r="AV8" s="405" t="n"/>
      <c r="AW8" s="410" t="inlineStr">
        <is>
          <t>FII</t>
        </is>
      </c>
      <c r="AX8" s="410" t="inlineStr">
        <is>
          <t>FII</t>
        </is>
      </c>
      <c r="AY8" s="414" t="inlineStr">
        <is>
          <t>EH</t>
        </is>
      </c>
      <c r="AZ8" s="412" t="inlineStr">
        <is>
          <t>DI</t>
        </is>
      </c>
      <c r="BA8" s="415" t="inlineStr">
        <is>
          <t>FI</t>
        </is>
      </c>
      <c r="BB8" s="405" t="n"/>
      <c r="BC8" s="405" t="n"/>
      <c r="BD8" s="415" t="inlineStr">
        <is>
          <t>FI</t>
        </is>
      </c>
      <c r="BE8" s="415" t="inlineStr">
        <is>
          <t>FI</t>
        </is>
      </c>
      <c r="BF8" s="415" t="inlineStr">
        <is>
          <t>FI</t>
        </is>
      </c>
      <c r="BG8" s="415" t="inlineStr">
        <is>
          <t>FI</t>
        </is>
      </c>
      <c r="BH8" s="415" t="inlineStr">
        <is>
          <t>FI</t>
        </is>
      </c>
      <c r="BI8" s="405" t="n"/>
      <c r="BJ8" s="405" t="n"/>
      <c r="BK8" s="412" t="inlineStr">
        <is>
          <t>DI</t>
        </is>
      </c>
      <c r="BL8" s="412" t="inlineStr">
        <is>
          <t>DI</t>
        </is>
      </c>
      <c r="BM8" s="412" t="inlineStr">
        <is>
          <t>DI</t>
        </is>
      </c>
      <c r="BN8" s="412" t="inlineStr">
        <is>
          <t>DI</t>
        </is>
      </c>
      <c r="BO8" s="412" t="inlineStr">
        <is>
          <t>DI</t>
        </is>
      </c>
      <c r="BP8" s="405" t="n"/>
      <c r="BQ8" s="407" t="inlineStr">
        <is>
          <t>NI</t>
        </is>
      </c>
      <c r="BR8" s="407" t="inlineStr">
        <is>
          <t>NI</t>
        </is>
      </c>
      <c r="BS8" s="407" t="inlineStr">
        <is>
          <t>NI</t>
        </is>
      </c>
      <c r="BT8" s="407" t="inlineStr">
        <is>
          <t>NI</t>
        </is>
      </c>
      <c r="BU8" s="407" t="inlineStr">
        <is>
          <t>NI</t>
        </is>
      </c>
      <c r="BV8" s="413" t="inlineStr">
        <is>
          <t>NST</t>
        </is>
      </c>
      <c r="BW8" s="405" t="n"/>
      <c r="BX8" s="405" t="n"/>
      <c r="BY8" s="411" t="inlineStr">
        <is>
          <t>KU</t>
        </is>
      </c>
      <c r="BZ8" s="416" t="inlineStr">
        <is>
          <t>SD</t>
        </is>
      </c>
      <c r="CA8" s="411" t="inlineStr">
        <is>
          <t>KU</t>
        </is>
      </c>
      <c r="CB8" s="417" t="inlineStr">
        <is>
          <t>Fobi</t>
        </is>
      </c>
      <c r="CC8" s="417" t="inlineStr">
        <is>
          <t>Fobi</t>
        </is>
      </c>
      <c r="CD8" s="405" t="n"/>
      <c r="CE8" s="405" t="n"/>
      <c r="CF8" s="415" t="inlineStr">
        <is>
          <t>FI</t>
        </is>
      </c>
      <c r="CG8" s="415" t="inlineStr">
        <is>
          <t>FI</t>
        </is>
      </c>
      <c r="CH8" s="414" t="inlineStr">
        <is>
          <t>EH</t>
        </is>
      </c>
      <c r="CI8" s="415" t="inlineStr">
        <is>
          <t>FI</t>
        </is>
      </c>
      <c r="CJ8" s="415" t="inlineStr">
        <is>
          <t>FI</t>
        </is>
      </c>
      <c r="CK8" s="405" t="n"/>
      <c r="CL8" s="405" t="n"/>
      <c r="CM8" s="411" t="inlineStr">
        <is>
          <t>KU</t>
        </is>
      </c>
      <c r="CN8" s="410" t="inlineStr">
        <is>
          <t>FII</t>
        </is>
      </c>
      <c r="CO8" s="410" t="inlineStr">
        <is>
          <t>FII</t>
        </is>
      </c>
      <c r="CP8" s="411" t="inlineStr">
        <is>
          <t>KU</t>
        </is>
      </c>
      <c r="CQ8" s="418" t="n"/>
      <c r="CR8" s="405" t="n"/>
      <c r="CS8" s="419" t="n"/>
      <c r="CT8" s="419" t="n"/>
      <c r="CU8" s="407" t="inlineStr">
        <is>
          <t>NI</t>
        </is>
      </c>
      <c r="CV8" s="407" t="inlineStr">
        <is>
          <t>NI</t>
        </is>
      </c>
      <c r="CW8" s="407" t="inlineStr">
        <is>
          <t>NI</t>
        </is>
      </c>
      <c r="CX8" s="413" t="inlineStr">
        <is>
          <t>NST</t>
        </is>
      </c>
      <c r="CY8" s="405" t="n"/>
      <c r="CZ8" s="405" t="n"/>
      <c r="DA8" s="409" t="inlineStr">
        <is>
          <t>SI</t>
        </is>
      </c>
      <c r="DB8" s="409" t="inlineStr">
        <is>
          <t>SI</t>
        </is>
      </c>
      <c r="DC8" s="409" t="inlineStr">
        <is>
          <t>SI</t>
        </is>
      </c>
      <c r="DD8" s="409" t="inlineStr">
        <is>
          <t>SI</t>
        </is>
      </c>
      <c r="DE8" s="409" t="inlineStr">
        <is>
          <t>SI</t>
        </is>
      </c>
      <c r="DF8" s="419" t="n"/>
      <c r="DG8" s="405" t="n"/>
      <c r="DH8" s="415" t="inlineStr">
        <is>
          <t>FI</t>
        </is>
      </c>
      <c r="DI8" s="415" t="inlineStr">
        <is>
          <t>FI</t>
        </is>
      </c>
      <c r="DJ8" s="415" t="inlineStr">
        <is>
          <t>FI</t>
        </is>
      </c>
      <c r="DK8" s="415" t="inlineStr">
        <is>
          <t>FI</t>
        </is>
      </c>
      <c r="DL8" s="415" t="inlineStr">
        <is>
          <t>FI</t>
        </is>
      </c>
      <c r="DM8" s="405" t="n"/>
      <c r="DN8" s="405" t="n"/>
      <c r="DO8" s="411" t="inlineStr">
        <is>
          <t>KU</t>
        </is>
      </c>
      <c r="DP8" s="410" t="inlineStr">
        <is>
          <t>FII</t>
        </is>
      </c>
      <c r="DQ8" s="410" t="inlineStr">
        <is>
          <t>FII</t>
        </is>
      </c>
      <c r="DR8" s="411" t="inlineStr">
        <is>
          <t>KU</t>
        </is>
      </c>
      <c r="DS8" s="420" t="n"/>
      <c r="DT8" s="405" t="n"/>
      <c r="DU8" s="405" t="n"/>
      <c r="DV8" s="421" t="n"/>
      <c r="DW8" s="422" t="n"/>
      <c r="DX8" s="422" t="n"/>
      <c r="DY8" s="422" t="n"/>
      <c r="DZ8" s="422" t="n"/>
      <c r="EA8" s="405" t="n"/>
      <c r="EB8" s="405" t="n"/>
      <c r="EC8" s="405" t="n"/>
      <c r="ED8" s="420" t="n"/>
      <c r="EE8" s="420" t="n"/>
      <c r="EF8" s="418" t="n"/>
      <c r="EG8" s="408" t="inlineStr">
        <is>
          <t>GT</t>
        </is>
      </c>
      <c r="EH8" s="405" t="n"/>
      <c r="EI8" s="407" t="inlineStr">
        <is>
          <t>NI</t>
        </is>
      </c>
      <c r="EJ8" s="407" t="inlineStr">
        <is>
          <t>NI</t>
        </is>
      </c>
      <c r="EK8" s="407" t="inlineStr">
        <is>
          <t>NI</t>
        </is>
      </c>
      <c r="EL8" s="407" t="inlineStr">
        <is>
          <t>NI</t>
        </is>
      </c>
      <c r="EM8" s="407" t="inlineStr">
        <is>
          <t>NI</t>
        </is>
      </c>
      <c r="EN8" s="413" t="inlineStr">
        <is>
          <t>NST</t>
        </is>
      </c>
      <c r="EO8" s="405" t="n"/>
      <c r="EP8" s="419" t="n"/>
      <c r="EQ8" s="419" t="n"/>
      <c r="ER8" s="423" t="inlineStr">
        <is>
          <t>U</t>
        </is>
      </c>
      <c r="ES8" s="423" t="inlineStr">
        <is>
          <t>U</t>
        </is>
      </c>
      <c r="ET8" s="423" t="inlineStr">
        <is>
          <t>U</t>
        </is>
      </c>
      <c r="EU8" s="423" t="inlineStr">
        <is>
          <t>U</t>
        </is>
      </c>
      <c r="EV8" s="405" t="n"/>
      <c r="EW8" s="405" t="n"/>
      <c r="EX8" s="423" t="inlineStr">
        <is>
          <t>U</t>
        </is>
      </c>
      <c r="EY8" s="423" t="inlineStr">
        <is>
          <t>U</t>
        </is>
      </c>
      <c r="EZ8" s="423" t="inlineStr">
        <is>
          <t>U</t>
        </is>
      </c>
      <c r="FA8" s="418" t="n"/>
      <c r="FB8" s="423" t="inlineStr">
        <is>
          <t>U</t>
        </is>
      </c>
      <c r="FC8" s="405" t="n"/>
      <c r="FD8" s="405" t="n"/>
      <c r="FE8" s="424" t="n"/>
      <c r="FF8" s="425" t="n"/>
      <c r="FG8" s="425" t="n"/>
      <c r="FH8" s="425" t="n"/>
      <c r="FI8" s="425" t="n"/>
      <c r="FJ8" s="405" t="n"/>
      <c r="FK8" s="405" t="n"/>
      <c r="FL8" s="405" t="n"/>
      <c r="FM8" s="426" t="n"/>
      <c r="FN8" s="426" t="n"/>
      <c r="FO8" s="426" t="n"/>
      <c r="FP8" s="426" t="n"/>
      <c r="FQ8" s="405" t="n"/>
      <c r="FR8" s="405" t="n"/>
      <c r="FS8" s="405" t="n"/>
      <c r="FT8" s="420" t="n"/>
      <c r="FU8" s="427" t="n"/>
      <c r="FV8" s="427" t="n"/>
      <c r="FW8" s="420" t="n"/>
      <c r="FX8" s="405" t="n"/>
      <c r="FY8" s="407" t="inlineStr">
        <is>
          <t>NI</t>
        </is>
      </c>
      <c r="FZ8" s="407" t="inlineStr">
        <is>
          <t>NI</t>
        </is>
      </c>
      <c r="GA8" s="407" t="inlineStr">
        <is>
          <t>NI</t>
        </is>
      </c>
      <c r="GB8" s="428" t="n"/>
      <c r="GC8" s="429" t="n"/>
      <c r="GD8" s="429" t="n"/>
      <c r="GE8" s="429" t="n"/>
      <c r="GF8" s="429" t="n"/>
      <c r="GG8" s="429" t="n"/>
      <c r="GH8" s="429" t="n"/>
      <c r="GI8" s="429" t="n"/>
      <c r="GJ8" s="429" t="n"/>
      <c r="GK8" s="429" t="n"/>
      <c r="GL8" s="429" t="n"/>
      <c r="GM8" s="429" t="n"/>
      <c r="GN8" s="429" t="n"/>
      <c r="GO8" s="429" t="n"/>
      <c r="GP8" s="429" t="n"/>
      <c r="GQ8" s="429" t="n"/>
      <c r="GR8" s="429" t="n"/>
      <c r="GS8" s="429" t="n"/>
      <c r="GT8" s="429" t="n"/>
      <c r="GU8" s="429" t="n"/>
      <c r="GV8" s="429" t="n"/>
      <c r="GW8" s="429" t="n"/>
      <c r="GX8" s="429" t="n"/>
      <c r="GY8" s="429" t="n"/>
      <c r="GZ8" s="429" t="n"/>
      <c r="HA8" s="429" t="n"/>
      <c r="HB8" s="429" t="n"/>
      <c r="HC8" s="429" t="n"/>
      <c r="HD8" s="429" t="n"/>
      <c r="HE8" s="429" t="n"/>
      <c r="HF8" s="429" t="n"/>
      <c r="HG8" s="429" t="n"/>
      <c r="HH8" s="429" t="n"/>
      <c r="HI8" s="429" t="n"/>
      <c r="HJ8" s="429" t="n"/>
      <c r="HK8" s="429" t="n"/>
      <c r="HL8" s="429" t="n"/>
      <c r="HM8" s="429" t="n"/>
      <c r="HN8" s="429" t="n"/>
      <c r="HO8" s="429" t="n"/>
      <c r="HP8" s="429" t="n"/>
      <c r="HQ8" s="429" t="n"/>
      <c r="HR8" s="429" t="n"/>
      <c r="HS8" s="429" t="n"/>
      <c r="HT8" s="429" t="n"/>
      <c r="HU8" s="429" t="n"/>
      <c r="HV8" s="429" t="n"/>
      <c r="HW8" s="429" t="n"/>
      <c r="HX8" s="429" t="n"/>
      <c r="HY8" s="429" t="n"/>
      <c r="HZ8" s="429" t="n"/>
      <c r="IA8" s="429" t="n"/>
      <c r="IB8" s="429" t="n"/>
      <c r="IC8" s="429" t="n"/>
      <c r="ID8" s="429" t="n"/>
      <c r="IE8" s="429" t="n"/>
      <c r="IF8" s="429" t="n"/>
      <c r="IG8" s="429" t="n"/>
      <c r="IH8" s="429" t="n"/>
      <c r="II8" s="429" t="n"/>
      <c r="IJ8" s="429" t="n"/>
      <c r="IK8" s="429" t="n"/>
      <c r="IL8" s="429" t="n"/>
      <c r="IM8" s="429" t="n"/>
      <c r="IN8" s="429" t="n"/>
      <c r="IO8" s="429" t="n"/>
      <c r="IP8" s="429" t="n"/>
      <c r="IQ8" s="429" t="n"/>
      <c r="IR8" s="429" t="n"/>
      <c r="IS8" s="429" t="n"/>
      <c r="IT8" s="429" t="n"/>
      <c r="IU8" s="429" t="n"/>
      <c r="IV8" s="429" t="n"/>
      <c r="IW8" s="429" t="n"/>
      <c r="IX8" s="429" t="n"/>
      <c r="IY8" s="429" t="n"/>
      <c r="IZ8" s="429" t="n"/>
      <c r="JA8" s="429" t="n"/>
      <c r="JB8" s="429" t="n"/>
      <c r="JC8" s="429" t="n"/>
      <c r="JD8" s="429" t="n"/>
      <c r="JE8" s="429" t="n"/>
      <c r="JF8" s="429" t="n"/>
      <c r="JG8" s="429" t="n"/>
      <c r="JH8" s="429" t="n"/>
      <c r="JI8" s="429" t="n"/>
      <c r="JJ8" s="429" t="n"/>
      <c r="JK8" s="429" t="n"/>
      <c r="JL8" s="429" t="n"/>
      <c r="JM8" s="429" t="n"/>
      <c r="JN8" s="429" t="n"/>
      <c r="JO8" s="429" t="n"/>
      <c r="JP8" s="429" t="n"/>
      <c r="JQ8" s="429" t="n"/>
      <c r="JR8" s="429" t="n"/>
      <c r="JS8" s="429" t="n"/>
      <c r="JT8" s="429" t="n"/>
      <c r="JU8" s="429" t="n"/>
      <c r="JV8" s="429" t="n"/>
      <c r="JW8" s="429" t="n"/>
      <c r="JX8" s="429" t="n"/>
      <c r="JY8" s="429" t="n"/>
      <c r="JZ8" s="429" t="n"/>
      <c r="KA8" s="429" t="n"/>
      <c r="KB8" s="429" t="n"/>
      <c r="KC8" s="429" t="n"/>
      <c r="KD8" s="429" t="n"/>
      <c r="KE8" s="429" t="n"/>
      <c r="KF8" s="429" t="n"/>
      <c r="KG8" s="429" t="n"/>
      <c r="KH8" s="429" t="n"/>
      <c r="KI8" s="429" t="n"/>
      <c r="KJ8" s="429" t="n"/>
      <c r="KK8" s="429" t="n"/>
      <c r="KL8" s="429" t="n"/>
      <c r="KM8" s="429" t="n"/>
      <c r="KN8" s="429" t="n"/>
      <c r="KO8" s="429" t="n"/>
      <c r="KP8" s="429" t="n"/>
    </row>
    <row r="9" ht="26" customHeight="1" thickBot="1">
      <c r="B9" s="402" t="inlineStr">
        <is>
          <t>Siebert</t>
        </is>
      </c>
      <c r="C9" s="429" t="n"/>
      <c r="D9" s="404" t="inlineStr">
        <is>
          <t>U    alt</t>
        </is>
      </c>
      <c r="E9" s="405" t="n"/>
      <c r="F9" s="405" t="n"/>
      <c r="G9" s="413" t="inlineStr">
        <is>
          <t>NST</t>
        </is>
      </c>
      <c r="H9" s="429" t="n"/>
      <c r="I9" s="410" t="inlineStr">
        <is>
          <t>FII</t>
        </is>
      </c>
      <c r="J9" s="410" t="inlineStr">
        <is>
          <t>FII</t>
        </is>
      </c>
      <c r="K9" s="410" t="inlineStr">
        <is>
          <t>FII</t>
        </is>
      </c>
      <c r="L9" s="415" t="inlineStr">
        <is>
          <t>FI</t>
        </is>
      </c>
      <c r="M9" s="407" t="inlineStr">
        <is>
          <t>NI</t>
        </is>
      </c>
      <c r="N9" s="407" t="inlineStr">
        <is>
          <t>NI</t>
        </is>
      </c>
      <c r="O9" s="407" t="inlineStr">
        <is>
          <t>NI</t>
        </is>
      </c>
      <c r="P9" s="407" t="inlineStr">
        <is>
          <t>NI</t>
        </is>
      </c>
      <c r="Q9" s="407" t="inlineStr">
        <is>
          <t>NI</t>
        </is>
      </c>
      <c r="R9" s="413" t="inlineStr">
        <is>
          <t>NST</t>
        </is>
      </c>
      <c r="S9" s="405" t="n"/>
      <c r="T9" s="405" t="n"/>
      <c r="U9" s="409" t="inlineStr">
        <is>
          <t>SI</t>
        </is>
      </c>
      <c r="V9" s="409" t="inlineStr">
        <is>
          <t>SI</t>
        </is>
      </c>
      <c r="W9" s="409" t="inlineStr">
        <is>
          <t>SI</t>
        </is>
      </c>
      <c r="X9" s="409" t="inlineStr">
        <is>
          <t>SI</t>
        </is>
      </c>
      <c r="Y9" s="409" t="inlineStr">
        <is>
          <t>SI</t>
        </is>
      </c>
      <c r="Z9" s="405" t="n"/>
      <c r="AA9" s="405" t="n"/>
      <c r="AB9" s="415" t="inlineStr">
        <is>
          <t>FI</t>
        </is>
      </c>
      <c r="AC9" s="415" t="inlineStr">
        <is>
          <t>FI</t>
        </is>
      </c>
      <c r="AD9" s="415" t="inlineStr">
        <is>
          <t>FI</t>
        </is>
      </c>
      <c r="AE9" s="415" t="inlineStr">
        <is>
          <t>FI</t>
        </is>
      </c>
      <c r="AF9" s="415" t="inlineStr">
        <is>
          <t>FI</t>
        </is>
      </c>
      <c r="AG9" s="405" t="n"/>
      <c r="AH9" s="405" t="n"/>
      <c r="AI9" s="411" t="inlineStr">
        <is>
          <t>KU</t>
        </is>
      </c>
      <c r="AJ9" s="410" t="inlineStr">
        <is>
          <t>FII</t>
        </is>
      </c>
      <c r="AK9" s="414" t="inlineStr">
        <is>
          <t>EH</t>
        </is>
      </c>
      <c r="AL9" s="411" t="inlineStr">
        <is>
          <t>KU</t>
        </is>
      </c>
      <c r="AM9" s="415" t="inlineStr">
        <is>
          <t>FI</t>
        </is>
      </c>
      <c r="AN9" s="405" t="n"/>
      <c r="AO9" s="407" t="inlineStr">
        <is>
          <t>NI</t>
        </is>
      </c>
      <c r="AP9" s="407" t="inlineStr">
        <is>
          <t>NI</t>
        </is>
      </c>
      <c r="AQ9" s="407" t="inlineStr">
        <is>
          <t>NI</t>
        </is>
      </c>
      <c r="AR9" s="407" t="inlineStr">
        <is>
          <t>NI</t>
        </is>
      </c>
      <c r="AS9" s="407" t="inlineStr">
        <is>
          <t>NI</t>
        </is>
      </c>
      <c r="AT9" s="413" t="inlineStr">
        <is>
          <t>NST</t>
        </is>
      </c>
      <c r="AU9" s="405" t="n"/>
      <c r="AV9" s="405" t="n"/>
      <c r="AW9" s="409" t="inlineStr">
        <is>
          <t>SI</t>
        </is>
      </c>
      <c r="AX9" s="409" t="inlineStr">
        <is>
          <t>SI</t>
        </is>
      </c>
      <c r="AY9" s="409" t="inlineStr">
        <is>
          <t>SI</t>
        </is>
      </c>
      <c r="AZ9" s="423" t="inlineStr">
        <is>
          <t>T-ZUG</t>
        </is>
      </c>
      <c r="BA9" s="409" t="inlineStr">
        <is>
          <t>SI</t>
        </is>
      </c>
      <c r="BB9" s="405" t="n"/>
      <c r="BC9" s="407" t="inlineStr">
        <is>
          <t>NI</t>
        </is>
      </c>
      <c r="BD9" s="407" t="inlineStr">
        <is>
          <t>NI</t>
        </is>
      </c>
      <c r="BE9" s="407" t="inlineStr">
        <is>
          <t>NI</t>
        </is>
      </c>
      <c r="BF9" s="407" t="inlineStr">
        <is>
          <t>NI</t>
        </is>
      </c>
      <c r="BG9" s="407" t="inlineStr">
        <is>
          <t>NI</t>
        </is>
      </c>
      <c r="BH9" s="407" t="inlineStr">
        <is>
          <t>NI</t>
        </is>
      </c>
      <c r="BI9" s="405" t="n"/>
      <c r="BJ9" s="405" t="n"/>
      <c r="BK9" s="409" t="inlineStr">
        <is>
          <t>SI</t>
        </is>
      </c>
      <c r="BL9" s="409" t="inlineStr">
        <is>
          <t>SI</t>
        </is>
      </c>
      <c r="BM9" s="409" t="inlineStr">
        <is>
          <t>SI</t>
        </is>
      </c>
      <c r="BN9" s="409" t="inlineStr">
        <is>
          <t>SI</t>
        </is>
      </c>
      <c r="BO9" s="409" t="inlineStr">
        <is>
          <t>SI</t>
        </is>
      </c>
      <c r="BP9" s="405" t="n"/>
      <c r="BQ9" s="405" t="n"/>
      <c r="BR9" s="411" t="inlineStr">
        <is>
          <t>KU</t>
        </is>
      </c>
      <c r="BS9" s="410" t="inlineStr">
        <is>
          <t>FII</t>
        </is>
      </c>
      <c r="BT9" s="410" t="inlineStr">
        <is>
          <t>FII</t>
        </is>
      </c>
      <c r="BU9" s="411" t="inlineStr">
        <is>
          <t>KU</t>
        </is>
      </c>
      <c r="BV9" s="416" t="inlineStr">
        <is>
          <t>SD</t>
        </is>
      </c>
      <c r="BW9" s="405" t="n"/>
      <c r="BX9" s="405" t="n"/>
      <c r="BY9" s="412" t="inlineStr">
        <is>
          <t>DI</t>
        </is>
      </c>
      <c r="BZ9" s="412" t="inlineStr">
        <is>
          <t>DI</t>
        </is>
      </c>
      <c r="CA9" s="414" t="inlineStr">
        <is>
          <t>EH</t>
        </is>
      </c>
      <c r="CB9" s="417" t="inlineStr">
        <is>
          <t>Fobi</t>
        </is>
      </c>
      <c r="CC9" s="417" t="inlineStr">
        <is>
          <t>Fobi</t>
        </is>
      </c>
      <c r="CD9" s="405" t="n"/>
      <c r="CE9" s="405" t="n"/>
      <c r="CF9" s="423" t="inlineStr">
        <is>
          <t>U</t>
        </is>
      </c>
      <c r="CG9" s="423" t="inlineStr">
        <is>
          <t>U</t>
        </is>
      </c>
      <c r="CH9" s="423" t="inlineStr">
        <is>
          <t>U</t>
        </is>
      </c>
      <c r="CI9" s="423" t="inlineStr">
        <is>
          <t>U</t>
        </is>
      </c>
      <c r="CJ9" s="423" t="inlineStr">
        <is>
          <t>U</t>
        </is>
      </c>
      <c r="CK9" s="405" t="n"/>
      <c r="CL9" s="405" t="n"/>
      <c r="CM9" s="423" t="inlineStr">
        <is>
          <t>U</t>
        </is>
      </c>
      <c r="CN9" s="423" t="inlineStr">
        <is>
          <t>U</t>
        </is>
      </c>
      <c r="CO9" s="423" t="inlineStr">
        <is>
          <t>U</t>
        </is>
      </c>
      <c r="CP9" s="423" t="inlineStr">
        <is>
          <t>U</t>
        </is>
      </c>
      <c r="CQ9" s="429" t="n"/>
      <c r="CR9" s="405" t="n"/>
      <c r="CS9" s="430" t="n"/>
      <c r="CT9" s="430" t="n"/>
      <c r="CU9" s="423" t="inlineStr">
        <is>
          <t>U</t>
        </is>
      </c>
      <c r="CV9" s="423" t="inlineStr">
        <is>
          <t>U</t>
        </is>
      </c>
      <c r="CW9" s="423" t="inlineStr">
        <is>
          <t>U</t>
        </is>
      </c>
      <c r="CX9" s="423" t="inlineStr">
        <is>
          <t>U</t>
        </is>
      </c>
      <c r="CY9" s="405" t="n"/>
      <c r="CZ9" s="407" t="inlineStr">
        <is>
          <t>NI</t>
        </is>
      </c>
      <c r="DA9" s="407" t="inlineStr">
        <is>
          <t>NI</t>
        </is>
      </c>
      <c r="DB9" s="407" t="inlineStr">
        <is>
          <t>NI</t>
        </is>
      </c>
      <c r="DC9" s="407" t="inlineStr">
        <is>
          <t>NI</t>
        </is>
      </c>
      <c r="DD9" s="407" t="inlineStr">
        <is>
          <t>NI</t>
        </is>
      </c>
      <c r="DE9" s="413" t="inlineStr">
        <is>
          <t>NST</t>
        </is>
      </c>
      <c r="DF9" s="419" t="n"/>
      <c r="DG9" s="405" t="n"/>
      <c r="DH9" s="412" t="inlineStr">
        <is>
          <t>DI</t>
        </is>
      </c>
      <c r="DI9" s="412" t="inlineStr">
        <is>
          <t>DI</t>
        </is>
      </c>
      <c r="DJ9" s="412" t="inlineStr">
        <is>
          <t>DI</t>
        </is>
      </c>
      <c r="DK9" s="423" t="inlineStr">
        <is>
          <t>U</t>
        </is>
      </c>
      <c r="DL9" s="423" t="inlineStr">
        <is>
          <t>U</t>
        </is>
      </c>
      <c r="DM9" s="405" t="n"/>
      <c r="DN9" s="405" t="n"/>
      <c r="DO9" s="415" t="inlineStr">
        <is>
          <t>FI</t>
        </is>
      </c>
      <c r="DP9" s="415" t="inlineStr">
        <is>
          <t>FI</t>
        </is>
      </c>
      <c r="DQ9" s="415" t="inlineStr">
        <is>
          <t>FI</t>
        </is>
      </c>
      <c r="DR9" s="415" t="inlineStr">
        <is>
          <t>FI</t>
        </is>
      </c>
      <c r="DS9" s="429" t="n"/>
      <c r="DT9" s="405" t="n"/>
      <c r="DU9" s="405" t="n"/>
      <c r="DV9" s="405" t="n"/>
      <c r="DW9" s="420" t="n"/>
      <c r="DX9" s="420" t="n"/>
      <c r="DY9" s="420" t="n"/>
      <c r="DZ9" s="420" t="n"/>
      <c r="EA9" s="405" t="n"/>
      <c r="EB9" s="405" t="n"/>
      <c r="EC9" s="405" t="n"/>
      <c r="ED9" s="420" t="n"/>
      <c r="EE9" s="420" t="n"/>
      <c r="EF9" s="429" t="n"/>
      <c r="EG9" s="420" t="n"/>
      <c r="EH9" s="405" t="n"/>
      <c r="EI9" s="405" t="n"/>
      <c r="EJ9" s="409" t="inlineStr">
        <is>
          <t>SI</t>
        </is>
      </c>
      <c r="EK9" s="409" t="inlineStr">
        <is>
          <t>SI</t>
        </is>
      </c>
      <c r="EL9" s="409" t="inlineStr">
        <is>
          <t>SI</t>
        </is>
      </c>
      <c r="EM9" s="409" t="inlineStr">
        <is>
          <t>SI</t>
        </is>
      </c>
      <c r="EN9" s="409" t="inlineStr">
        <is>
          <t>SI</t>
        </is>
      </c>
      <c r="EO9" s="405" t="n"/>
      <c r="EP9" s="430" t="n"/>
      <c r="EQ9" s="430" t="n"/>
      <c r="ER9" s="420" t="n"/>
      <c r="ES9" s="420" t="n"/>
      <c r="ET9" s="420" t="n"/>
      <c r="EU9" s="420" t="n"/>
      <c r="EV9" s="405" t="n"/>
      <c r="EW9" s="407" t="inlineStr">
        <is>
          <t>NI</t>
        </is>
      </c>
      <c r="EX9" s="407" t="inlineStr">
        <is>
          <t>NI</t>
        </is>
      </c>
      <c r="EY9" s="407" t="inlineStr">
        <is>
          <t>NI</t>
        </is>
      </c>
      <c r="EZ9" s="407" t="inlineStr">
        <is>
          <t>NI</t>
        </is>
      </c>
      <c r="FA9" s="429" t="n"/>
      <c r="FB9" s="413" t="inlineStr">
        <is>
          <t>NST</t>
        </is>
      </c>
      <c r="FC9" s="405" t="n"/>
      <c r="FD9" s="405" t="n"/>
      <c r="FE9" s="409" t="inlineStr">
        <is>
          <t>SI</t>
        </is>
      </c>
      <c r="FF9" s="409" t="inlineStr">
        <is>
          <t>SI</t>
        </is>
      </c>
      <c r="FG9" s="409" t="inlineStr">
        <is>
          <t>SI</t>
        </is>
      </c>
      <c r="FH9" s="409" t="inlineStr">
        <is>
          <t>SI</t>
        </is>
      </c>
      <c r="FI9" s="409" t="inlineStr">
        <is>
          <t>SI</t>
        </is>
      </c>
      <c r="FJ9" s="405" t="n"/>
      <c r="FK9" s="405" t="n"/>
      <c r="FL9" s="405" t="n"/>
      <c r="FM9" s="426" t="n"/>
      <c r="FN9" s="426" t="n"/>
      <c r="FO9" s="426" t="n"/>
      <c r="FP9" s="426" t="n"/>
      <c r="FQ9" s="405" t="n"/>
      <c r="FR9" s="405" t="n"/>
      <c r="FS9" s="405" t="n"/>
      <c r="FT9" s="431" t="n"/>
      <c r="FU9" s="431" t="n"/>
      <c r="FV9" s="431" t="n"/>
      <c r="FW9" s="431" t="n"/>
      <c r="FX9" s="405" t="n"/>
      <c r="FY9" s="405" t="n"/>
      <c r="FZ9" s="423" t="inlineStr">
        <is>
          <t>U</t>
        </is>
      </c>
      <c r="GA9" s="423" t="inlineStr">
        <is>
          <t>U</t>
        </is>
      </c>
      <c r="GB9" s="428" t="n"/>
      <c r="GC9" s="420" t="n"/>
      <c r="GD9" s="420" t="n"/>
      <c r="GE9" s="429" t="n"/>
      <c r="GF9" s="429" t="n"/>
      <c r="GG9" s="429" t="n"/>
      <c r="GH9" s="429" t="n"/>
      <c r="GI9" s="429" t="n"/>
      <c r="GJ9" s="429" t="n"/>
      <c r="GK9" s="429" t="n"/>
      <c r="GL9" s="429" t="n"/>
      <c r="GM9" s="429" t="n"/>
      <c r="GN9" s="429" t="n"/>
      <c r="GO9" s="429" t="n"/>
      <c r="GP9" s="429" t="n"/>
      <c r="GQ9" s="429" t="n"/>
      <c r="GR9" s="429" t="n"/>
      <c r="GS9" s="429" t="n"/>
      <c r="GT9" s="429" t="n"/>
      <c r="GU9" s="429" t="n"/>
      <c r="GV9" s="429" t="n"/>
      <c r="GW9" s="429" t="n"/>
      <c r="GX9" s="429" t="n"/>
      <c r="GY9" s="429" t="n"/>
      <c r="GZ9" s="429" t="n"/>
      <c r="HA9" s="429" t="n"/>
      <c r="HB9" s="429" t="n"/>
      <c r="HC9" s="429" t="n"/>
      <c r="HD9" s="429" t="n"/>
      <c r="HE9" s="429" t="n"/>
      <c r="HF9" s="429" t="n"/>
      <c r="HG9" s="429" t="n"/>
      <c r="HH9" s="429" t="n"/>
      <c r="HI9" s="429" t="n"/>
      <c r="HJ9" s="429" t="n"/>
      <c r="HK9" s="429" t="n"/>
      <c r="HL9" s="429" t="n"/>
      <c r="HM9" s="429" t="n"/>
      <c r="HN9" s="429" t="n"/>
      <c r="HO9" s="429" t="n"/>
      <c r="HP9" s="429" t="n"/>
      <c r="HQ9" s="429" t="n"/>
      <c r="HR9" s="429" t="n"/>
      <c r="HS9" s="429" t="n"/>
      <c r="HT9" s="429" t="n"/>
      <c r="HU9" s="429" t="n"/>
      <c r="HV9" s="429" t="n"/>
      <c r="HW9" s="429" t="n"/>
      <c r="HX9" s="429" t="n"/>
      <c r="HY9" s="429" t="n"/>
      <c r="HZ9" s="429" t="n"/>
      <c r="IA9" s="429" t="n"/>
      <c r="IB9" s="429" t="n"/>
      <c r="IC9" s="429" t="n"/>
      <c r="ID9" s="429" t="n"/>
      <c r="IE9" s="429" t="n"/>
      <c r="IF9" s="429" t="n"/>
      <c r="IG9" s="429" t="n"/>
      <c r="IH9" s="429" t="n"/>
      <c r="II9" s="429" t="n"/>
      <c r="IJ9" s="429" t="n"/>
      <c r="IK9" s="429" t="n"/>
      <c r="IL9" s="429" t="n"/>
      <c r="IM9" s="429" t="n"/>
      <c r="IN9" s="429" t="n"/>
      <c r="IO9" s="429" t="n"/>
      <c r="IP9" s="429" t="n"/>
      <c r="IQ9" s="429" t="n"/>
      <c r="IR9" s="429" t="n"/>
      <c r="IS9" s="429" t="n"/>
      <c r="IT9" s="429" t="n"/>
      <c r="IU9" s="429" t="n"/>
      <c r="IV9" s="429" t="n"/>
      <c r="IW9" s="429" t="n"/>
      <c r="IX9" s="429" t="n"/>
      <c r="IY9" s="429" t="n"/>
      <c r="IZ9" s="429" t="n"/>
      <c r="JA9" s="429" t="n"/>
      <c r="JB9" s="429" t="n"/>
      <c r="JC9" s="429" t="n"/>
      <c r="JD9" s="429" t="n"/>
      <c r="JE9" s="429" t="n"/>
      <c r="JF9" s="429" t="n"/>
      <c r="JG9" s="429" t="n"/>
      <c r="JH9" s="429" t="n"/>
      <c r="JI9" s="429" t="n"/>
      <c r="JJ9" s="429" t="n"/>
      <c r="JK9" s="429" t="n"/>
      <c r="JL9" s="429" t="n"/>
      <c r="JM9" s="429" t="n"/>
      <c r="JN9" s="429" t="n"/>
      <c r="JO9" s="429" t="n"/>
      <c r="JP9" s="429" t="n"/>
      <c r="JQ9" s="429" t="n"/>
      <c r="JR9" s="429" t="n"/>
      <c r="JS9" s="429" t="n"/>
      <c r="JT9" s="429" t="n"/>
      <c r="JU9" s="429" t="n"/>
      <c r="JV9" s="429" t="n"/>
      <c r="JW9" s="429" t="n"/>
      <c r="JX9" s="429" t="n"/>
      <c r="JY9" s="429" t="n"/>
      <c r="JZ9" s="429" t="n"/>
      <c r="KA9" s="429" t="n"/>
      <c r="KB9" s="429" t="n"/>
      <c r="KC9" s="429" t="n"/>
      <c r="KD9" s="429" t="n"/>
      <c r="KE9" s="429" t="n"/>
      <c r="KF9" s="429" t="n"/>
      <c r="KG9" s="429" t="n"/>
      <c r="KH9" s="429" t="n"/>
      <c r="KI9" s="429" t="n"/>
      <c r="KJ9" s="429" t="n"/>
      <c r="KK9" s="429" t="n"/>
      <c r="KL9" s="429" t="n"/>
      <c r="KM9" s="429" t="n"/>
      <c r="KN9" s="429" t="n"/>
      <c r="KO9" s="429" t="n"/>
      <c r="KP9" s="429" t="n"/>
    </row>
    <row r="10" ht="26" customHeight="1" thickBot="1">
      <c r="B10" s="402" t="inlineStr">
        <is>
          <t>Jochim</t>
        </is>
      </c>
      <c r="C10" s="429" t="n"/>
      <c r="D10" s="432" t="n"/>
      <c r="E10" s="405" t="n"/>
      <c r="F10" s="405" t="n"/>
      <c r="G10" s="432" t="n"/>
      <c r="H10" s="429" t="n"/>
      <c r="I10" s="420" t="n"/>
      <c r="J10" s="420" t="n"/>
      <c r="K10" s="432" t="n"/>
      <c r="L10" s="405" t="n"/>
      <c r="M10" s="405" t="n"/>
      <c r="N10" s="432" t="n"/>
      <c r="O10" s="420" t="n"/>
      <c r="P10" s="420" t="n"/>
      <c r="Q10" s="420" t="n"/>
      <c r="R10" s="432" t="n"/>
      <c r="S10" s="405" t="n"/>
      <c r="T10" s="405" t="n"/>
      <c r="U10" s="432" t="n"/>
      <c r="V10" s="420" t="n"/>
      <c r="W10" s="420" t="n"/>
      <c r="X10" s="420" t="n"/>
      <c r="Y10" s="432" t="n"/>
      <c r="Z10" s="405" t="n"/>
      <c r="AA10" s="405" t="n"/>
      <c r="AB10" s="432" t="n"/>
      <c r="AC10" s="420" t="n"/>
      <c r="AD10" s="420" t="n"/>
      <c r="AE10" s="420" t="n"/>
      <c r="AF10" s="432" t="n"/>
      <c r="AG10" s="405" t="n"/>
      <c r="AH10" s="405" t="n"/>
      <c r="AI10" s="432" t="n"/>
      <c r="AJ10" s="420" t="n"/>
      <c r="AK10" s="420" t="n"/>
      <c r="AL10" s="420" t="n"/>
      <c r="AM10" s="432" t="n"/>
      <c r="AN10" s="405" t="n"/>
      <c r="AO10" s="405" t="n"/>
      <c r="AP10" s="432" t="n"/>
      <c r="AQ10" s="420" t="n"/>
      <c r="AR10" s="420" t="n"/>
      <c r="AS10" s="420" t="n"/>
      <c r="AT10" s="432" t="n"/>
      <c r="AU10" s="405" t="n"/>
      <c r="AV10" s="405" t="n"/>
      <c r="AW10" s="432" t="n"/>
      <c r="AX10" s="420" t="n"/>
      <c r="AY10" s="420" t="n"/>
      <c r="AZ10" s="420" t="n"/>
      <c r="BA10" s="432" t="n"/>
      <c r="BB10" s="405" t="n"/>
      <c r="BC10" s="405" t="n"/>
      <c r="BD10" s="433" t="inlineStr">
        <is>
          <t>(DI) 2h</t>
        </is>
      </c>
      <c r="BE10" s="420" t="n"/>
      <c r="BF10" s="433" t="inlineStr">
        <is>
          <t>(DI) 2h</t>
        </is>
      </c>
      <c r="BG10" s="420" t="n"/>
      <c r="BH10" s="433" t="inlineStr">
        <is>
          <t>(DI) 2h</t>
        </is>
      </c>
      <c r="BI10" s="405" t="n"/>
      <c r="BJ10" s="405" t="n"/>
      <c r="BK10" s="434" t="inlineStr">
        <is>
          <t>(DII) 2h</t>
        </is>
      </c>
      <c r="BL10" s="434" t="inlineStr">
        <is>
          <t>(DII) 2h</t>
        </is>
      </c>
      <c r="BM10" s="434" t="inlineStr">
        <is>
          <t>(DII) 2h</t>
        </is>
      </c>
      <c r="BN10" s="434" t="inlineStr">
        <is>
          <t>(DII) 2h</t>
        </is>
      </c>
      <c r="BO10" s="434" t="inlineStr">
        <is>
          <t>(DII) 2h</t>
        </is>
      </c>
      <c r="BP10" s="405" t="n"/>
      <c r="BQ10" s="405" t="n"/>
      <c r="BR10" s="435" t="inlineStr">
        <is>
          <t>(FII) 2h</t>
        </is>
      </c>
      <c r="BS10" s="435" t="inlineStr">
        <is>
          <t>(FII) 2h</t>
        </is>
      </c>
      <c r="BT10" s="435" t="inlineStr">
        <is>
          <t>(FII) 2h</t>
        </is>
      </c>
      <c r="BU10" s="435" t="inlineStr">
        <is>
          <t>(FII) 2h</t>
        </is>
      </c>
      <c r="BV10" s="435" t="inlineStr">
        <is>
          <t>(FII) 2h</t>
        </is>
      </c>
      <c r="BW10" s="405" t="n"/>
      <c r="BX10" s="405" t="n"/>
      <c r="BY10" s="434" t="inlineStr">
        <is>
          <t>(DII) 4h</t>
        </is>
      </c>
      <c r="BZ10" s="434" t="inlineStr">
        <is>
          <t>(DII) 4h</t>
        </is>
      </c>
      <c r="CA10" s="433" t="inlineStr">
        <is>
          <t>(DI) 4h</t>
        </is>
      </c>
      <c r="CB10" s="433" t="inlineStr">
        <is>
          <t>(DI) 4h</t>
        </is>
      </c>
      <c r="CC10" s="433" t="inlineStr">
        <is>
          <t>(DI) 4h</t>
        </is>
      </c>
      <c r="CD10" s="405" t="n"/>
      <c r="CE10" s="405" t="n"/>
      <c r="CF10" s="435" t="inlineStr">
        <is>
          <t>(FII) 4h</t>
        </is>
      </c>
      <c r="CG10" s="435" t="inlineStr">
        <is>
          <t>(FII) 4h</t>
        </is>
      </c>
      <c r="CH10" s="435" t="inlineStr">
        <is>
          <t>(FII) 4h</t>
        </is>
      </c>
      <c r="CI10" s="435" t="inlineStr">
        <is>
          <t>(FII) 4h</t>
        </is>
      </c>
      <c r="CJ10" s="435" t="inlineStr">
        <is>
          <t>(FII) 4h</t>
        </is>
      </c>
      <c r="CK10" s="405" t="n"/>
      <c r="CL10" s="405" t="n"/>
      <c r="CM10" s="436" t="inlineStr">
        <is>
          <t>SD 4h</t>
        </is>
      </c>
      <c r="CN10" s="436" t="inlineStr">
        <is>
          <t>SD 4h</t>
        </is>
      </c>
      <c r="CO10" s="437" t="inlineStr">
        <is>
          <t>(FI) 4h</t>
        </is>
      </c>
      <c r="CP10" s="437" t="inlineStr">
        <is>
          <t>(FI) 4h</t>
        </is>
      </c>
      <c r="CQ10" s="429" t="n"/>
      <c r="CR10" s="405" t="n"/>
      <c r="CS10" s="430" t="n"/>
      <c r="CT10" s="430" t="n"/>
      <c r="CU10" s="438" t="inlineStr">
        <is>
          <t>(SII) 6h</t>
        </is>
      </c>
      <c r="CV10" s="438" t="inlineStr">
        <is>
          <t>(SII) 6h</t>
        </is>
      </c>
      <c r="CW10" s="438" t="inlineStr">
        <is>
          <t>(SII) 6h</t>
        </is>
      </c>
      <c r="CX10" s="438" t="inlineStr">
        <is>
          <t>(SII) 6h</t>
        </is>
      </c>
      <c r="CY10" s="405" t="n"/>
      <c r="CZ10" s="439" t="inlineStr">
        <is>
          <t>(NII) 6h</t>
        </is>
      </c>
      <c r="DA10" s="439" t="inlineStr">
        <is>
          <t>(NII) 6h</t>
        </is>
      </c>
      <c r="DB10" s="439" t="inlineStr">
        <is>
          <t>(NII) 6h</t>
        </is>
      </c>
      <c r="DC10" s="439" t="inlineStr">
        <is>
          <t>(NII) 6h</t>
        </is>
      </c>
      <c r="DD10" s="439" t="inlineStr">
        <is>
          <t>(NII) 6h</t>
        </is>
      </c>
      <c r="DE10" s="413" t="inlineStr">
        <is>
          <t>NST</t>
        </is>
      </c>
      <c r="DF10" s="419" t="n"/>
      <c r="DG10" s="405" t="n"/>
      <c r="DH10" s="432" t="n"/>
      <c r="DI10" s="420" t="n"/>
      <c r="DJ10" s="420" t="n"/>
      <c r="DK10" s="420" t="n"/>
      <c r="DL10" s="420" t="n"/>
      <c r="DM10" s="405" t="n"/>
      <c r="DN10" s="405" t="n"/>
      <c r="DO10" s="432" t="n"/>
      <c r="DP10" s="420" t="n"/>
      <c r="DQ10" s="420" t="n"/>
      <c r="DR10" s="420" t="n"/>
      <c r="DS10" s="429" t="n"/>
      <c r="DT10" s="405" t="n"/>
      <c r="DU10" s="405" t="n"/>
      <c r="DV10" s="405" t="n"/>
      <c r="DW10" s="420" t="n"/>
      <c r="DX10" s="420" t="n"/>
      <c r="DY10" s="420" t="n"/>
      <c r="DZ10" s="420" t="n"/>
      <c r="EA10" s="405" t="n"/>
      <c r="EB10" s="405" t="n"/>
      <c r="EC10" s="405" t="n"/>
      <c r="ED10" s="420" t="n"/>
      <c r="EE10" s="420" t="n"/>
      <c r="EF10" s="429" t="n"/>
      <c r="EG10" s="420" t="n"/>
      <c r="EH10" s="405" t="n"/>
      <c r="EI10" s="405" t="n"/>
      <c r="EJ10" s="405" t="n"/>
      <c r="EK10" s="420" t="n"/>
      <c r="EL10" s="420" t="n"/>
      <c r="EM10" s="420" t="n"/>
      <c r="EN10" s="420" t="n"/>
      <c r="EO10" s="405" t="n"/>
      <c r="EP10" s="430" t="n"/>
      <c r="EQ10" s="430" t="n"/>
      <c r="ER10" s="420" t="n"/>
      <c r="ES10" s="420" t="n"/>
      <c r="ET10" s="420" t="n"/>
      <c r="EU10" s="420" t="n"/>
      <c r="EV10" s="405" t="n"/>
      <c r="EW10" s="405" t="n"/>
      <c r="EX10" s="405" t="n"/>
      <c r="EY10" s="431" t="n"/>
      <c r="EZ10" s="431" t="n"/>
      <c r="FA10" s="429" t="n"/>
      <c r="FB10" s="431" t="n"/>
      <c r="FC10" s="405" t="n"/>
      <c r="FD10" s="405" t="n"/>
      <c r="FE10" s="440" t="n"/>
      <c r="FF10" s="431" t="n"/>
      <c r="FG10" s="431" t="n"/>
      <c r="FH10" s="431" t="n"/>
      <c r="FI10" s="431" t="n"/>
      <c r="FJ10" s="405" t="n"/>
      <c r="FK10" s="405" t="n"/>
      <c r="FL10" s="405" t="n"/>
      <c r="FM10" s="420" t="n"/>
      <c r="FN10" s="420" t="n"/>
      <c r="FO10" s="420" t="n"/>
      <c r="FP10" s="420" t="n"/>
      <c r="FQ10" s="405" t="n"/>
      <c r="FR10" s="405" t="n"/>
      <c r="FS10" s="405" t="n"/>
      <c r="FT10" s="420" t="n"/>
      <c r="FU10" s="420" t="n"/>
      <c r="FV10" s="420" t="n"/>
      <c r="FW10" s="420" t="n"/>
      <c r="FX10" s="405" t="n"/>
      <c r="FY10" s="405" t="n"/>
      <c r="FZ10" s="405" t="n"/>
      <c r="GA10" s="420" t="n"/>
      <c r="GB10" s="428" t="n"/>
      <c r="GC10" s="429" t="n"/>
      <c r="GD10" s="429" t="n"/>
      <c r="GE10" s="429" t="n"/>
      <c r="GF10" s="429" t="n"/>
      <c r="GG10" s="429" t="n"/>
      <c r="GH10" s="429" t="n"/>
      <c r="GI10" s="429" t="n"/>
      <c r="GJ10" s="429" t="n"/>
      <c r="GK10" s="429" t="n"/>
      <c r="GL10" s="429" t="n"/>
      <c r="GM10" s="429" t="n"/>
      <c r="GN10" s="429" t="n"/>
      <c r="GO10" s="429" t="n"/>
      <c r="GP10" s="429" t="n"/>
      <c r="GQ10" s="429" t="n"/>
      <c r="GR10" s="429" t="n"/>
      <c r="GS10" s="429" t="n"/>
      <c r="GT10" s="429" t="n"/>
      <c r="GU10" s="429" t="n"/>
      <c r="GV10" s="429" t="n"/>
      <c r="GW10" s="429" t="n"/>
      <c r="GX10" s="429" t="n"/>
      <c r="GY10" s="429" t="n"/>
      <c r="GZ10" s="429" t="n"/>
      <c r="HA10" s="429" t="n"/>
      <c r="HB10" s="429" t="n"/>
      <c r="HC10" s="429" t="n"/>
      <c r="HD10" s="429" t="n"/>
      <c r="HE10" s="429" t="n"/>
      <c r="HF10" s="429" t="n"/>
      <c r="HG10" s="429" t="n"/>
      <c r="HH10" s="429" t="n"/>
      <c r="HI10" s="429" t="n"/>
      <c r="HJ10" s="429" t="n"/>
      <c r="HK10" s="429" t="n"/>
      <c r="HL10" s="429" t="n"/>
      <c r="HM10" s="429" t="n"/>
      <c r="HN10" s="429" t="n"/>
      <c r="HO10" s="429" t="n"/>
      <c r="HP10" s="429" t="n"/>
      <c r="HQ10" s="429" t="n"/>
      <c r="HR10" s="429" t="n"/>
      <c r="HS10" s="429" t="n"/>
      <c r="HT10" s="429" t="n"/>
      <c r="HU10" s="429" t="n"/>
      <c r="HV10" s="429" t="n"/>
      <c r="HW10" s="429" t="n"/>
      <c r="HX10" s="429" t="n"/>
      <c r="HY10" s="429" t="n"/>
      <c r="HZ10" s="429" t="n"/>
      <c r="IA10" s="429" t="n"/>
      <c r="IB10" s="429" t="n"/>
      <c r="IC10" s="429" t="n"/>
      <c r="ID10" s="429" t="n"/>
      <c r="IE10" s="429" t="n"/>
      <c r="IF10" s="429" t="n"/>
      <c r="IG10" s="429" t="n"/>
      <c r="IH10" s="429" t="n"/>
      <c r="II10" s="429" t="n"/>
      <c r="IJ10" s="429" t="n"/>
      <c r="IK10" s="429" t="n"/>
      <c r="IL10" s="429" t="n"/>
      <c r="IM10" s="429" t="n"/>
      <c r="IN10" s="429" t="n"/>
      <c r="IO10" s="429" t="n"/>
      <c r="IP10" s="429" t="n"/>
      <c r="IQ10" s="429" t="n"/>
      <c r="IR10" s="429" t="n"/>
      <c r="IS10" s="429" t="n"/>
      <c r="IT10" s="429" t="n"/>
      <c r="IU10" s="429" t="n"/>
      <c r="IV10" s="429" t="n"/>
      <c r="IW10" s="429" t="n"/>
      <c r="IX10" s="429" t="n"/>
      <c r="IY10" s="429" t="n"/>
      <c r="IZ10" s="429" t="n"/>
      <c r="JA10" s="429" t="n"/>
      <c r="JB10" s="429" t="n"/>
      <c r="JC10" s="429" t="n"/>
      <c r="JD10" s="429" t="n"/>
      <c r="JE10" s="429" t="n"/>
      <c r="JF10" s="429" t="n"/>
      <c r="JG10" s="429" t="n"/>
      <c r="JH10" s="429" t="n"/>
      <c r="JI10" s="429" t="n"/>
      <c r="JJ10" s="429" t="n"/>
      <c r="JK10" s="429" t="n"/>
      <c r="JL10" s="429" t="n"/>
      <c r="JM10" s="429" t="n"/>
      <c r="JN10" s="429" t="n"/>
      <c r="JO10" s="429" t="n"/>
      <c r="JP10" s="429" t="n"/>
      <c r="JQ10" s="429" t="n"/>
      <c r="JR10" s="429" t="n"/>
      <c r="JS10" s="429" t="n"/>
      <c r="JT10" s="429" t="n"/>
      <c r="JU10" s="429" t="n"/>
      <c r="JV10" s="429" t="n"/>
      <c r="JW10" s="429" t="n"/>
      <c r="JX10" s="429" t="n"/>
      <c r="JY10" s="429" t="n"/>
      <c r="JZ10" s="429" t="n"/>
      <c r="KA10" s="429" t="n"/>
      <c r="KB10" s="429" t="n"/>
      <c r="KC10" s="429" t="n"/>
      <c r="KD10" s="429" t="n"/>
      <c r="KE10" s="429" t="n"/>
      <c r="KF10" s="429" t="n"/>
      <c r="KG10" s="429" t="n"/>
      <c r="KH10" s="429" t="n"/>
      <c r="KI10" s="429" t="n"/>
      <c r="KJ10" s="429" t="n"/>
      <c r="KK10" s="429" t="n"/>
      <c r="KL10" s="429" t="n"/>
      <c r="KM10" s="429" t="n"/>
      <c r="KN10" s="429" t="n"/>
      <c r="KO10" s="429" t="n"/>
      <c r="KP10" s="429" t="n"/>
    </row>
    <row r="11" ht="26" customHeight="1" thickBot="1">
      <c r="B11" s="402" t="inlineStr">
        <is>
          <t>Wunsch</t>
        </is>
      </c>
      <c r="C11" s="429" t="n"/>
      <c r="D11" s="416" t="inlineStr">
        <is>
          <t>SD</t>
        </is>
      </c>
      <c r="E11" s="405" t="n"/>
      <c r="F11" s="405" t="n"/>
      <c r="G11" s="416" t="inlineStr">
        <is>
          <t>SD</t>
        </is>
      </c>
      <c r="H11" s="429" t="n"/>
      <c r="I11" s="412" t="inlineStr">
        <is>
          <t>DI</t>
        </is>
      </c>
      <c r="J11" s="412" t="inlineStr">
        <is>
          <t>DI</t>
        </is>
      </c>
      <c r="K11" s="412" t="inlineStr">
        <is>
          <t>DI</t>
        </is>
      </c>
      <c r="L11" s="405" t="n"/>
      <c r="M11" s="405" t="n"/>
      <c r="N11" s="415" t="inlineStr">
        <is>
          <t>FI</t>
        </is>
      </c>
      <c r="O11" s="415" t="inlineStr">
        <is>
          <t>FI</t>
        </is>
      </c>
      <c r="P11" s="415" t="inlineStr">
        <is>
          <t>FI</t>
        </is>
      </c>
      <c r="Q11" s="415" t="inlineStr">
        <is>
          <t>FI</t>
        </is>
      </c>
      <c r="R11" s="415" t="inlineStr">
        <is>
          <t>FI</t>
        </is>
      </c>
      <c r="S11" s="405" t="n"/>
      <c r="T11" s="407" t="inlineStr">
        <is>
          <t>NI</t>
        </is>
      </c>
      <c r="U11" s="407" t="inlineStr">
        <is>
          <t>NI</t>
        </is>
      </c>
      <c r="V11" s="407" t="inlineStr">
        <is>
          <t>NI</t>
        </is>
      </c>
      <c r="W11" s="407" t="inlineStr">
        <is>
          <t>NI</t>
        </is>
      </c>
      <c r="X11" s="407" t="inlineStr">
        <is>
          <t>NI</t>
        </is>
      </c>
      <c r="Y11" s="413" t="inlineStr">
        <is>
          <t>NST</t>
        </is>
      </c>
      <c r="Z11" s="405" t="n"/>
      <c r="AA11" s="405" t="n"/>
      <c r="AB11" s="409" t="inlineStr">
        <is>
          <t>SI</t>
        </is>
      </c>
      <c r="AC11" s="409" t="inlineStr">
        <is>
          <t>SI</t>
        </is>
      </c>
      <c r="AD11" s="409" t="inlineStr">
        <is>
          <t>SI</t>
        </is>
      </c>
      <c r="AE11" s="409" t="inlineStr">
        <is>
          <t>SI</t>
        </is>
      </c>
      <c r="AF11" s="409" t="inlineStr">
        <is>
          <t>SI</t>
        </is>
      </c>
      <c r="AG11" s="405" t="n"/>
      <c r="AH11" s="405" t="n"/>
      <c r="AI11" s="415" t="inlineStr">
        <is>
          <t>FI</t>
        </is>
      </c>
      <c r="AJ11" s="415" t="inlineStr">
        <is>
          <t>FI</t>
        </is>
      </c>
      <c r="AK11" s="414" t="inlineStr">
        <is>
          <t>EH</t>
        </is>
      </c>
      <c r="AL11" s="416" t="inlineStr">
        <is>
          <t>SD</t>
        </is>
      </c>
      <c r="AM11" s="416" t="inlineStr">
        <is>
          <t>SD</t>
        </is>
      </c>
      <c r="AN11" s="405" t="n"/>
      <c r="AO11" s="405" t="n"/>
      <c r="AP11" s="411" t="inlineStr">
        <is>
          <t>KU</t>
        </is>
      </c>
      <c r="AQ11" s="441" t="inlineStr">
        <is>
          <t>RTW- Des.</t>
        </is>
      </c>
      <c r="AR11" s="414" t="inlineStr">
        <is>
          <t>EH</t>
        </is>
      </c>
      <c r="AS11" s="411" t="inlineStr">
        <is>
          <t>KU</t>
        </is>
      </c>
      <c r="AT11" s="412" t="inlineStr">
        <is>
          <t>DI</t>
        </is>
      </c>
      <c r="AU11" s="405" t="n"/>
      <c r="AV11" s="407" t="inlineStr">
        <is>
          <t>NI</t>
        </is>
      </c>
      <c r="AW11" s="407" t="inlineStr">
        <is>
          <t>NI</t>
        </is>
      </c>
      <c r="AX11" s="407" t="inlineStr">
        <is>
          <t>NI</t>
        </is>
      </c>
      <c r="AY11" s="407" t="inlineStr">
        <is>
          <t>NI</t>
        </is>
      </c>
      <c r="AZ11" s="407" t="inlineStr">
        <is>
          <t>NI</t>
        </is>
      </c>
      <c r="BA11" s="413" t="inlineStr">
        <is>
          <t>NST</t>
        </is>
      </c>
      <c r="BB11" s="405" t="n"/>
      <c r="BC11" s="405" t="n"/>
      <c r="BD11" s="410" t="inlineStr">
        <is>
          <t>FII</t>
        </is>
      </c>
      <c r="BE11" s="410" t="inlineStr">
        <is>
          <t>FII</t>
        </is>
      </c>
      <c r="BF11" s="416" t="inlineStr">
        <is>
          <t>SD</t>
        </is>
      </c>
      <c r="BG11" s="417" t="inlineStr">
        <is>
          <t>Fobi</t>
        </is>
      </c>
      <c r="BH11" s="417" t="inlineStr">
        <is>
          <t>Fobi</t>
        </is>
      </c>
      <c r="BI11" s="405" t="n"/>
      <c r="BJ11" s="405" t="n"/>
      <c r="BK11" s="411" t="inlineStr">
        <is>
          <t>KU</t>
        </is>
      </c>
      <c r="BL11" s="416" t="inlineStr">
        <is>
          <t>SD</t>
        </is>
      </c>
      <c r="BM11" s="416" t="inlineStr">
        <is>
          <t>SD</t>
        </is>
      </c>
      <c r="BN11" s="411" t="inlineStr">
        <is>
          <t>KU</t>
        </is>
      </c>
      <c r="BO11" s="413" t="inlineStr">
        <is>
          <t>NST</t>
        </is>
      </c>
      <c r="BP11" s="415" t="inlineStr">
        <is>
          <t>FI</t>
        </is>
      </c>
      <c r="BQ11" s="405" t="n"/>
      <c r="BR11" s="415" t="inlineStr">
        <is>
          <t>FI</t>
        </is>
      </c>
      <c r="BS11" s="415" t="inlineStr">
        <is>
          <t>FI</t>
        </is>
      </c>
      <c r="BT11" s="415" t="inlineStr">
        <is>
          <t>FI</t>
        </is>
      </c>
      <c r="BU11" s="416" t="inlineStr">
        <is>
          <t>SD</t>
        </is>
      </c>
      <c r="BV11" s="415" t="inlineStr">
        <is>
          <t>FI</t>
        </is>
      </c>
      <c r="BW11" s="405" t="n"/>
      <c r="BX11" s="407" t="inlineStr">
        <is>
          <t>NI</t>
        </is>
      </c>
      <c r="BY11" s="407" t="inlineStr">
        <is>
          <t>NI</t>
        </is>
      </c>
      <c r="BZ11" s="407" t="inlineStr">
        <is>
          <t>NI</t>
        </is>
      </c>
      <c r="CA11" s="407" t="inlineStr">
        <is>
          <t>NI</t>
        </is>
      </c>
      <c r="CB11" s="407" t="inlineStr">
        <is>
          <t>NI</t>
        </is>
      </c>
      <c r="CC11" s="413" t="inlineStr">
        <is>
          <t>NST</t>
        </is>
      </c>
      <c r="CD11" s="405" t="n"/>
      <c r="CE11" s="405" t="n"/>
      <c r="CF11" s="423" t="inlineStr">
        <is>
          <t>U</t>
        </is>
      </c>
      <c r="CG11" s="423" t="inlineStr">
        <is>
          <t>U</t>
        </is>
      </c>
      <c r="CH11" s="412" t="inlineStr">
        <is>
          <t>DI</t>
        </is>
      </c>
      <c r="CI11" s="411" t="inlineStr">
        <is>
          <t>KU</t>
        </is>
      </c>
      <c r="CJ11" s="409" t="inlineStr">
        <is>
          <t>SI</t>
        </is>
      </c>
      <c r="CK11" s="405" t="n"/>
      <c r="CL11" s="405" t="n"/>
      <c r="CM11" s="415" t="inlineStr">
        <is>
          <t>FI</t>
        </is>
      </c>
      <c r="CN11" s="415" t="inlineStr">
        <is>
          <t>FI</t>
        </is>
      </c>
      <c r="CO11" s="415" t="inlineStr">
        <is>
          <t>FI</t>
        </is>
      </c>
      <c r="CP11" s="415" t="inlineStr">
        <is>
          <t>FI</t>
        </is>
      </c>
      <c r="CQ11" s="429" t="n"/>
      <c r="CR11" s="405" t="n"/>
      <c r="CS11" s="430" t="n"/>
      <c r="CT11" s="430" t="n"/>
      <c r="CU11" s="409" t="inlineStr">
        <is>
          <t>SI</t>
        </is>
      </c>
      <c r="CV11" s="409" t="inlineStr">
        <is>
          <t>SI</t>
        </is>
      </c>
      <c r="CW11" s="409" t="inlineStr">
        <is>
          <t>SI</t>
        </is>
      </c>
      <c r="CX11" s="409" t="inlineStr">
        <is>
          <t>SI</t>
        </is>
      </c>
      <c r="CY11" s="405" t="n"/>
      <c r="CZ11" s="405" t="n"/>
      <c r="DA11" s="415" t="inlineStr">
        <is>
          <t>FI</t>
        </is>
      </c>
      <c r="DB11" s="415" t="inlineStr">
        <is>
          <t>FI</t>
        </is>
      </c>
      <c r="DC11" s="415" t="inlineStr">
        <is>
          <t>FI</t>
        </is>
      </c>
      <c r="DD11" s="415" t="inlineStr">
        <is>
          <t>FI</t>
        </is>
      </c>
      <c r="DE11" s="415" t="inlineStr">
        <is>
          <t>FI</t>
        </is>
      </c>
      <c r="DF11" s="419" t="n"/>
      <c r="DG11" s="405" t="n"/>
      <c r="DH11" s="411" t="inlineStr">
        <is>
          <t>KU</t>
        </is>
      </c>
      <c r="DI11" s="410" t="inlineStr">
        <is>
          <t>FII</t>
        </is>
      </c>
      <c r="DJ11" s="410" t="inlineStr">
        <is>
          <t>FII</t>
        </is>
      </c>
      <c r="DK11" s="411" t="inlineStr">
        <is>
          <t>KU</t>
        </is>
      </c>
      <c r="DL11" s="408" t="inlineStr">
        <is>
          <t>GT</t>
        </is>
      </c>
      <c r="DM11" s="405" t="n"/>
      <c r="DN11" s="407" t="inlineStr">
        <is>
          <t>NI</t>
        </is>
      </c>
      <c r="DO11" s="407" t="inlineStr">
        <is>
          <t>NI</t>
        </is>
      </c>
      <c r="DP11" s="407" t="inlineStr">
        <is>
          <t>NI</t>
        </is>
      </c>
      <c r="DQ11" s="407" t="inlineStr">
        <is>
          <t>NI</t>
        </is>
      </c>
      <c r="DR11" s="407" t="inlineStr">
        <is>
          <t>NI</t>
        </is>
      </c>
      <c r="DS11" s="429" t="n"/>
      <c r="DT11" s="405" t="n"/>
      <c r="DU11" s="405" t="n"/>
      <c r="DV11" s="423" t="inlineStr">
        <is>
          <t>U</t>
        </is>
      </c>
      <c r="DW11" s="423" t="inlineStr">
        <is>
          <t>U</t>
        </is>
      </c>
      <c r="DX11" s="423" t="inlineStr">
        <is>
          <t>U</t>
        </is>
      </c>
      <c r="DY11" s="423" t="inlineStr">
        <is>
          <t>U</t>
        </is>
      </c>
      <c r="DZ11" s="423" t="inlineStr">
        <is>
          <t>U</t>
        </is>
      </c>
      <c r="EA11" s="405" t="n"/>
      <c r="EB11" s="405" t="n"/>
      <c r="EC11" s="405" t="n"/>
      <c r="ED11" s="420" t="n"/>
      <c r="EE11" s="420" t="n"/>
      <c r="EF11" s="429" t="n"/>
      <c r="EG11" s="423" t="inlineStr">
        <is>
          <t>U</t>
        </is>
      </c>
      <c r="EH11" s="405" t="n"/>
      <c r="EI11" s="405" t="n"/>
      <c r="EJ11" s="405" t="n"/>
      <c r="EK11" s="428" t="n"/>
      <c r="EL11" s="428" t="n"/>
      <c r="EM11" s="428" t="n"/>
      <c r="EN11" s="428" t="n"/>
      <c r="EO11" s="405" t="n"/>
      <c r="EP11" s="430" t="n"/>
      <c r="EQ11" s="430" t="n"/>
      <c r="ER11" s="407" t="inlineStr">
        <is>
          <t>NI</t>
        </is>
      </c>
      <c r="ES11" s="407" t="inlineStr">
        <is>
          <t>NI</t>
        </is>
      </c>
      <c r="ET11" s="407" t="inlineStr">
        <is>
          <t>NI</t>
        </is>
      </c>
      <c r="EU11" s="413" t="inlineStr">
        <is>
          <t>NST</t>
        </is>
      </c>
      <c r="EV11" s="405" t="n"/>
      <c r="EW11" s="405" t="n"/>
      <c r="EX11" s="409" t="inlineStr">
        <is>
          <t>SI</t>
        </is>
      </c>
      <c r="EY11" s="409" t="inlineStr">
        <is>
          <t>SI</t>
        </is>
      </c>
      <c r="EZ11" s="409" t="inlineStr">
        <is>
          <t>SI</t>
        </is>
      </c>
      <c r="FA11" s="429" t="n"/>
      <c r="FB11" s="409" t="inlineStr">
        <is>
          <t>SI</t>
        </is>
      </c>
      <c r="FC11" s="405" t="n"/>
      <c r="FD11" s="405" t="n"/>
      <c r="FE11" s="432" t="n"/>
      <c r="FF11" s="420" t="n"/>
      <c r="FG11" s="420" t="n"/>
      <c r="FH11" s="420" t="n"/>
      <c r="FI11" s="420" t="n"/>
      <c r="FJ11" s="405" t="n"/>
      <c r="FK11" s="405" t="n"/>
      <c r="FL11" s="423" t="inlineStr">
        <is>
          <t>U</t>
        </is>
      </c>
      <c r="FM11" s="423" t="inlineStr">
        <is>
          <t>U</t>
        </is>
      </c>
      <c r="FN11" s="423" t="inlineStr">
        <is>
          <t>U</t>
        </is>
      </c>
      <c r="FO11" s="423" t="inlineStr">
        <is>
          <t>U</t>
        </is>
      </c>
      <c r="FP11" s="423" t="inlineStr">
        <is>
          <t>U</t>
        </is>
      </c>
      <c r="FQ11" s="405" t="n"/>
      <c r="FR11" s="405" t="n"/>
      <c r="FS11" s="405" t="n"/>
      <c r="FT11" s="420" t="n"/>
      <c r="FU11" s="420" t="n"/>
      <c r="FV11" s="420" t="n"/>
      <c r="FW11" s="420" t="n"/>
      <c r="FX11" s="405" t="n"/>
      <c r="FY11" s="405" t="n"/>
      <c r="FZ11" s="423" t="inlineStr">
        <is>
          <t>U</t>
        </is>
      </c>
      <c r="GA11" s="442" t="n"/>
      <c r="GB11" s="428" t="n"/>
      <c r="GC11" s="429" t="n"/>
      <c r="GD11" s="429" t="n"/>
      <c r="GE11" s="429" t="n"/>
      <c r="GF11" s="429" t="n"/>
      <c r="GG11" s="429" t="n"/>
      <c r="GH11" s="429" t="n"/>
      <c r="GI11" s="429" t="n"/>
      <c r="GJ11" s="429" t="n"/>
      <c r="GK11" s="429" t="n"/>
      <c r="GL11" s="429" t="n"/>
      <c r="GM11" s="429" t="n"/>
      <c r="GN11" s="429" t="n"/>
      <c r="GO11" s="429" t="n"/>
      <c r="GP11" s="429" t="n"/>
      <c r="GQ11" s="429" t="n"/>
      <c r="GR11" s="429" t="n"/>
      <c r="GS11" s="429" t="n"/>
      <c r="GT11" s="429" t="n"/>
      <c r="GU11" s="429" t="n"/>
      <c r="GV11" s="429" t="n"/>
      <c r="GW11" s="429" t="n"/>
      <c r="GX11" s="429" t="n"/>
      <c r="GY11" s="429" t="n"/>
      <c r="GZ11" s="429" t="n"/>
      <c r="HA11" s="429" t="n"/>
      <c r="HB11" s="429" t="n"/>
      <c r="HC11" s="429" t="n"/>
      <c r="HD11" s="429" t="n"/>
      <c r="HE11" s="429" t="n"/>
      <c r="HF11" s="429" t="n"/>
      <c r="HG11" s="429" t="n"/>
      <c r="HH11" s="429" t="n"/>
      <c r="HI11" s="429" t="n"/>
      <c r="HJ11" s="429" t="n"/>
      <c r="HK11" s="429" t="n"/>
      <c r="HL11" s="429" t="n"/>
      <c r="HM11" s="429" t="n"/>
      <c r="HN11" s="429" t="n"/>
      <c r="HO11" s="429" t="n"/>
      <c r="HP11" s="429" t="n"/>
      <c r="HQ11" s="429" t="n"/>
      <c r="HR11" s="429" t="n"/>
      <c r="HS11" s="429" t="n"/>
      <c r="HT11" s="429" t="n"/>
      <c r="HU11" s="429" t="n"/>
      <c r="HV11" s="429" t="n"/>
      <c r="HW11" s="429" t="n"/>
      <c r="HX11" s="429" t="n"/>
      <c r="HY11" s="429" t="n"/>
      <c r="HZ11" s="429" t="n"/>
      <c r="IA11" s="429" t="n"/>
      <c r="IB11" s="429" t="n"/>
      <c r="IC11" s="429" t="n"/>
      <c r="ID11" s="429" t="n"/>
      <c r="IE11" s="429" t="n"/>
      <c r="IF11" s="429" t="n"/>
      <c r="IG11" s="429" t="n"/>
      <c r="IH11" s="429" t="n"/>
      <c r="II11" s="429" t="n"/>
      <c r="IJ11" s="429" t="n"/>
      <c r="IK11" s="429" t="n"/>
      <c r="IL11" s="429" t="n"/>
      <c r="IM11" s="429" t="n"/>
      <c r="IN11" s="429" t="n"/>
      <c r="IO11" s="429" t="n"/>
      <c r="IP11" s="429" t="n"/>
      <c r="IQ11" s="429" t="n"/>
      <c r="IR11" s="429" t="n"/>
      <c r="IS11" s="429" t="n"/>
      <c r="IT11" s="429" t="n"/>
      <c r="IU11" s="429" t="n"/>
      <c r="IV11" s="429" t="n"/>
      <c r="IW11" s="429" t="n"/>
      <c r="IX11" s="429" t="n"/>
      <c r="IY11" s="429" t="n"/>
      <c r="IZ11" s="429" t="n"/>
      <c r="JA11" s="429" t="n"/>
      <c r="JB11" s="429" t="n"/>
      <c r="JC11" s="429" t="n"/>
      <c r="JD11" s="429" t="n"/>
      <c r="JE11" s="429" t="n"/>
      <c r="JF11" s="429" t="n"/>
      <c r="JG11" s="429" t="n"/>
      <c r="JH11" s="429" t="n"/>
      <c r="JI11" s="429" t="n"/>
      <c r="JJ11" s="429" t="n"/>
      <c r="JK11" s="429" t="n"/>
      <c r="JL11" s="429" t="n"/>
      <c r="JM11" s="429" t="n"/>
      <c r="JN11" s="429" t="n"/>
      <c r="JO11" s="429" t="n"/>
      <c r="JP11" s="429" t="n"/>
      <c r="JQ11" s="429" t="n"/>
      <c r="JR11" s="429" t="n"/>
      <c r="JS11" s="429" t="n"/>
      <c r="JT11" s="429" t="n"/>
      <c r="JU11" s="429" t="n"/>
      <c r="JV11" s="429" t="n"/>
      <c r="JW11" s="429" t="n"/>
      <c r="JX11" s="429" t="n"/>
      <c r="JY11" s="429" t="n"/>
      <c r="JZ11" s="429" t="n"/>
      <c r="KA11" s="429" t="n"/>
      <c r="KB11" s="429" t="n"/>
      <c r="KC11" s="429" t="n"/>
      <c r="KD11" s="429" t="n"/>
      <c r="KE11" s="429" t="n"/>
      <c r="KF11" s="429" t="n"/>
      <c r="KG11" s="429" t="n"/>
      <c r="KH11" s="429" t="n"/>
      <c r="KI11" s="429" t="n"/>
      <c r="KJ11" s="429" t="n"/>
      <c r="KK11" s="429" t="n"/>
      <c r="KL11" s="429" t="n"/>
      <c r="KM11" s="429" t="n"/>
      <c r="KN11" s="429" t="n"/>
      <c r="KO11" s="429" t="n"/>
      <c r="KP11" s="429" t="n"/>
    </row>
    <row r="12" ht="26" customHeight="1" thickBot="1">
      <c r="B12" s="402" t="inlineStr">
        <is>
          <t>Göpfrich</t>
        </is>
      </c>
      <c r="C12" s="429" t="n"/>
      <c r="D12" s="404" t="inlineStr">
        <is>
          <t>U    alt</t>
        </is>
      </c>
      <c r="E12" s="405" t="n"/>
      <c r="F12" s="405" t="n"/>
      <c r="G12" s="404" t="inlineStr">
        <is>
          <t>U    alt</t>
        </is>
      </c>
      <c r="H12" s="429" t="n"/>
      <c r="I12" s="409" t="inlineStr">
        <is>
          <t>SI</t>
        </is>
      </c>
      <c r="J12" s="409" t="inlineStr">
        <is>
          <t>SI</t>
        </is>
      </c>
      <c r="K12" s="409" t="inlineStr">
        <is>
          <t>SI</t>
        </is>
      </c>
      <c r="L12" s="405" t="n"/>
      <c r="M12" s="405" t="n"/>
      <c r="N12" s="411" t="inlineStr">
        <is>
          <t>KU</t>
        </is>
      </c>
      <c r="O12" s="412" t="inlineStr">
        <is>
          <t>DI</t>
        </is>
      </c>
      <c r="P12" s="412" t="inlineStr">
        <is>
          <t>DI</t>
        </is>
      </c>
      <c r="Q12" s="411" t="inlineStr">
        <is>
          <t>KU</t>
        </is>
      </c>
      <c r="R12" s="412" t="inlineStr">
        <is>
          <t>DI</t>
        </is>
      </c>
      <c r="S12" s="405" t="n"/>
      <c r="T12" s="405" t="n"/>
      <c r="U12" s="423" t="inlineStr">
        <is>
          <t>U</t>
        </is>
      </c>
      <c r="V12" s="423" t="inlineStr">
        <is>
          <t>U</t>
        </is>
      </c>
      <c r="W12" s="423" t="inlineStr">
        <is>
          <t>U</t>
        </is>
      </c>
      <c r="X12" s="423" t="inlineStr">
        <is>
          <t>U</t>
        </is>
      </c>
      <c r="Y12" s="423" t="inlineStr">
        <is>
          <t>U</t>
        </is>
      </c>
      <c r="Z12" s="405" t="n"/>
      <c r="AA12" s="407" t="inlineStr">
        <is>
          <t>NI</t>
        </is>
      </c>
      <c r="AB12" s="407" t="inlineStr">
        <is>
          <t>NI</t>
        </is>
      </c>
      <c r="AC12" s="407" t="inlineStr">
        <is>
          <t>NI</t>
        </is>
      </c>
      <c r="AD12" s="407" t="inlineStr">
        <is>
          <t>NI</t>
        </is>
      </c>
      <c r="AE12" s="407" t="inlineStr">
        <is>
          <t>NI</t>
        </is>
      </c>
      <c r="AF12" s="407" t="inlineStr">
        <is>
          <t>NI</t>
        </is>
      </c>
      <c r="AG12" s="405" t="n"/>
      <c r="AH12" s="405" t="n"/>
      <c r="AI12" s="409" t="inlineStr">
        <is>
          <t>SI</t>
        </is>
      </c>
      <c r="AJ12" s="409" t="inlineStr">
        <is>
          <t>SI</t>
        </is>
      </c>
      <c r="AK12" s="409" t="inlineStr">
        <is>
          <t>SI</t>
        </is>
      </c>
      <c r="AL12" s="409" t="inlineStr">
        <is>
          <t>SI</t>
        </is>
      </c>
      <c r="AM12" s="409" t="inlineStr">
        <is>
          <t>SI</t>
        </is>
      </c>
      <c r="AN12" s="405" t="n"/>
      <c r="AO12" s="405" t="n"/>
      <c r="AP12" s="408" t="inlineStr">
        <is>
          <t>GT</t>
        </is>
      </c>
      <c r="AQ12" s="413" t="inlineStr">
        <is>
          <t>NST</t>
        </is>
      </c>
      <c r="AR12" s="412" t="inlineStr">
        <is>
          <t>DI</t>
        </is>
      </c>
      <c r="AS12" s="412" t="inlineStr">
        <is>
          <t>DI</t>
        </is>
      </c>
      <c r="AT12" s="416" t="inlineStr">
        <is>
          <t>SD</t>
        </is>
      </c>
      <c r="AU12" s="415" t="inlineStr">
        <is>
          <t>FI</t>
        </is>
      </c>
      <c r="AV12" s="405" t="n"/>
      <c r="AW12" s="415" t="inlineStr">
        <is>
          <t>FI</t>
        </is>
      </c>
      <c r="AX12" s="415" t="inlineStr">
        <is>
          <t>FI</t>
        </is>
      </c>
      <c r="AY12" s="415" t="inlineStr">
        <is>
          <t>FI</t>
        </is>
      </c>
      <c r="AZ12" s="409" t="inlineStr">
        <is>
          <t>SI</t>
        </is>
      </c>
      <c r="BA12" s="408" t="inlineStr">
        <is>
          <t>GT</t>
        </is>
      </c>
      <c r="BB12" s="405" t="n"/>
      <c r="BC12" s="405" t="n"/>
      <c r="BD12" s="411" t="inlineStr">
        <is>
          <t>KU</t>
        </is>
      </c>
      <c r="BE12" s="417" t="inlineStr">
        <is>
          <t>Fobi</t>
        </is>
      </c>
      <c r="BF12" s="417" t="inlineStr">
        <is>
          <t>Fobi</t>
        </is>
      </c>
      <c r="BG12" s="417" t="inlineStr">
        <is>
          <t>Fobi</t>
        </is>
      </c>
      <c r="BH12" s="417" t="inlineStr">
        <is>
          <t>Fobi</t>
        </is>
      </c>
      <c r="BI12" s="405" t="n"/>
      <c r="BJ12" s="407" t="inlineStr">
        <is>
          <t>NI</t>
        </is>
      </c>
      <c r="BK12" s="407" t="inlineStr">
        <is>
          <t>NI</t>
        </is>
      </c>
      <c r="BL12" s="407" t="inlineStr">
        <is>
          <t>NI</t>
        </is>
      </c>
      <c r="BM12" s="407" t="inlineStr">
        <is>
          <t>NI</t>
        </is>
      </c>
      <c r="BN12" s="407" t="inlineStr">
        <is>
          <t>NI</t>
        </is>
      </c>
      <c r="BO12" s="413" t="inlineStr">
        <is>
          <t>NST</t>
        </is>
      </c>
      <c r="BP12" s="405" t="n"/>
      <c r="BQ12" s="405" t="n"/>
      <c r="BR12" s="408" t="inlineStr">
        <is>
          <t>GT</t>
        </is>
      </c>
      <c r="BS12" s="416" t="inlineStr">
        <is>
          <t>SD</t>
        </is>
      </c>
      <c r="BT12" s="414" t="inlineStr">
        <is>
          <t>EH</t>
        </is>
      </c>
      <c r="BU12" s="415" t="inlineStr">
        <is>
          <t>FI</t>
        </is>
      </c>
      <c r="BV12" s="408" t="inlineStr">
        <is>
          <t>GT</t>
        </is>
      </c>
      <c r="BW12" s="405" t="n"/>
      <c r="BX12" s="405" t="n"/>
      <c r="BY12" s="409" t="inlineStr">
        <is>
          <t>SI</t>
        </is>
      </c>
      <c r="BZ12" s="409" t="inlineStr">
        <is>
          <t>SI</t>
        </is>
      </c>
      <c r="CA12" s="409" t="inlineStr">
        <is>
          <t>SI</t>
        </is>
      </c>
      <c r="CB12" s="409" t="inlineStr">
        <is>
          <t>SI</t>
        </is>
      </c>
      <c r="CC12" s="409" t="inlineStr">
        <is>
          <t>SI</t>
        </is>
      </c>
      <c r="CD12" s="405" t="n"/>
      <c r="CE12" s="407" t="inlineStr">
        <is>
          <t>NI</t>
        </is>
      </c>
      <c r="CF12" s="407" t="inlineStr">
        <is>
          <t>NI</t>
        </is>
      </c>
      <c r="CG12" s="407" t="inlineStr">
        <is>
          <t>NI</t>
        </is>
      </c>
      <c r="CH12" s="407" t="inlineStr">
        <is>
          <t>NI</t>
        </is>
      </c>
      <c r="CI12" s="407" t="inlineStr">
        <is>
          <t>NI</t>
        </is>
      </c>
      <c r="CJ12" s="407" t="inlineStr">
        <is>
          <t>NI</t>
        </is>
      </c>
      <c r="CK12" s="405" t="n"/>
      <c r="CL12" s="405" t="n"/>
      <c r="CM12" s="409" t="inlineStr">
        <is>
          <t>SI</t>
        </is>
      </c>
      <c r="CN12" s="409" t="inlineStr">
        <is>
          <t>SI</t>
        </is>
      </c>
      <c r="CO12" s="409" t="inlineStr">
        <is>
          <t>SI</t>
        </is>
      </c>
      <c r="CP12" s="409" t="inlineStr">
        <is>
          <t>SI</t>
        </is>
      </c>
      <c r="CQ12" s="429" t="n"/>
      <c r="CR12" s="405" t="n"/>
      <c r="CS12" s="430" t="n"/>
      <c r="CT12" s="430" t="n"/>
      <c r="CU12" s="412" t="inlineStr">
        <is>
          <t>DI</t>
        </is>
      </c>
      <c r="CV12" s="412" t="inlineStr">
        <is>
          <t>DI</t>
        </is>
      </c>
      <c r="CW12" s="412" t="inlineStr">
        <is>
          <t>DI</t>
        </is>
      </c>
      <c r="CX12" s="412" t="inlineStr">
        <is>
          <t>DI</t>
        </is>
      </c>
      <c r="CY12" s="405" t="n"/>
      <c r="CZ12" s="405" t="n"/>
      <c r="DA12" s="416" t="inlineStr">
        <is>
          <t>SD</t>
        </is>
      </c>
      <c r="DB12" s="416" t="inlineStr">
        <is>
          <t>SD</t>
        </is>
      </c>
      <c r="DC12" s="414" t="inlineStr">
        <is>
          <t>EH</t>
        </is>
      </c>
      <c r="DD12" s="408" t="inlineStr">
        <is>
          <t>GT</t>
        </is>
      </c>
      <c r="DE12" s="408" t="inlineStr">
        <is>
          <t>GT</t>
        </is>
      </c>
      <c r="DF12" s="419" t="n"/>
      <c r="DG12" s="405" t="n"/>
      <c r="DH12" s="409" t="inlineStr">
        <is>
          <t>SI</t>
        </is>
      </c>
      <c r="DI12" s="409" t="inlineStr">
        <is>
          <t>SI</t>
        </is>
      </c>
      <c r="DJ12" s="409" t="inlineStr">
        <is>
          <t>SI</t>
        </is>
      </c>
      <c r="DK12" s="409" t="inlineStr">
        <is>
          <t>SI</t>
        </is>
      </c>
      <c r="DL12" s="409" t="inlineStr">
        <is>
          <t>SI</t>
        </is>
      </c>
      <c r="DM12" s="405" t="n"/>
      <c r="DN12" s="405" t="n"/>
      <c r="DO12" s="423" t="inlineStr">
        <is>
          <t>U</t>
        </is>
      </c>
      <c r="DP12" s="423" t="inlineStr">
        <is>
          <t>U</t>
        </is>
      </c>
      <c r="DQ12" s="423" t="inlineStr">
        <is>
          <t>U</t>
        </is>
      </c>
      <c r="DR12" s="423" t="inlineStr">
        <is>
          <t>U</t>
        </is>
      </c>
      <c r="DS12" s="429" t="n"/>
      <c r="DT12" s="405" t="n"/>
      <c r="DU12" s="407" t="inlineStr">
        <is>
          <t>NI</t>
        </is>
      </c>
      <c r="DV12" s="407" t="inlineStr">
        <is>
          <t>NI</t>
        </is>
      </c>
      <c r="DW12" s="407" t="inlineStr">
        <is>
          <t>NI</t>
        </is>
      </c>
      <c r="DX12" s="407" t="inlineStr">
        <is>
          <t>NI</t>
        </is>
      </c>
      <c r="DY12" s="407" t="inlineStr">
        <is>
          <t>NI</t>
        </is>
      </c>
      <c r="DZ12" s="413" t="inlineStr">
        <is>
          <t>NST</t>
        </is>
      </c>
      <c r="EA12" s="405" t="n"/>
      <c r="EB12" s="405" t="n"/>
      <c r="EC12" s="409" t="inlineStr">
        <is>
          <t>SI</t>
        </is>
      </c>
      <c r="ED12" s="409" t="inlineStr">
        <is>
          <t>SI</t>
        </is>
      </c>
      <c r="EE12" s="409" t="inlineStr">
        <is>
          <t>SI</t>
        </is>
      </c>
      <c r="EF12" s="429" t="n"/>
      <c r="EG12" s="409" t="inlineStr">
        <is>
          <t>SI</t>
        </is>
      </c>
      <c r="EH12" s="405" t="n"/>
      <c r="EI12" s="405" t="n"/>
      <c r="EJ12" s="405" t="n"/>
      <c r="EK12" s="420" t="n"/>
      <c r="EL12" s="420" t="n"/>
      <c r="EM12" s="420" t="n"/>
      <c r="EN12" s="420" t="n"/>
      <c r="EO12" s="405" t="n"/>
      <c r="EP12" s="430" t="n"/>
      <c r="EQ12" s="430" t="n"/>
      <c r="ER12" s="420" t="n"/>
      <c r="ES12" s="420" t="n"/>
      <c r="ET12" s="420" t="n"/>
      <c r="EU12" s="420" t="n"/>
      <c r="EV12" s="405" t="n"/>
      <c r="EW12" s="405" t="n"/>
      <c r="EX12" s="405" t="n"/>
      <c r="EY12" s="420" t="n"/>
      <c r="EZ12" s="420" t="n"/>
      <c r="FA12" s="429" t="n"/>
      <c r="FB12" s="420" t="n"/>
      <c r="FC12" s="405" t="n"/>
      <c r="FD12" s="405" t="n"/>
      <c r="FE12" s="432" t="n"/>
      <c r="FF12" s="420" t="n"/>
      <c r="FG12" s="417" t="inlineStr">
        <is>
          <t>Fobi</t>
        </is>
      </c>
      <c r="FH12" s="417" t="inlineStr">
        <is>
          <t>Fobi</t>
        </is>
      </c>
      <c r="FI12" s="417" t="inlineStr">
        <is>
          <t>Fobi</t>
        </is>
      </c>
      <c r="FJ12" s="405" t="n"/>
      <c r="FK12" s="407" t="inlineStr">
        <is>
          <t>NI</t>
        </is>
      </c>
      <c r="FL12" s="407" t="inlineStr">
        <is>
          <t>NI</t>
        </is>
      </c>
      <c r="FM12" s="407" t="inlineStr">
        <is>
          <t>NI</t>
        </is>
      </c>
      <c r="FN12" s="407" t="inlineStr">
        <is>
          <t>NI</t>
        </is>
      </c>
      <c r="FO12" s="407" t="inlineStr">
        <is>
          <t>NI</t>
        </is>
      </c>
      <c r="FP12" s="413" t="inlineStr">
        <is>
          <t>NST</t>
        </is>
      </c>
      <c r="FQ12" s="405" t="n"/>
      <c r="FR12" s="405" t="n"/>
      <c r="FS12" s="409" t="inlineStr">
        <is>
          <t>SI</t>
        </is>
      </c>
      <c r="FT12" s="409" t="inlineStr">
        <is>
          <t>SI</t>
        </is>
      </c>
      <c r="FU12" s="409" t="inlineStr">
        <is>
          <t>SI</t>
        </is>
      </c>
      <c r="FV12" s="409" t="inlineStr">
        <is>
          <t>SI</t>
        </is>
      </c>
      <c r="FW12" s="409" t="inlineStr">
        <is>
          <t>SI</t>
        </is>
      </c>
      <c r="FX12" s="405" t="n"/>
      <c r="FY12" s="405" t="n"/>
      <c r="FZ12" s="405" t="n"/>
      <c r="GA12" s="428" t="n"/>
      <c r="GB12" s="428" t="n"/>
      <c r="GC12" s="429" t="n"/>
      <c r="GD12" s="429" t="n"/>
      <c r="GE12" s="429" t="n"/>
      <c r="GF12" s="429" t="n"/>
      <c r="GG12" s="429" t="n"/>
      <c r="GH12" s="429" t="n"/>
      <c r="GI12" s="429" t="n"/>
      <c r="GJ12" s="429" t="n"/>
      <c r="GK12" s="429" t="n"/>
      <c r="GL12" s="429" t="n"/>
      <c r="GM12" s="429" t="n"/>
      <c r="GN12" s="429" t="n"/>
      <c r="GO12" s="429" t="n"/>
      <c r="GP12" s="429" t="n"/>
      <c r="GQ12" s="429" t="n"/>
      <c r="GR12" s="429" t="n"/>
      <c r="GS12" s="429" t="n"/>
      <c r="GT12" s="429" t="n"/>
      <c r="GU12" s="429" t="n"/>
      <c r="GV12" s="429" t="n"/>
      <c r="GW12" s="429" t="n"/>
      <c r="GX12" s="429" t="n"/>
      <c r="GY12" s="429" t="n"/>
      <c r="GZ12" s="429" t="n"/>
      <c r="HA12" s="429" t="n"/>
      <c r="HB12" s="429" t="n"/>
      <c r="HC12" s="429" t="n"/>
      <c r="HD12" s="429" t="n"/>
      <c r="HE12" s="429" t="n"/>
      <c r="HF12" s="429" t="n"/>
      <c r="HG12" s="429" t="n"/>
      <c r="HH12" s="429" t="n"/>
      <c r="HI12" s="429" t="n"/>
      <c r="HJ12" s="429" t="n"/>
      <c r="HK12" s="429" t="n"/>
      <c r="HL12" s="429" t="n"/>
      <c r="HM12" s="429" t="n"/>
      <c r="HN12" s="429" t="n"/>
      <c r="HO12" s="429" t="n"/>
      <c r="HP12" s="429" t="n"/>
      <c r="HQ12" s="429" t="n"/>
      <c r="HR12" s="429" t="n"/>
      <c r="HS12" s="429" t="n"/>
      <c r="HT12" s="429" t="n"/>
      <c r="HU12" s="429" t="n"/>
      <c r="HV12" s="429" t="n"/>
      <c r="HW12" s="429" t="n"/>
      <c r="HX12" s="429" t="n"/>
      <c r="HY12" s="429" t="n"/>
      <c r="HZ12" s="429" t="n"/>
      <c r="IA12" s="429" t="n"/>
      <c r="IB12" s="429" t="n"/>
      <c r="IC12" s="429" t="n"/>
      <c r="ID12" s="429" t="n"/>
      <c r="IE12" s="429" t="n"/>
      <c r="IF12" s="429" t="n"/>
      <c r="IG12" s="429" t="n"/>
      <c r="IH12" s="429" t="n"/>
      <c r="II12" s="429" t="n"/>
      <c r="IJ12" s="429" t="n"/>
      <c r="IK12" s="429" t="n"/>
      <c r="IL12" s="429" t="n"/>
      <c r="IM12" s="429" t="n"/>
      <c r="IN12" s="429" t="n"/>
      <c r="IO12" s="429" t="n"/>
      <c r="IP12" s="429" t="n"/>
      <c r="IQ12" s="429" t="n"/>
      <c r="IR12" s="429" t="n"/>
      <c r="IS12" s="429" t="n"/>
      <c r="IT12" s="429" t="n"/>
      <c r="IU12" s="429" t="n"/>
      <c r="IV12" s="429" t="n"/>
      <c r="IW12" s="429" t="n"/>
      <c r="IX12" s="429" t="n"/>
      <c r="IY12" s="429" t="n"/>
      <c r="IZ12" s="429" t="n"/>
      <c r="JA12" s="429" t="n"/>
      <c r="JB12" s="429" t="n"/>
      <c r="JC12" s="429" t="n"/>
      <c r="JD12" s="429" t="n"/>
      <c r="JE12" s="429" t="n"/>
      <c r="JF12" s="429" t="n"/>
      <c r="JG12" s="429" t="n"/>
      <c r="JH12" s="429" t="n"/>
      <c r="JI12" s="429" t="n"/>
      <c r="JJ12" s="429" t="n"/>
      <c r="JK12" s="429" t="n"/>
      <c r="JL12" s="429" t="n"/>
      <c r="JM12" s="429" t="n"/>
      <c r="JN12" s="429" t="n"/>
      <c r="JO12" s="429" t="n"/>
      <c r="JP12" s="429" t="n"/>
      <c r="JQ12" s="429" t="n"/>
      <c r="JR12" s="429" t="n"/>
      <c r="JS12" s="429" t="n"/>
      <c r="JT12" s="429" t="n"/>
      <c r="JU12" s="429" t="n"/>
      <c r="JV12" s="429" t="n"/>
      <c r="JW12" s="429" t="n"/>
      <c r="JX12" s="429" t="n"/>
      <c r="JY12" s="429" t="n"/>
      <c r="JZ12" s="429" t="n"/>
      <c r="KA12" s="429" t="n"/>
      <c r="KB12" s="429" t="n"/>
      <c r="KC12" s="429" t="n"/>
      <c r="KD12" s="429" t="n"/>
      <c r="KE12" s="429" t="n"/>
      <c r="KF12" s="429" t="n"/>
      <c r="KG12" s="429" t="n"/>
      <c r="KH12" s="429" t="n"/>
      <c r="KI12" s="429" t="n"/>
      <c r="KJ12" s="429" t="n"/>
      <c r="KK12" s="429" t="n"/>
      <c r="KL12" s="429" t="n"/>
      <c r="KM12" s="429" t="n"/>
      <c r="KN12" s="429" t="n"/>
      <c r="KO12" s="429" t="n"/>
      <c r="KP12" s="429" t="n"/>
    </row>
    <row r="13" ht="26" customHeight="1" thickBot="1">
      <c r="B13" s="402" t="inlineStr">
        <is>
          <t>Zeller</t>
        </is>
      </c>
      <c r="C13" s="429" t="n"/>
      <c r="D13" s="404" t="inlineStr">
        <is>
          <t>U    alt</t>
        </is>
      </c>
      <c r="E13" s="405" t="n"/>
      <c r="F13" s="405" t="n"/>
      <c r="G13" s="408" t="inlineStr">
        <is>
          <t>GT</t>
        </is>
      </c>
      <c r="H13" s="429" t="n"/>
      <c r="I13" s="415" t="inlineStr">
        <is>
          <t>FI</t>
        </is>
      </c>
      <c r="J13" s="415" t="inlineStr">
        <is>
          <t>FI</t>
        </is>
      </c>
      <c r="K13" s="415" t="inlineStr">
        <is>
          <t>FI</t>
        </is>
      </c>
      <c r="L13" s="405" t="n"/>
      <c r="M13" s="405" t="n"/>
      <c r="N13" s="413" t="inlineStr">
        <is>
          <t>NST</t>
        </is>
      </c>
      <c r="O13" s="410" t="inlineStr">
        <is>
          <t>FII</t>
        </is>
      </c>
      <c r="P13" s="410" t="inlineStr">
        <is>
          <t>FII</t>
        </is>
      </c>
      <c r="Q13" s="410" t="inlineStr">
        <is>
          <t>FII</t>
        </is>
      </c>
      <c r="R13" s="410" t="inlineStr">
        <is>
          <t>FII</t>
        </is>
      </c>
      <c r="S13" s="415" t="inlineStr">
        <is>
          <t>FI</t>
        </is>
      </c>
      <c r="T13" s="405" t="n"/>
      <c r="U13" s="415" t="inlineStr">
        <is>
          <t>FI</t>
        </is>
      </c>
      <c r="V13" s="415" t="inlineStr">
        <is>
          <t>FI</t>
        </is>
      </c>
      <c r="W13" s="415" t="inlineStr">
        <is>
          <t>FI</t>
        </is>
      </c>
      <c r="X13" s="415" t="inlineStr">
        <is>
          <t>FI</t>
        </is>
      </c>
      <c r="Y13" s="415" t="inlineStr">
        <is>
          <t>FI</t>
        </is>
      </c>
      <c r="Z13" s="405" t="n"/>
      <c r="AA13" s="405" t="n"/>
      <c r="AB13" s="411" t="inlineStr">
        <is>
          <t>KU</t>
        </is>
      </c>
      <c r="AC13" s="412" t="inlineStr">
        <is>
          <t>DI</t>
        </is>
      </c>
      <c r="AD13" s="412" t="inlineStr">
        <is>
          <t>DI</t>
        </is>
      </c>
      <c r="AE13" s="411" t="inlineStr">
        <is>
          <t>KU</t>
        </is>
      </c>
      <c r="AF13" s="412" t="inlineStr">
        <is>
          <t>DI</t>
        </is>
      </c>
      <c r="AG13" s="405" t="n"/>
      <c r="AH13" s="405" t="n"/>
      <c r="AI13" s="408" t="inlineStr">
        <is>
          <t>GT</t>
        </is>
      </c>
      <c r="AJ13" s="413" t="inlineStr">
        <is>
          <t>NST</t>
        </is>
      </c>
      <c r="AK13" s="415" t="inlineStr">
        <is>
          <t>FI</t>
        </is>
      </c>
      <c r="AL13" s="415" t="inlineStr">
        <is>
          <t>FI</t>
        </is>
      </c>
      <c r="AM13" s="415" t="inlineStr">
        <is>
          <t>FI</t>
        </is>
      </c>
      <c r="AN13" s="415" t="inlineStr">
        <is>
          <t>FI</t>
        </is>
      </c>
      <c r="AO13" s="405" t="n"/>
      <c r="AP13" s="415" t="inlineStr">
        <is>
          <t>FI</t>
        </is>
      </c>
      <c r="AQ13" s="415" t="inlineStr">
        <is>
          <t>FI</t>
        </is>
      </c>
      <c r="AR13" s="415" t="inlineStr">
        <is>
          <t>FI</t>
        </is>
      </c>
      <c r="AS13" s="415" t="inlineStr">
        <is>
          <t>FI</t>
        </is>
      </c>
      <c r="AT13" s="415" t="inlineStr">
        <is>
          <t>FI</t>
        </is>
      </c>
      <c r="AU13" s="405" t="n"/>
      <c r="AV13" s="407" t="inlineStr">
        <is>
          <t>NI</t>
        </is>
      </c>
      <c r="AW13" s="407" t="inlineStr">
        <is>
          <t>NI</t>
        </is>
      </c>
      <c r="AX13" s="407" t="inlineStr">
        <is>
          <t>NI</t>
        </is>
      </c>
      <c r="AY13" s="407" t="inlineStr">
        <is>
          <t>NI</t>
        </is>
      </c>
      <c r="AZ13" s="407" t="inlineStr">
        <is>
          <t>NI</t>
        </is>
      </c>
      <c r="BA13" s="413" t="inlineStr">
        <is>
          <t>NST</t>
        </is>
      </c>
      <c r="BB13" s="405" t="n"/>
      <c r="BC13" s="405" t="n"/>
      <c r="BD13" s="409" t="inlineStr">
        <is>
          <t>SI</t>
        </is>
      </c>
      <c r="BE13" s="409" t="inlineStr">
        <is>
          <t>SI</t>
        </is>
      </c>
      <c r="BF13" s="409" t="inlineStr">
        <is>
          <t>SI</t>
        </is>
      </c>
      <c r="BG13" s="409" t="inlineStr">
        <is>
          <t>SI</t>
        </is>
      </c>
      <c r="BH13" s="409" t="inlineStr">
        <is>
          <t>SI</t>
        </is>
      </c>
      <c r="BI13" s="405" t="n"/>
      <c r="BJ13" s="405" t="n"/>
      <c r="BK13" s="410" t="inlineStr">
        <is>
          <t>FII</t>
        </is>
      </c>
      <c r="BL13" s="410" t="inlineStr">
        <is>
          <t>FII</t>
        </is>
      </c>
      <c r="BM13" s="412" t="inlineStr">
        <is>
          <t>DI</t>
        </is>
      </c>
      <c r="BN13" s="412" t="inlineStr">
        <is>
          <t>DI</t>
        </is>
      </c>
      <c r="BO13" s="412" t="inlineStr">
        <is>
          <t>DI</t>
        </is>
      </c>
      <c r="BP13" s="405" t="n"/>
      <c r="BQ13" s="405" t="n"/>
      <c r="BR13" s="413" t="inlineStr">
        <is>
          <t>NST</t>
        </is>
      </c>
      <c r="BS13" s="408" t="inlineStr">
        <is>
          <t>GT</t>
        </is>
      </c>
      <c r="BT13" s="443" t="inlineStr">
        <is>
          <t>DII</t>
        </is>
      </c>
      <c r="BU13" s="443" t="inlineStr">
        <is>
          <t>DII</t>
        </is>
      </c>
      <c r="BV13" s="443" t="inlineStr">
        <is>
          <t>DII</t>
        </is>
      </c>
      <c r="BW13" s="415" t="inlineStr">
        <is>
          <t>FI</t>
        </is>
      </c>
      <c r="BX13" s="405" t="n"/>
      <c r="BY13" s="410" t="inlineStr">
        <is>
          <t>FII</t>
        </is>
      </c>
      <c r="BZ13" s="410" t="inlineStr">
        <is>
          <t>FII</t>
        </is>
      </c>
      <c r="CA13" s="410" t="inlineStr">
        <is>
          <t>FII</t>
        </is>
      </c>
      <c r="CB13" s="417" t="inlineStr">
        <is>
          <t>Fobi</t>
        </is>
      </c>
      <c r="CC13" s="417" t="inlineStr">
        <is>
          <t>Fobi</t>
        </is>
      </c>
      <c r="CD13" s="405" t="n"/>
      <c r="CE13" s="405" t="n"/>
      <c r="CF13" s="408" t="inlineStr">
        <is>
          <t>GT</t>
        </is>
      </c>
      <c r="CG13" s="410" t="inlineStr">
        <is>
          <t>FII</t>
        </is>
      </c>
      <c r="CH13" s="415" t="inlineStr">
        <is>
          <t>FI</t>
        </is>
      </c>
      <c r="CI13" s="423" t="inlineStr">
        <is>
          <t>U</t>
        </is>
      </c>
      <c r="CJ13" s="423" t="inlineStr">
        <is>
          <t>U</t>
        </is>
      </c>
      <c r="CK13" s="405" t="n"/>
      <c r="CL13" s="407" t="inlineStr">
        <is>
          <t>NI</t>
        </is>
      </c>
      <c r="CM13" s="407" t="inlineStr">
        <is>
          <t>NI</t>
        </is>
      </c>
      <c r="CN13" s="407" t="inlineStr">
        <is>
          <t>NI</t>
        </is>
      </c>
      <c r="CO13" s="407" t="inlineStr">
        <is>
          <t>NI</t>
        </is>
      </c>
      <c r="CP13" s="413" t="inlineStr">
        <is>
          <t>NST</t>
        </is>
      </c>
      <c r="CQ13" s="429" t="n"/>
      <c r="CR13" s="405" t="n"/>
      <c r="CS13" s="430" t="n"/>
      <c r="CT13" s="430" t="n"/>
      <c r="CU13" s="411" t="inlineStr">
        <is>
          <t>KU</t>
        </is>
      </c>
      <c r="CV13" s="410" t="inlineStr">
        <is>
          <t>FII</t>
        </is>
      </c>
      <c r="CW13" s="410" t="inlineStr">
        <is>
          <t>FII</t>
        </is>
      </c>
      <c r="CX13" s="411" t="inlineStr">
        <is>
          <t>KU</t>
        </is>
      </c>
      <c r="CY13" s="405" t="n"/>
      <c r="CZ13" s="405" t="n"/>
      <c r="DA13" s="412" t="inlineStr">
        <is>
          <t>DI</t>
        </is>
      </c>
      <c r="DB13" s="412" t="inlineStr">
        <is>
          <t>DI</t>
        </is>
      </c>
      <c r="DC13" s="412" t="inlineStr">
        <is>
          <t>DI</t>
        </is>
      </c>
      <c r="DD13" s="412" t="inlineStr">
        <is>
          <t>DI</t>
        </is>
      </c>
      <c r="DE13" s="412" t="inlineStr">
        <is>
          <t>DI</t>
        </is>
      </c>
      <c r="DF13" s="419" t="n"/>
      <c r="DG13" s="405" t="n"/>
      <c r="DH13" s="423" t="inlineStr">
        <is>
          <t>U</t>
        </is>
      </c>
      <c r="DI13" s="423" t="inlineStr">
        <is>
          <t>U</t>
        </is>
      </c>
      <c r="DJ13" s="423" t="inlineStr">
        <is>
          <t>U</t>
        </is>
      </c>
      <c r="DK13" s="423" t="inlineStr">
        <is>
          <t>U</t>
        </is>
      </c>
      <c r="DL13" s="423" t="inlineStr">
        <is>
          <t>U</t>
        </is>
      </c>
      <c r="DM13" s="405" t="n"/>
      <c r="DN13" s="405" t="n"/>
      <c r="DO13" s="423" t="inlineStr">
        <is>
          <t>U</t>
        </is>
      </c>
      <c r="DP13" s="423" t="inlineStr">
        <is>
          <t>U</t>
        </is>
      </c>
      <c r="DQ13" s="423" t="inlineStr">
        <is>
          <t>U</t>
        </is>
      </c>
      <c r="DR13" s="423" t="inlineStr">
        <is>
          <t>U</t>
        </is>
      </c>
      <c r="DS13" s="429" t="n"/>
      <c r="DT13" s="405" t="n"/>
      <c r="DU13" s="405" t="n"/>
      <c r="DV13" s="423" t="inlineStr">
        <is>
          <t>U</t>
        </is>
      </c>
      <c r="DW13" s="423" t="inlineStr">
        <is>
          <t>U</t>
        </is>
      </c>
      <c r="DX13" s="423" t="inlineStr">
        <is>
          <t>U</t>
        </is>
      </c>
      <c r="DY13" s="423" t="inlineStr">
        <is>
          <t>U</t>
        </is>
      </c>
      <c r="DZ13" s="423" t="inlineStr">
        <is>
          <t>U</t>
        </is>
      </c>
      <c r="EA13" s="405" t="n"/>
      <c r="EB13" s="407" t="inlineStr">
        <is>
          <t>NI</t>
        </is>
      </c>
      <c r="EC13" s="407" t="inlineStr">
        <is>
          <t>NI</t>
        </is>
      </c>
      <c r="ED13" s="407" t="inlineStr">
        <is>
          <t>NI</t>
        </is>
      </c>
      <c r="EE13" s="407" t="inlineStr">
        <is>
          <t>NI</t>
        </is>
      </c>
      <c r="EF13" s="429" t="n"/>
      <c r="EG13" s="413" t="inlineStr">
        <is>
          <t>NST</t>
        </is>
      </c>
      <c r="EH13" s="405" t="n"/>
      <c r="EI13" s="405" t="n"/>
      <c r="EJ13" s="432" t="n"/>
      <c r="EK13" s="420" t="n"/>
      <c r="EL13" s="420" t="n"/>
      <c r="EM13" s="420" t="n"/>
      <c r="EN13" s="423" t="inlineStr">
        <is>
          <t>U</t>
        </is>
      </c>
      <c r="EO13" s="405" t="n"/>
      <c r="EP13" s="430" t="n"/>
      <c r="EQ13" s="430" t="n"/>
      <c r="ER13" s="426" t="n"/>
      <c r="ES13" s="426" t="n"/>
      <c r="ET13" s="431" t="n"/>
      <c r="EU13" s="426" t="n"/>
      <c r="EV13" s="405" t="n"/>
      <c r="EW13" s="405" t="n"/>
      <c r="EX13" s="405" t="n"/>
      <c r="EY13" s="427" t="n"/>
      <c r="EZ13" s="427" t="n"/>
      <c r="FA13" s="429" t="n"/>
      <c r="FB13" s="444" t="n"/>
      <c r="FC13" s="405" t="n"/>
      <c r="FD13" s="405" t="n"/>
      <c r="FE13" s="421" t="n"/>
      <c r="FF13" s="422" t="n"/>
      <c r="FG13" s="422" t="n"/>
      <c r="FH13" s="422" t="n"/>
      <c r="FI13" s="422" t="n"/>
      <c r="FJ13" s="405" t="n"/>
      <c r="FK13" s="405" t="n"/>
      <c r="FL13" s="405" t="n"/>
      <c r="FM13" s="420" t="n"/>
      <c r="FN13" s="420" t="n"/>
      <c r="FO13" s="420" t="n"/>
      <c r="FP13" s="420" t="n"/>
      <c r="FQ13" s="405" t="n"/>
      <c r="FR13" s="407" t="inlineStr">
        <is>
          <t>NI</t>
        </is>
      </c>
      <c r="FS13" s="407" t="inlineStr">
        <is>
          <t>NI</t>
        </is>
      </c>
      <c r="FT13" s="407" t="inlineStr">
        <is>
          <t>NI</t>
        </is>
      </c>
      <c r="FU13" s="407" t="inlineStr">
        <is>
          <t>NI</t>
        </is>
      </c>
      <c r="FV13" s="407" t="inlineStr">
        <is>
          <t>NI</t>
        </is>
      </c>
      <c r="FW13" s="413" t="inlineStr">
        <is>
          <t>NST</t>
        </is>
      </c>
      <c r="FX13" s="405" t="n"/>
      <c r="FY13" s="405" t="n"/>
      <c r="FZ13" s="409" t="inlineStr">
        <is>
          <t>SI</t>
        </is>
      </c>
      <c r="GA13" s="409" t="inlineStr">
        <is>
          <t>SI</t>
        </is>
      </c>
      <c r="GB13" s="422" t="n"/>
      <c r="GC13" s="429" t="n"/>
      <c r="GD13" s="429" t="n"/>
      <c r="GE13" s="429" t="n"/>
      <c r="GF13" s="429" t="n"/>
      <c r="GG13" s="429" t="n"/>
      <c r="GH13" s="429" t="n"/>
      <c r="GI13" s="429" t="n"/>
      <c r="GJ13" s="429" t="n"/>
      <c r="GK13" s="429" t="n"/>
      <c r="GL13" s="429" t="n"/>
      <c r="GM13" s="429" t="n"/>
      <c r="GN13" s="429" t="n"/>
      <c r="GO13" s="429" t="n"/>
      <c r="GP13" s="429" t="n"/>
      <c r="GQ13" s="429" t="n"/>
      <c r="GR13" s="429" t="n"/>
      <c r="GS13" s="429" t="n"/>
      <c r="GT13" s="429" t="n"/>
      <c r="GU13" s="429" t="n"/>
      <c r="GV13" s="429" t="n"/>
      <c r="GW13" s="429" t="n"/>
      <c r="GX13" s="429" t="n"/>
      <c r="GY13" s="429" t="n"/>
      <c r="GZ13" s="429" t="n"/>
      <c r="HA13" s="429" t="n"/>
      <c r="HB13" s="429" t="n"/>
      <c r="HC13" s="429" t="n"/>
      <c r="HD13" s="429" t="n"/>
      <c r="HE13" s="429" t="n"/>
      <c r="HF13" s="429" t="n"/>
      <c r="HG13" s="429" t="n"/>
      <c r="HH13" s="429" t="n"/>
      <c r="HI13" s="429" t="n"/>
      <c r="HJ13" s="429" t="n"/>
      <c r="HK13" s="429" t="n"/>
      <c r="HL13" s="429" t="n"/>
      <c r="HM13" s="429" t="n"/>
      <c r="HN13" s="429" t="n"/>
      <c r="HO13" s="429" t="n"/>
      <c r="HP13" s="429" t="n"/>
      <c r="HQ13" s="429" t="n"/>
      <c r="HR13" s="429" t="n"/>
      <c r="HS13" s="429" t="n"/>
      <c r="HT13" s="429" t="n"/>
      <c r="HU13" s="429" t="n"/>
      <c r="HV13" s="429" t="n"/>
      <c r="HW13" s="429" t="n"/>
      <c r="HX13" s="429" t="n"/>
      <c r="HY13" s="429" t="n"/>
      <c r="HZ13" s="429" t="n"/>
      <c r="IA13" s="429" t="n"/>
      <c r="IB13" s="429" t="n"/>
      <c r="IC13" s="429" t="n"/>
      <c r="ID13" s="429" t="n"/>
      <c r="IE13" s="429" t="n"/>
      <c r="IF13" s="429" t="n"/>
      <c r="IG13" s="429" t="n"/>
      <c r="IH13" s="429" t="n"/>
      <c r="II13" s="429" t="n"/>
      <c r="IJ13" s="429" t="n"/>
      <c r="IK13" s="429" t="n"/>
      <c r="IL13" s="429" t="n"/>
      <c r="IM13" s="429" t="n"/>
      <c r="IN13" s="429" t="n"/>
      <c r="IO13" s="429" t="n"/>
      <c r="IP13" s="429" t="n"/>
      <c r="IQ13" s="429" t="n"/>
      <c r="IR13" s="429" t="n"/>
      <c r="IS13" s="429" t="n"/>
      <c r="IT13" s="429" t="n"/>
      <c r="IU13" s="429" t="n"/>
      <c r="IV13" s="429" t="n"/>
      <c r="IW13" s="429" t="n"/>
      <c r="IX13" s="429" t="n"/>
      <c r="IY13" s="429" t="n"/>
      <c r="IZ13" s="429" t="n"/>
      <c r="JA13" s="429" t="n"/>
      <c r="JB13" s="429" t="n"/>
      <c r="JC13" s="429" t="n"/>
      <c r="JD13" s="429" t="n"/>
      <c r="JE13" s="429" t="n"/>
      <c r="JF13" s="429" t="n"/>
      <c r="JG13" s="429" t="n"/>
      <c r="JH13" s="429" t="n"/>
      <c r="JI13" s="429" t="n"/>
      <c r="JJ13" s="429" t="n"/>
      <c r="JK13" s="429" t="n"/>
      <c r="JL13" s="429" t="n"/>
      <c r="JM13" s="429" t="n"/>
      <c r="JN13" s="429" t="n"/>
      <c r="JO13" s="429" t="n"/>
      <c r="JP13" s="429" t="n"/>
      <c r="JQ13" s="429" t="n"/>
      <c r="JR13" s="429" t="n"/>
      <c r="JS13" s="429" t="n"/>
      <c r="JT13" s="429" t="n"/>
      <c r="JU13" s="429" t="n"/>
      <c r="JV13" s="429" t="n"/>
      <c r="JW13" s="429" t="n"/>
      <c r="JX13" s="429" t="n"/>
      <c r="JY13" s="429" t="n"/>
      <c r="JZ13" s="429" t="n"/>
      <c r="KA13" s="429" t="n"/>
      <c r="KB13" s="429" t="n"/>
      <c r="KC13" s="429" t="n"/>
      <c r="KD13" s="429" t="n"/>
      <c r="KE13" s="429" t="n"/>
      <c r="KF13" s="429" t="n"/>
      <c r="KG13" s="429" t="n"/>
      <c r="KH13" s="429" t="n"/>
      <c r="KI13" s="429" t="n"/>
      <c r="KJ13" s="429" t="n"/>
      <c r="KK13" s="429" t="n"/>
      <c r="KL13" s="429" t="n"/>
      <c r="KM13" s="429" t="n"/>
      <c r="KN13" s="429" t="n"/>
      <c r="KO13" s="429" t="n"/>
      <c r="KP13" s="429" t="n"/>
    </row>
    <row r="14" ht="26" customHeight="1" thickBot="1">
      <c r="B14" s="402" t="inlineStr">
        <is>
          <t>Behrendt</t>
        </is>
      </c>
      <c r="C14" s="429" t="n"/>
      <c r="D14" s="432" t="n"/>
      <c r="E14" s="405" t="n"/>
      <c r="F14" s="405" t="n"/>
      <c r="G14" s="432" t="n"/>
      <c r="H14" s="429" t="n"/>
      <c r="I14" s="420" t="n"/>
      <c r="J14" s="420" t="n"/>
      <c r="K14" s="432" t="n"/>
      <c r="L14" s="405" t="n"/>
      <c r="M14" s="405" t="n"/>
      <c r="N14" s="432" t="n"/>
      <c r="O14" s="420" t="n"/>
      <c r="P14" s="420" t="n"/>
      <c r="Q14" s="420" t="n"/>
      <c r="R14" s="432" t="n"/>
      <c r="S14" s="405" t="n"/>
      <c r="T14" s="405" t="n"/>
      <c r="U14" s="432" t="n"/>
      <c r="V14" s="420" t="n"/>
      <c r="W14" s="420" t="n"/>
      <c r="X14" s="420" t="n"/>
      <c r="Y14" s="432" t="n"/>
      <c r="Z14" s="405" t="n"/>
      <c r="AA14" s="405" t="n"/>
      <c r="AB14" s="432" t="n"/>
      <c r="AC14" s="420" t="n"/>
      <c r="AD14" s="420" t="n"/>
      <c r="AE14" s="420" t="n"/>
      <c r="AF14" s="432" t="n"/>
      <c r="AG14" s="405" t="n"/>
      <c r="AH14" s="405" t="n"/>
      <c r="AI14" s="445" t="inlineStr">
        <is>
          <t>1.AT</t>
        </is>
      </c>
      <c r="AJ14" s="410" t="inlineStr">
        <is>
          <t>FII</t>
        </is>
      </c>
      <c r="AK14" s="410" t="inlineStr">
        <is>
          <t>FII</t>
        </is>
      </c>
      <c r="AL14" s="410" t="inlineStr">
        <is>
          <t>FII</t>
        </is>
      </c>
      <c r="AM14" s="410" t="inlineStr">
        <is>
          <t>FII</t>
        </is>
      </c>
      <c r="AN14" s="405" t="n"/>
      <c r="AO14" s="405" t="n"/>
      <c r="AP14" s="410" t="inlineStr">
        <is>
          <t>FII</t>
        </is>
      </c>
      <c r="AQ14" s="410" t="inlineStr">
        <is>
          <t>FII</t>
        </is>
      </c>
      <c r="AR14" s="410" t="inlineStr">
        <is>
          <t>FII</t>
        </is>
      </c>
      <c r="AS14" s="410" t="inlineStr">
        <is>
          <t>FII</t>
        </is>
      </c>
      <c r="AT14" s="410" t="inlineStr">
        <is>
          <t>FII</t>
        </is>
      </c>
      <c r="AU14" s="405" t="n"/>
      <c r="AV14" s="405" t="n"/>
      <c r="AW14" s="408" t="inlineStr">
        <is>
          <t>GT</t>
        </is>
      </c>
      <c r="AX14" s="410" t="inlineStr">
        <is>
          <t>FII</t>
        </is>
      </c>
      <c r="AY14" s="410" t="inlineStr">
        <is>
          <t>FII</t>
        </is>
      </c>
      <c r="AZ14" s="415" t="inlineStr">
        <is>
          <t>FI</t>
        </is>
      </c>
      <c r="BA14" s="410" t="inlineStr">
        <is>
          <t>FII</t>
        </is>
      </c>
      <c r="BB14" s="405" t="n"/>
      <c r="BC14" s="405" t="n"/>
      <c r="BD14" s="446" t="inlineStr">
        <is>
          <t>SII</t>
        </is>
      </c>
      <c r="BE14" s="446" t="inlineStr">
        <is>
          <t>SII</t>
        </is>
      </c>
      <c r="BF14" s="446" t="inlineStr">
        <is>
          <t>SII</t>
        </is>
      </c>
      <c r="BG14" s="446" t="inlineStr">
        <is>
          <t>SII</t>
        </is>
      </c>
      <c r="BH14" s="446" t="inlineStr">
        <is>
          <t>SII</t>
        </is>
      </c>
      <c r="BI14" s="405" t="n"/>
      <c r="BJ14" s="405" t="n"/>
      <c r="BK14" s="415" t="inlineStr">
        <is>
          <t>FI</t>
        </is>
      </c>
      <c r="BL14" s="415" t="inlineStr">
        <is>
          <t>FI</t>
        </is>
      </c>
      <c r="BM14" s="415" t="inlineStr">
        <is>
          <t>FI</t>
        </is>
      </c>
      <c r="BN14" s="415" t="inlineStr">
        <is>
          <t>FI</t>
        </is>
      </c>
      <c r="BO14" s="415" t="inlineStr">
        <is>
          <t>FI</t>
        </is>
      </c>
      <c r="BP14" s="405" t="n"/>
      <c r="BQ14" s="405" t="n"/>
      <c r="BR14" s="409" t="inlineStr">
        <is>
          <t>SI</t>
        </is>
      </c>
      <c r="BS14" s="409" t="inlineStr">
        <is>
          <t>SI</t>
        </is>
      </c>
      <c r="BT14" s="409" t="inlineStr">
        <is>
          <t>SI</t>
        </is>
      </c>
      <c r="BU14" s="409" t="inlineStr">
        <is>
          <t>SI</t>
        </is>
      </c>
      <c r="BV14" s="409" t="inlineStr">
        <is>
          <t>SI</t>
        </is>
      </c>
      <c r="BW14" s="405" t="n"/>
      <c r="BX14" s="405" t="n"/>
      <c r="BY14" s="415" t="inlineStr">
        <is>
          <t>FI</t>
        </is>
      </c>
      <c r="BZ14" s="415" t="inlineStr">
        <is>
          <t>FI</t>
        </is>
      </c>
      <c r="CA14" s="415" t="inlineStr">
        <is>
          <t>FI</t>
        </is>
      </c>
      <c r="CB14" s="417" t="inlineStr">
        <is>
          <t>Fobi</t>
        </is>
      </c>
      <c r="CC14" s="417" t="inlineStr">
        <is>
          <t>Fobi</t>
        </is>
      </c>
      <c r="CD14" s="405" t="n"/>
      <c r="CE14" s="405" t="n"/>
      <c r="CF14" s="409" t="inlineStr">
        <is>
          <t>SI</t>
        </is>
      </c>
      <c r="CG14" s="409" t="inlineStr">
        <is>
          <t>SI</t>
        </is>
      </c>
      <c r="CH14" s="409" t="inlineStr">
        <is>
          <t>SI</t>
        </is>
      </c>
      <c r="CI14" s="409" t="inlineStr">
        <is>
          <t>SI</t>
        </is>
      </c>
      <c r="CJ14" s="423" t="inlineStr">
        <is>
          <t>U</t>
        </is>
      </c>
      <c r="CK14" s="405" t="n"/>
      <c r="CL14" s="405" t="n"/>
      <c r="CM14" s="407" t="inlineStr">
        <is>
          <t>NI</t>
        </is>
      </c>
      <c r="CN14" s="407" t="inlineStr">
        <is>
          <t>NI</t>
        </is>
      </c>
      <c r="CO14" s="407" t="inlineStr">
        <is>
          <t>NI</t>
        </is>
      </c>
      <c r="CP14" s="407" t="inlineStr">
        <is>
          <t>NI</t>
        </is>
      </c>
      <c r="CQ14" s="429" t="n"/>
      <c r="CR14" s="405" t="n"/>
      <c r="CS14" s="430" t="n"/>
      <c r="CT14" s="430" t="n"/>
      <c r="CU14" s="415" t="inlineStr">
        <is>
          <t>FI</t>
        </is>
      </c>
      <c r="CV14" s="415" t="inlineStr">
        <is>
          <t>FI</t>
        </is>
      </c>
      <c r="CW14" s="415" t="inlineStr">
        <is>
          <t>FI</t>
        </is>
      </c>
      <c r="CX14" s="415" t="inlineStr">
        <is>
          <t>FI</t>
        </is>
      </c>
      <c r="CY14" s="405" t="n"/>
      <c r="CZ14" s="405" t="n"/>
      <c r="DA14" s="410" t="inlineStr">
        <is>
          <t>FII</t>
        </is>
      </c>
      <c r="DB14" s="410" t="inlineStr">
        <is>
          <t>FII</t>
        </is>
      </c>
      <c r="DC14" s="410" t="inlineStr">
        <is>
          <t>FII</t>
        </is>
      </c>
      <c r="DD14" s="410" t="inlineStr">
        <is>
          <t>FII</t>
        </is>
      </c>
      <c r="DE14" s="410" t="inlineStr">
        <is>
          <t>FII</t>
        </is>
      </c>
      <c r="DF14" s="419" t="n"/>
      <c r="DG14" s="407" t="inlineStr">
        <is>
          <t>NI</t>
        </is>
      </c>
      <c r="DH14" s="407" t="inlineStr">
        <is>
          <t>NI</t>
        </is>
      </c>
      <c r="DI14" s="407" t="inlineStr">
        <is>
          <t>NI</t>
        </is>
      </c>
      <c r="DJ14" s="407" t="inlineStr">
        <is>
          <t>NI</t>
        </is>
      </c>
      <c r="DK14" s="407" t="inlineStr">
        <is>
          <t>NI</t>
        </is>
      </c>
      <c r="DL14" s="413" t="inlineStr">
        <is>
          <t>NST</t>
        </is>
      </c>
      <c r="DM14" s="405" t="n"/>
      <c r="DN14" s="405" t="n"/>
      <c r="DO14" s="409" t="inlineStr">
        <is>
          <t>SI</t>
        </is>
      </c>
      <c r="DP14" s="409" t="inlineStr">
        <is>
          <t>SI</t>
        </is>
      </c>
      <c r="DQ14" s="409" t="inlineStr">
        <is>
          <t>SI</t>
        </is>
      </c>
      <c r="DR14" s="409" t="inlineStr">
        <is>
          <t>SI</t>
        </is>
      </c>
      <c r="DS14" s="429" t="n"/>
      <c r="DT14" s="405" t="n"/>
      <c r="DU14" s="405" t="n"/>
      <c r="DV14" s="405" t="n"/>
      <c r="DW14" s="428" t="n"/>
      <c r="DX14" s="428" t="n"/>
      <c r="DY14" s="428" t="n"/>
      <c r="DZ14" s="428" t="n"/>
      <c r="EA14" s="405" t="n"/>
      <c r="EB14" s="405" t="n"/>
      <c r="EC14" s="405" t="n"/>
      <c r="ED14" s="420" t="n"/>
      <c r="EE14" s="420" t="n"/>
      <c r="EF14" s="429" t="n"/>
      <c r="EG14" s="420" t="n"/>
      <c r="EH14" s="405" t="n"/>
      <c r="EI14" s="405" t="n"/>
      <c r="EJ14" s="405" t="n"/>
      <c r="EK14" s="420" t="n"/>
      <c r="EL14" s="420" t="n"/>
      <c r="EM14" s="420" t="n"/>
      <c r="EN14" s="431" t="n"/>
      <c r="EO14" s="405" t="n"/>
      <c r="EP14" s="430" t="n"/>
      <c r="EQ14" s="430" t="n"/>
      <c r="ER14" s="420" t="n"/>
      <c r="ES14" s="420" t="n"/>
      <c r="ET14" s="420" t="n"/>
      <c r="EU14" s="420" t="n"/>
      <c r="EV14" s="405" t="n"/>
      <c r="EW14" s="405" t="n"/>
      <c r="EX14" s="405" t="n"/>
      <c r="EY14" s="427" t="n"/>
      <c r="EZ14" s="427" t="n"/>
      <c r="FA14" s="429" t="n"/>
      <c r="FB14" s="420" t="n"/>
      <c r="FC14" s="405" t="n"/>
      <c r="FD14" s="407" t="inlineStr">
        <is>
          <t>NI</t>
        </is>
      </c>
      <c r="FE14" s="407" t="inlineStr">
        <is>
          <t>NI</t>
        </is>
      </c>
      <c r="FF14" s="407" t="inlineStr">
        <is>
          <t>NI</t>
        </is>
      </c>
      <c r="FG14" s="407" t="inlineStr">
        <is>
          <t>NI</t>
        </is>
      </c>
      <c r="FH14" s="407" t="inlineStr">
        <is>
          <t>NI</t>
        </is>
      </c>
      <c r="FI14" s="413" t="inlineStr">
        <is>
          <t>NST</t>
        </is>
      </c>
      <c r="FJ14" s="405" t="n"/>
      <c r="FK14" s="405" t="n"/>
      <c r="FL14" s="409" t="inlineStr">
        <is>
          <t>SI</t>
        </is>
      </c>
      <c r="FM14" s="409" t="inlineStr">
        <is>
          <t>SI</t>
        </is>
      </c>
      <c r="FN14" s="409" t="inlineStr">
        <is>
          <t>SI</t>
        </is>
      </c>
      <c r="FO14" s="409" t="inlineStr">
        <is>
          <t>SI</t>
        </is>
      </c>
      <c r="FP14" s="409" t="inlineStr">
        <is>
          <t>SI</t>
        </is>
      </c>
      <c r="FQ14" s="405" t="n"/>
      <c r="FR14" s="405" t="n"/>
      <c r="FS14" s="405" t="n"/>
      <c r="FT14" s="420" t="n"/>
      <c r="FU14" s="426" t="n"/>
      <c r="FV14" s="420" t="n"/>
      <c r="FW14" s="420" t="n"/>
      <c r="FX14" s="405" t="n"/>
      <c r="FY14" s="405" t="n"/>
      <c r="FZ14" s="405" t="n"/>
      <c r="GA14" s="420" t="n"/>
      <c r="GB14" s="428" t="n"/>
      <c r="GC14" s="429" t="n"/>
      <c r="GD14" s="429" t="n"/>
      <c r="GE14" s="429" t="n"/>
      <c r="GF14" s="429" t="n"/>
      <c r="GG14" s="429" t="n"/>
      <c r="GH14" s="429" t="n"/>
      <c r="GI14" s="429" t="n"/>
      <c r="GJ14" s="429" t="n"/>
      <c r="GK14" s="429" t="n"/>
      <c r="GL14" s="429" t="n"/>
      <c r="GM14" s="429" t="n"/>
      <c r="GN14" s="429" t="n"/>
      <c r="GO14" s="429" t="n"/>
      <c r="GP14" s="429" t="n"/>
      <c r="GQ14" s="429" t="n"/>
      <c r="GR14" s="429" t="n"/>
      <c r="GS14" s="429" t="n"/>
      <c r="GT14" s="429" t="n"/>
      <c r="GU14" s="429" t="n"/>
      <c r="GV14" s="429" t="n"/>
      <c r="GW14" s="429" t="n"/>
      <c r="GX14" s="429" t="n"/>
      <c r="GY14" s="429" t="n"/>
      <c r="GZ14" s="429" t="n"/>
      <c r="HA14" s="429" t="n"/>
      <c r="HB14" s="429" t="n"/>
      <c r="HC14" s="429" t="n"/>
      <c r="HD14" s="429" t="n"/>
      <c r="HE14" s="429" t="n"/>
      <c r="HF14" s="429" t="n"/>
      <c r="HG14" s="429" t="n"/>
      <c r="HH14" s="429" t="n"/>
      <c r="HI14" s="429" t="n"/>
      <c r="HJ14" s="429" t="n"/>
      <c r="HK14" s="429" t="n"/>
      <c r="HL14" s="429" t="n"/>
      <c r="HM14" s="429" t="n"/>
      <c r="HN14" s="429" t="n"/>
      <c r="HO14" s="429" t="n"/>
      <c r="HP14" s="429" t="n"/>
      <c r="HQ14" s="429" t="n"/>
      <c r="HR14" s="429" t="n"/>
      <c r="HS14" s="429" t="n"/>
      <c r="HT14" s="429" t="n"/>
      <c r="HU14" s="429" t="n"/>
      <c r="HV14" s="429" t="n"/>
      <c r="HW14" s="429" t="n"/>
      <c r="HX14" s="429" t="n"/>
      <c r="HY14" s="429" t="n"/>
      <c r="HZ14" s="429" t="n"/>
      <c r="IA14" s="429" t="n"/>
      <c r="IB14" s="429" t="n"/>
      <c r="IC14" s="429" t="n"/>
      <c r="ID14" s="429" t="n"/>
      <c r="IE14" s="429" t="n"/>
      <c r="IF14" s="429" t="n"/>
      <c r="IG14" s="429" t="n"/>
      <c r="IH14" s="429" t="n"/>
      <c r="II14" s="429" t="n"/>
      <c r="IJ14" s="429" t="n"/>
      <c r="IK14" s="429" t="n"/>
      <c r="IL14" s="429" t="n"/>
      <c r="IM14" s="429" t="n"/>
      <c r="IN14" s="429" t="n"/>
      <c r="IO14" s="429" t="n"/>
      <c r="IP14" s="429" t="n"/>
      <c r="IQ14" s="429" t="n"/>
      <c r="IR14" s="429" t="n"/>
      <c r="IS14" s="429" t="n"/>
      <c r="IT14" s="429" t="n"/>
      <c r="IU14" s="429" t="n"/>
      <c r="IV14" s="429" t="n"/>
      <c r="IW14" s="429" t="n"/>
      <c r="IX14" s="429" t="n"/>
      <c r="IY14" s="429" t="n"/>
      <c r="IZ14" s="429" t="n"/>
      <c r="JA14" s="429" t="n"/>
      <c r="JB14" s="429" t="n"/>
      <c r="JC14" s="429" t="n"/>
      <c r="JD14" s="429" t="n"/>
      <c r="JE14" s="429" t="n"/>
      <c r="JF14" s="429" t="n"/>
      <c r="JG14" s="429" t="n"/>
      <c r="JH14" s="429" t="n"/>
      <c r="JI14" s="429" t="n"/>
      <c r="JJ14" s="429" t="n"/>
      <c r="JK14" s="429" t="n"/>
      <c r="JL14" s="429" t="n"/>
      <c r="JM14" s="429" t="n"/>
      <c r="JN14" s="429" t="n"/>
      <c r="JO14" s="429" t="n"/>
      <c r="JP14" s="429" t="n"/>
      <c r="JQ14" s="429" t="n"/>
      <c r="JR14" s="429" t="n"/>
      <c r="JS14" s="429" t="n"/>
      <c r="JT14" s="429" t="n"/>
      <c r="JU14" s="429" t="n"/>
      <c r="JV14" s="429" t="n"/>
      <c r="JW14" s="429" t="n"/>
      <c r="JX14" s="429" t="n"/>
      <c r="JY14" s="429" t="n"/>
      <c r="JZ14" s="429" t="n"/>
      <c r="KA14" s="429" t="n"/>
      <c r="KB14" s="429" t="n"/>
      <c r="KC14" s="429" t="n"/>
      <c r="KD14" s="429" t="n"/>
      <c r="KE14" s="429" t="n"/>
      <c r="KF14" s="429" t="n"/>
      <c r="KG14" s="429" t="n"/>
      <c r="KH14" s="429" t="n"/>
      <c r="KI14" s="429" t="n"/>
      <c r="KJ14" s="429" t="n"/>
      <c r="KK14" s="429" t="n"/>
      <c r="KL14" s="429" t="n"/>
      <c r="KM14" s="429" t="n"/>
      <c r="KN14" s="429" t="n"/>
      <c r="KO14" s="429" t="n"/>
      <c r="KP14" s="429" t="n"/>
    </row>
    <row r="15" ht="26" customHeight="1" thickBot="1">
      <c r="B15" s="402" t="inlineStr">
        <is>
          <t>Krempl</t>
        </is>
      </c>
      <c r="C15" s="429" t="n"/>
      <c r="D15" s="404" t="inlineStr">
        <is>
          <t>U    alt</t>
        </is>
      </c>
      <c r="E15" s="405" t="n"/>
      <c r="F15" s="405" t="n"/>
      <c r="G15" s="404" t="inlineStr">
        <is>
          <t>U    alt</t>
        </is>
      </c>
      <c r="H15" s="429" t="n"/>
      <c r="I15" s="408" t="inlineStr">
        <is>
          <t>GT</t>
        </is>
      </c>
      <c r="J15" s="411" t="inlineStr">
        <is>
          <t>KU</t>
        </is>
      </c>
      <c r="K15" s="408" t="inlineStr">
        <is>
          <t>GT</t>
        </is>
      </c>
      <c r="L15" s="405" t="n"/>
      <c r="M15" s="405" t="n"/>
      <c r="N15" s="412" t="inlineStr">
        <is>
          <t>DI</t>
        </is>
      </c>
      <c r="O15" s="408" t="inlineStr">
        <is>
          <t>GT</t>
        </is>
      </c>
      <c r="P15" s="408" t="inlineStr">
        <is>
          <t>GT</t>
        </is>
      </c>
      <c r="Q15" s="412" t="inlineStr">
        <is>
          <t>DI</t>
        </is>
      </c>
      <c r="R15" s="408" t="inlineStr">
        <is>
          <t>GT</t>
        </is>
      </c>
      <c r="S15" s="405" t="n"/>
      <c r="T15" s="405" t="n"/>
      <c r="U15" s="411" t="inlineStr">
        <is>
          <t>KU</t>
        </is>
      </c>
      <c r="V15" s="408" t="inlineStr">
        <is>
          <t>GT</t>
        </is>
      </c>
      <c r="W15" s="408" t="inlineStr">
        <is>
          <t>GT</t>
        </is>
      </c>
      <c r="X15" s="411" t="inlineStr">
        <is>
          <t>KU</t>
        </is>
      </c>
      <c r="Y15" s="408" t="inlineStr">
        <is>
          <t>GT</t>
        </is>
      </c>
      <c r="Z15" s="405" t="n"/>
      <c r="AA15" s="405" t="n"/>
      <c r="AB15" s="412" t="inlineStr">
        <is>
          <t>DI</t>
        </is>
      </c>
      <c r="AC15" s="412" t="inlineStr">
        <is>
          <t>DI</t>
        </is>
      </c>
      <c r="AD15" s="408" t="inlineStr">
        <is>
          <t>GT</t>
        </is>
      </c>
      <c r="AE15" s="412" t="inlineStr">
        <is>
          <t>DI</t>
        </is>
      </c>
      <c r="AF15" s="408" t="inlineStr">
        <is>
          <t>GT</t>
        </is>
      </c>
      <c r="AG15" s="405" t="n"/>
      <c r="AH15" s="405" t="n"/>
      <c r="AI15" s="410" t="inlineStr">
        <is>
          <t>FII</t>
        </is>
      </c>
      <c r="AJ15" s="447" t="inlineStr">
        <is>
          <t>A</t>
        </is>
      </c>
      <c r="AK15" s="447" t="inlineStr">
        <is>
          <t>A</t>
        </is>
      </c>
      <c r="AL15" s="447" t="inlineStr">
        <is>
          <t>A</t>
        </is>
      </c>
      <c r="AM15" s="447" t="inlineStr">
        <is>
          <t>A</t>
        </is>
      </c>
      <c r="AN15" s="405" t="n"/>
      <c r="AO15" s="405" t="n"/>
      <c r="AP15" s="412" t="inlineStr">
        <is>
          <t>DI</t>
        </is>
      </c>
      <c r="AQ15" s="412" t="inlineStr">
        <is>
          <t>DI</t>
        </is>
      </c>
      <c r="AR15" s="408" t="inlineStr">
        <is>
          <t>GT</t>
        </is>
      </c>
      <c r="AS15" s="408" t="inlineStr">
        <is>
          <t>GT</t>
        </is>
      </c>
      <c r="AT15" s="408" t="inlineStr">
        <is>
          <t>GT</t>
        </is>
      </c>
      <c r="AU15" s="405" t="n"/>
      <c r="AV15" s="405" t="n"/>
      <c r="AW15" s="411" t="inlineStr">
        <is>
          <t>KU</t>
        </is>
      </c>
      <c r="AX15" s="412" t="inlineStr">
        <is>
          <t>DI</t>
        </is>
      </c>
      <c r="AY15" s="408" t="inlineStr">
        <is>
          <t>GT</t>
        </is>
      </c>
      <c r="AZ15" s="411" t="inlineStr">
        <is>
          <t>KU</t>
        </is>
      </c>
      <c r="BA15" s="412" t="inlineStr">
        <is>
          <t>DI</t>
        </is>
      </c>
      <c r="BB15" s="405" t="n"/>
      <c r="BC15" s="405" t="n"/>
      <c r="BD15" s="408" t="inlineStr">
        <is>
          <t>GT</t>
        </is>
      </c>
      <c r="BE15" s="408" t="inlineStr">
        <is>
          <t>GT</t>
        </is>
      </c>
      <c r="BF15" s="411" t="inlineStr">
        <is>
          <t>KU</t>
        </is>
      </c>
      <c r="BG15" s="417" t="inlineStr">
        <is>
          <t>Fobi</t>
        </is>
      </c>
      <c r="BH15" s="417" t="inlineStr">
        <is>
          <t>Fobi</t>
        </is>
      </c>
      <c r="BI15" s="405" t="n"/>
      <c r="BJ15" s="405" t="n"/>
      <c r="BK15" s="443" t="inlineStr">
        <is>
          <t>DII</t>
        </is>
      </c>
      <c r="BL15" s="443" t="inlineStr">
        <is>
          <t>DII</t>
        </is>
      </c>
      <c r="BM15" s="414" t="inlineStr">
        <is>
          <t>EH</t>
        </is>
      </c>
      <c r="BN15" s="408" t="inlineStr">
        <is>
          <t>GT</t>
        </is>
      </c>
      <c r="BO15" s="408" t="inlineStr">
        <is>
          <t>GT</t>
        </is>
      </c>
      <c r="BP15" s="405" t="n"/>
      <c r="BQ15" s="405" t="n"/>
      <c r="BR15" s="443" t="inlineStr">
        <is>
          <t>DII</t>
        </is>
      </c>
      <c r="BS15" s="443" t="inlineStr">
        <is>
          <t>DII</t>
        </is>
      </c>
      <c r="BT15" s="408" t="inlineStr">
        <is>
          <t>GT</t>
        </is>
      </c>
      <c r="BU15" s="408" t="inlineStr">
        <is>
          <t>GT</t>
        </is>
      </c>
      <c r="BV15" s="408" t="inlineStr">
        <is>
          <t>GT</t>
        </is>
      </c>
      <c r="BW15" s="405" t="n"/>
      <c r="BX15" s="405" t="n"/>
      <c r="BY15" s="408" t="inlineStr">
        <is>
          <t>GT</t>
        </is>
      </c>
      <c r="BZ15" s="408" t="inlineStr">
        <is>
          <t>GT</t>
        </is>
      </c>
      <c r="CA15" s="408" t="inlineStr">
        <is>
          <t>GT</t>
        </is>
      </c>
      <c r="CB15" s="410" t="inlineStr">
        <is>
          <t>FII</t>
        </is>
      </c>
      <c r="CC15" s="410" t="inlineStr">
        <is>
          <t>FII</t>
        </is>
      </c>
      <c r="CD15" s="405" t="n"/>
      <c r="CE15" s="405" t="n"/>
      <c r="CF15" s="411" t="inlineStr">
        <is>
          <t>KU</t>
        </is>
      </c>
      <c r="CG15" s="412" t="inlineStr">
        <is>
          <t>DI</t>
        </is>
      </c>
      <c r="CH15" s="408" t="inlineStr">
        <is>
          <t>GT</t>
        </is>
      </c>
      <c r="CI15" s="408" t="inlineStr">
        <is>
          <t>GT</t>
        </is>
      </c>
      <c r="CJ15" s="408" t="inlineStr">
        <is>
          <t>GT</t>
        </is>
      </c>
      <c r="CK15" s="405" t="n"/>
      <c r="CL15" s="405" t="n"/>
      <c r="CM15" s="408" t="inlineStr">
        <is>
          <t>GT</t>
        </is>
      </c>
      <c r="CN15" s="408" t="inlineStr">
        <is>
          <t>GT</t>
        </is>
      </c>
      <c r="CO15" s="412" t="inlineStr">
        <is>
          <t>DI</t>
        </is>
      </c>
      <c r="CP15" s="412" t="inlineStr">
        <is>
          <t>DI</t>
        </is>
      </c>
      <c r="CQ15" s="429" t="n"/>
      <c r="CR15" s="405" t="n"/>
      <c r="CS15" s="430" t="n"/>
      <c r="CT15" s="430" t="n"/>
      <c r="CU15" s="423" t="inlineStr">
        <is>
          <t>U</t>
        </is>
      </c>
      <c r="CV15" s="423" t="inlineStr">
        <is>
          <t>U</t>
        </is>
      </c>
      <c r="CW15" s="423" t="inlineStr">
        <is>
          <t>U</t>
        </is>
      </c>
      <c r="CX15" s="423" t="inlineStr">
        <is>
          <t>U</t>
        </is>
      </c>
      <c r="CY15" s="405" t="n"/>
      <c r="CZ15" s="405" t="n"/>
      <c r="DA15" s="411" t="inlineStr">
        <is>
          <t>KU</t>
        </is>
      </c>
      <c r="DB15" s="408" t="inlineStr">
        <is>
          <t>GT</t>
        </is>
      </c>
      <c r="DC15" s="408" t="inlineStr">
        <is>
          <t>GT</t>
        </is>
      </c>
      <c r="DD15" s="411" t="inlineStr">
        <is>
          <t>KU</t>
        </is>
      </c>
      <c r="DE15" s="408" t="inlineStr">
        <is>
          <t>GT</t>
        </is>
      </c>
      <c r="DF15" s="419" t="n"/>
      <c r="DG15" s="405" t="n"/>
      <c r="DH15" s="408" t="inlineStr">
        <is>
          <t>GT</t>
        </is>
      </c>
      <c r="DI15" s="408" t="inlineStr">
        <is>
          <t>GT</t>
        </is>
      </c>
      <c r="DJ15" s="414" t="inlineStr">
        <is>
          <t>EH</t>
        </is>
      </c>
      <c r="DK15" s="412" t="inlineStr">
        <is>
          <t>DI</t>
        </is>
      </c>
      <c r="DL15" s="408" t="inlineStr">
        <is>
          <t>GT</t>
        </is>
      </c>
      <c r="DM15" s="405" t="n"/>
      <c r="DN15" s="405" t="n"/>
      <c r="DO15" s="408" t="inlineStr">
        <is>
          <t>GT</t>
        </is>
      </c>
      <c r="DP15" s="416" t="inlineStr">
        <is>
          <t>SD</t>
        </is>
      </c>
      <c r="DQ15" s="408" t="inlineStr">
        <is>
          <t>GT</t>
        </is>
      </c>
      <c r="DR15" s="408" t="inlineStr">
        <is>
          <t>GT</t>
        </is>
      </c>
      <c r="DS15" s="429" t="n"/>
      <c r="DT15" s="405" t="n"/>
      <c r="DU15" s="405" t="n"/>
      <c r="DV15" s="405" t="n"/>
      <c r="DW15" s="428" t="n"/>
      <c r="DX15" s="428" t="n"/>
      <c r="DY15" s="426" t="n"/>
      <c r="DZ15" s="427" t="n"/>
      <c r="EA15" s="405" t="n"/>
      <c r="EB15" s="405" t="n"/>
      <c r="EC15" s="405" t="n"/>
      <c r="ED15" s="420" t="n"/>
      <c r="EE15" s="428" t="n"/>
      <c r="EF15" s="429" t="n"/>
      <c r="EG15" s="428" t="n"/>
      <c r="EH15" s="405" t="n"/>
      <c r="EI15" s="405" t="n"/>
      <c r="EJ15" s="405" t="n"/>
      <c r="EK15" s="420" t="n"/>
      <c r="EL15" s="428" t="n"/>
      <c r="EM15" s="428" t="n"/>
      <c r="EN15" s="426" t="n"/>
      <c r="EO15" s="405" t="n"/>
      <c r="EP15" s="430" t="n"/>
      <c r="EQ15" s="430" t="n"/>
      <c r="ER15" s="423" t="inlineStr">
        <is>
          <t>U</t>
        </is>
      </c>
      <c r="ES15" s="423" t="inlineStr">
        <is>
          <t>U</t>
        </is>
      </c>
      <c r="ET15" s="423" t="inlineStr">
        <is>
          <t>U</t>
        </is>
      </c>
      <c r="EU15" s="423" t="inlineStr">
        <is>
          <t>U</t>
        </is>
      </c>
      <c r="EV15" s="405" t="n"/>
      <c r="EW15" s="405" t="n"/>
      <c r="EX15" s="423" t="inlineStr">
        <is>
          <t>U</t>
        </is>
      </c>
      <c r="EY15" s="423" t="inlineStr">
        <is>
          <t>U</t>
        </is>
      </c>
      <c r="EZ15" s="423" t="inlineStr">
        <is>
          <t>U</t>
        </is>
      </c>
      <c r="FA15" s="429" t="n"/>
      <c r="FB15" s="423" t="inlineStr">
        <is>
          <t>U</t>
        </is>
      </c>
      <c r="FC15" s="405" t="n"/>
      <c r="FD15" s="405" t="n"/>
      <c r="FE15" s="448" t="n"/>
      <c r="FF15" s="426" t="n"/>
      <c r="FG15" s="417" t="inlineStr">
        <is>
          <t>Fobi</t>
        </is>
      </c>
      <c r="FH15" s="417" t="inlineStr">
        <is>
          <t>Fobi</t>
        </is>
      </c>
      <c r="FI15" s="417" t="inlineStr">
        <is>
          <t>Fobi</t>
        </is>
      </c>
      <c r="FJ15" s="405" t="n"/>
      <c r="FK15" s="405" t="n"/>
      <c r="FL15" s="405" t="n"/>
      <c r="FM15" s="426" t="n"/>
      <c r="FN15" s="426" t="n"/>
      <c r="FO15" s="426" t="n"/>
      <c r="FP15" s="426" t="n"/>
      <c r="FQ15" s="405" t="n"/>
      <c r="FR15" s="405" t="n"/>
      <c r="FS15" s="405" t="n"/>
      <c r="FT15" s="428" t="n"/>
      <c r="FU15" s="427" t="n"/>
      <c r="FV15" s="427" t="n"/>
      <c r="FW15" s="428" t="n"/>
      <c r="FX15" s="405" t="n"/>
      <c r="FY15" s="405" t="n"/>
      <c r="FZ15" s="405" t="n"/>
      <c r="GA15" s="420" t="n"/>
      <c r="GB15" s="428" t="n"/>
      <c r="GC15" s="429" t="n"/>
      <c r="GD15" s="429" t="n"/>
      <c r="GE15" s="429" t="n"/>
      <c r="GF15" s="429" t="n"/>
      <c r="GG15" s="429" t="n"/>
      <c r="GH15" s="429" t="n"/>
      <c r="GI15" s="429" t="n"/>
      <c r="GJ15" s="429" t="n"/>
      <c r="GK15" s="429" t="n"/>
      <c r="GL15" s="429" t="n"/>
      <c r="GM15" s="429" t="n"/>
      <c r="GN15" s="429" t="n"/>
      <c r="GO15" s="429" t="n"/>
      <c r="GP15" s="429" t="n"/>
      <c r="GQ15" s="429" t="n"/>
      <c r="GR15" s="429" t="n"/>
      <c r="GS15" s="429" t="n"/>
      <c r="GT15" s="429" t="n"/>
      <c r="GU15" s="429" t="n"/>
      <c r="GV15" s="429" t="n"/>
      <c r="GW15" s="429" t="n"/>
      <c r="GX15" s="429" t="n"/>
      <c r="GY15" s="429" t="n"/>
      <c r="GZ15" s="429" t="n"/>
      <c r="HA15" s="429" t="n"/>
      <c r="HB15" s="429" t="n"/>
      <c r="HC15" s="429" t="n"/>
      <c r="HD15" s="429" t="n"/>
      <c r="HE15" s="429" t="n"/>
      <c r="HF15" s="429" t="n"/>
      <c r="HG15" s="429" t="n"/>
      <c r="HH15" s="429" t="n"/>
      <c r="HI15" s="429" t="n"/>
      <c r="HJ15" s="429" t="n"/>
      <c r="HK15" s="429" t="n"/>
      <c r="HL15" s="429" t="n"/>
      <c r="HM15" s="429" t="n"/>
      <c r="HN15" s="429" t="n"/>
      <c r="HO15" s="429" t="n"/>
      <c r="HP15" s="429" t="n"/>
      <c r="HQ15" s="429" t="n"/>
      <c r="HR15" s="429" t="n"/>
      <c r="HS15" s="429" t="n"/>
      <c r="HT15" s="429" t="n"/>
      <c r="HU15" s="429" t="n"/>
      <c r="HV15" s="429" t="n"/>
      <c r="HW15" s="429" t="n"/>
      <c r="HX15" s="429" t="n"/>
      <c r="HY15" s="429" t="n"/>
      <c r="HZ15" s="429" t="n"/>
      <c r="IA15" s="429" t="n"/>
      <c r="IB15" s="429" t="n"/>
      <c r="IC15" s="429" t="n"/>
      <c r="ID15" s="429" t="n"/>
      <c r="IE15" s="429" t="n"/>
      <c r="IF15" s="429" t="n"/>
      <c r="IG15" s="429" t="n"/>
      <c r="IH15" s="429" t="n"/>
      <c r="II15" s="429" t="n"/>
      <c r="IJ15" s="429" t="n"/>
      <c r="IK15" s="429" t="n"/>
      <c r="IL15" s="429" t="n"/>
      <c r="IM15" s="429" t="n"/>
      <c r="IN15" s="429" t="n"/>
      <c r="IO15" s="429" t="n"/>
      <c r="IP15" s="429" t="n"/>
      <c r="IQ15" s="429" t="n"/>
      <c r="IR15" s="429" t="n"/>
      <c r="IS15" s="429" t="n"/>
      <c r="IT15" s="429" t="n"/>
      <c r="IU15" s="429" t="n"/>
      <c r="IV15" s="429" t="n"/>
      <c r="IW15" s="429" t="n"/>
      <c r="IX15" s="429" t="n"/>
      <c r="IY15" s="429" t="n"/>
      <c r="IZ15" s="429" t="n"/>
      <c r="JA15" s="429" t="n"/>
      <c r="JB15" s="429" t="n"/>
      <c r="JC15" s="429" t="n"/>
      <c r="JD15" s="429" t="n"/>
      <c r="JE15" s="429" t="n"/>
      <c r="JF15" s="429" t="n"/>
      <c r="JG15" s="429" t="n"/>
      <c r="JH15" s="429" t="n"/>
      <c r="JI15" s="429" t="n"/>
      <c r="JJ15" s="429" t="n"/>
      <c r="JK15" s="429" t="n"/>
      <c r="JL15" s="429" t="n"/>
      <c r="JM15" s="429" t="n"/>
      <c r="JN15" s="429" t="n"/>
      <c r="JO15" s="429" t="n"/>
      <c r="JP15" s="429" t="n"/>
      <c r="JQ15" s="429" t="n"/>
      <c r="JR15" s="429" t="n"/>
      <c r="JS15" s="429" t="n"/>
      <c r="JT15" s="429" t="n"/>
      <c r="JU15" s="429" t="n"/>
      <c r="JV15" s="429" t="n"/>
      <c r="JW15" s="429" t="n"/>
      <c r="JX15" s="429" t="n"/>
      <c r="JY15" s="429" t="n"/>
      <c r="JZ15" s="429" t="n"/>
      <c r="KA15" s="429" t="n"/>
      <c r="KB15" s="429" t="n"/>
      <c r="KC15" s="429" t="n"/>
      <c r="KD15" s="429" t="n"/>
      <c r="KE15" s="429" t="n"/>
      <c r="KF15" s="429" t="n"/>
      <c r="KG15" s="429" t="n"/>
      <c r="KH15" s="429" t="n"/>
      <c r="KI15" s="429" t="n"/>
      <c r="KJ15" s="429" t="n"/>
      <c r="KK15" s="429" t="n"/>
      <c r="KL15" s="429" t="n"/>
      <c r="KM15" s="429" t="n"/>
      <c r="KN15" s="429" t="n"/>
      <c r="KO15" s="429" t="n"/>
      <c r="KP15" s="429" t="n"/>
    </row>
    <row r="16" ht="26" customHeight="1" thickBot="1">
      <c r="B16" s="402" t="inlineStr">
        <is>
          <t>Putschler</t>
        </is>
      </c>
      <c r="C16" s="429" t="n"/>
      <c r="D16" s="404" t="inlineStr">
        <is>
          <t>U    alt</t>
        </is>
      </c>
      <c r="E16" s="405" t="n"/>
      <c r="F16" s="405" t="n"/>
      <c r="G16" s="404" t="inlineStr">
        <is>
          <t>U    alt</t>
        </is>
      </c>
      <c r="H16" s="429" t="n"/>
      <c r="I16" s="449" t="inlineStr">
        <is>
          <t>KT</t>
        </is>
      </c>
      <c r="J16" s="449" t="inlineStr">
        <is>
          <t>KT</t>
        </is>
      </c>
      <c r="K16" s="449" t="inlineStr">
        <is>
          <t>KT</t>
        </is>
      </c>
      <c r="L16" s="405" t="n"/>
      <c r="M16" s="405" t="n"/>
      <c r="N16" s="449" t="inlineStr">
        <is>
          <t>KT</t>
        </is>
      </c>
      <c r="O16" s="449" t="inlineStr">
        <is>
          <t>KT</t>
        </is>
      </c>
      <c r="P16" s="449" t="inlineStr">
        <is>
          <t>KT</t>
        </is>
      </c>
      <c r="Q16" s="449" t="inlineStr">
        <is>
          <t>KT</t>
        </is>
      </c>
      <c r="R16" s="449" t="inlineStr">
        <is>
          <t>KT</t>
        </is>
      </c>
      <c r="S16" s="405" t="n"/>
      <c r="T16" s="405" t="n"/>
      <c r="U16" s="449" t="inlineStr">
        <is>
          <t>KT</t>
        </is>
      </c>
      <c r="V16" s="449" t="inlineStr">
        <is>
          <t>KT</t>
        </is>
      </c>
      <c r="W16" s="423" t="inlineStr">
        <is>
          <t>U</t>
        </is>
      </c>
      <c r="X16" s="449" t="inlineStr">
        <is>
          <t>KT</t>
        </is>
      </c>
      <c r="Y16" s="449" t="inlineStr">
        <is>
          <t>KT</t>
        </is>
      </c>
      <c r="Z16" s="405" t="n"/>
      <c r="AA16" s="405" t="n"/>
      <c r="AB16" s="449" t="inlineStr">
        <is>
          <t>KT</t>
        </is>
      </c>
      <c r="AC16" s="449" t="inlineStr">
        <is>
          <t>KT</t>
        </is>
      </c>
      <c r="AD16" s="449" t="inlineStr">
        <is>
          <t>KT</t>
        </is>
      </c>
      <c r="AE16" s="449" t="inlineStr">
        <is>
          <t>KT</t>
        </is>
      </c>
      <c r="AF16" s="449" t="inlineStr">
        <is>
          <t>KT</t>
        </is>
      </c>
      <c r="AG16" s="405" t="n"/>
      <c r="AH16" s="405" t="n"/>
      <c r="AI16" s="449" t="inlineStr">
        <is>
          <t>KT</t>
        </is>
      </c>
      <c r="AJ16" s="449" t="inlineStr">
        <is>
          <t>KT</t>
        </is>
      </c>
      <c r="AK16" s="449" t="inlineStr">
        <is>
          <t>KT</t>
        </is>
      </c>
      <c r="AL16" s="449" t="inlineStr">
        <is>
          <t>KT</t>
        </is>
      </c>
      <c r="AM16" s="449" t="inlineStr">
        <is>
          <t>KT</t>
        </is>
      </c>
      <c r="AN16" s="405" t="n"/>
      <c r="AO16" s="405" t="n"/>
      <c r="AP16" s="449" t="inlineStr">
        <is>
          <t>KT</t>
        </is>
      </c>
      <c r="AQ16" s="449" t="inlineStr">
        <is>
          <t>KT</t>
        </is>
      </c>
      <c r="AR16" s="414" t="inlineStr">
        <is>
          <t>EH</t>
        </is>
      </c>
      <c r="AS16" s="449" t="inlineStr">
        <is>
          <t>KT</t>
        </is>
      </c>
      <c r="AT16" s="423" t="inlineStr">
        <is>
          <t>U</t>
        </is>
      </c>
      <c r="AU16" s="405" t="n"/>
      <c r="AV16" s="405" t="n"/>
      <c r="AW16" s="423" t="inlineStr">
        <is>
          <t>U</t>
        </is>
      </c>
      <c r="AX16" s="423" t="inlineStr">
        <is>
          <t>U</t>
        </is>
      </c>
      <c r="AY16" s="449" t="inlineStr">
        <is>
          <t>KT</t>
        </is>
      </c>
      <c r="AZ16" s="449" t="inlineStr">
        <is>
          <t>KT</t>
        </is>
      </c>
      <c r="BA16" s="449" t="inlineStr">
        <is>
          <t>KT</t>
        </is>
      </c>
      <c r="BB16" s="405" t="n"/>
      <c r="BC16" s="405" t="n"/>
      <c r="BD16" s="449" t="inlineStr">
        <is>
          <t>KT</t>
        </is>
      </c>
      <c r="BE16" s="449" t="inlineStr">
        <is>
          <t>KT</t>
        </is>
      </c>
      <c r="BF16" s="449" t="inlineStr">
        <is>
          <t>KT</t>
        </is>
      </c>
      <c r="BG16" s="417" t="inlineStr">
        <is>
          <t>Fobi</t>
        </is>
      </c>
      <c r="BH16" s="417" t="inlineStr">
        <is>
          <t>Fobi</t>
        </is>
      </c>
      <c r="BI16" s="405" t="n"/>
      <c r="BJ16" s="405" t="n"/>
      <c r="BK16" s="449" t="inlineStr">
        <is>
          <t>KT</t>
        </is>
      </c>
      <c r="BL16" s="449" t="inlineStr">
        <is>
          <t>KT</t>
        </is>
      </c>
      <c r="BM16" s="449" t="inlineStr">
        <is>
          <t>KT</t>
        </is>
      </c>
      <c r="BN16" s="449" t="inlineStr">
        <is>
          <t>KT</t>
        </is>
      </c>
      <c r="BO16" s="449" t="inlineStr">
        <is>
          <t>KT</t>
        </is>
      </c>
      <c r="BP16" s="405" t="n"/>
      <c r="BQ16" s="405" t="n"/>
      <c r="BR16" s="449" t="inlineStr">
        <is>
          <t>KT</t>
        </is>
      </c>
      <c r="BS16" s="449" t="inlineStr">
        <is>
          <t>KT</t>
        </is>
      </c>
      <c r="BT16" s="449" t="inlineStr">
        <is>
          <t>KT</t>
        </is>
      </c>
      <c r="BU16" s="449" t="inlineStr">
        <is>
          <t>KT</t>
        </is>
      </c>
      <c r="BV16" s="449" t="inlineStr">
        <is>
          <t>KT</t>
        </is>
      </c>
      <c r="BW16" s="405" t="n"/>
      <c r="BX16" s="405" t="n"/>
      <c r="BY16" s="449" t="inlineStr">
        <is>
          <t>KT</t>
        </is>
      </c>
      <c r="BZ16" s="449" t="inlineStr">
        <is>
          <t>KT</t>
        </is>
      </c>
      <c r="CA16" s="449" t="inlineStr">
        <is>
          <t>KT</t>
        </is>
      </c>
      <c r="CB16" s="415" t="inlineStr">
        <is>
          <t>FI</t>
        </is>
      </c>
      <c r="CC16" s="415" t="inlineStr">
        <is>
          <t>FI</t>
        </is>
      </c>
      <c r="CD16" s="405" t="n"/>
      <c r="CE16" s="405" t="n"/>
      <c r="CF16" s="449" t="inlineStr">
        <is>
          <t>KT</t>
        </is>
      </c>
      <c r="CG16" s="449" t="inlineStr">
        <is>
          <t>KT</t>
        </is>
      </c>
      <c r="CH16" s="449" t="inlineStr">
        <is>
          <t>KT</t>
        </is>
      </c>
      <c r="CI16" s="449" t="inlineStr">
        <is>
          <t>KT</t>
        </is>
      </c>
      <c r="CJ16" s="449" t="inlineStr">
        <is>
          <t>KT</t>
        </is>
      </c>
      <c r="CK16" s="405" t="n"/>
      <c r="CL16" s="405" t="n"/>
      <c r="CM16" s="449" t="inlineStr">
        <is>
          <t>KT</t>
        </is>
      </c>
      <c r="CN16" s="449" t="inlineStr">
        <is>
          <t>KT</t>
        </is>
      </c>
      <c r="CO16" s="449" t="inlineStr">
        <is>
          <t>KT</t>
        </is>
      </c>
      <c r="CP16" s="449" t="inlineStr">
        <is>
          <t>KT</t>
        </is>
      </c>
      <c r="CQ16" s="429" t="n"/>
      <c r="CR16" s="405" t="n"/>
      <c r="CS16" s="430" t="n"/>
      <c r="CT16" s="430" t="n"/>
      <c r="CU16" s="449" t="inlineStr">
        <is>
          <t>KT</t>
        </is>
      </c>
      <c r="CV16" s="449" t="inlineStr">
        <is>
          <t>KT</t>
        </is>
      </c>
      <c r="CW16" s="449" t="inlineStr">
        <is>
          <t>KT</t>
        </is>
      </c>
      <c r="CX16" s="449" t="inlineStr">
        <is>
          <t>KT</t>
        </is>
      </c>
      <c r="CY16" s="405" t="n"/>
      <c r="CZ16" s="405" t="n"/>
      <c r="DA16" s="449" t="inlineStr">
        <is>
          <t>KT</t>
        </is>
      </c>
      <c r="DB16" s="449" t="inlineStr">
        <is>
          <t>KT</t>
        </is>
      </c>
      <c r="DC16" s="449" t="inlineStr">
        <is>
          <t>KT</t>
        </is>
      </c>
      <c r="DD16" s="449" t="inlineStr">
        <is>
          <t>KT</t>
        </is>
      </c>
      <c r="DE16" s="449" t="inlineStr">
        <is>
          <t>KT</t>
        </is>
      </c>
      <c r="DF16" s="419" t="n"/>
      <c r="DG16" s="405" t="n"/>
      <c r="DH16" s="449" t="inlineStr">
        <is>
          <t>KT</t>
        </is>
      </c>
      <c r="DI16" s="449" t="inlineStr">
        <is>
          <t>KT</t>
        </is>
      </c>
      <c r="DJ16" s="449" t="inlineStr">
        <is>
          <t>KT</t>
        </is>
      </c>
      <c r="DK16" s="449" t="inlineStr">
        <is>
          <t>KT</t>
        </is>
      </c>
      <c r="DL16" s="408" t="inlineStr">
        <is>
          <t>GT</t>
        </is>
      </c>
      <c r="DM16" s="405" t="n"/>
      <c r="DN16" s="405" t="n"/>
      <c r="DO16" s="449" t="inlineStr">
        <is>
          <t>KT</t>
        </is>
      </c>
      <c r="DP16" s="449" t="inlineStr">
        <is>
          <t>KT</t>
        </is>
      </c>
      <c r="DQ16" s="423" t="inlineStr">
        <is>
          <t>U</t>
        </is>
      </c>
      <c r="DR16" s="423" t="inlineStr">
        <is>
          <t>U</t>
        </is>
      </c>
      <c r="DS16" s="429" t="n"/>
      <c r="DT16" s="405" t="n"/>
      <c r="DU16" s="405" t="n"/>
      <c r="DV16" s="405" t="n"/>
      <c r="DW16" s="420" t="n"/>
      <c r="DX16" s="420" t="n"/>
      <c r="DY16" s="420" t="n"/>
      <c r="DZ16" s="420" t="n"/>
      <c r="EA16" s="405" t="n"/>
      <c r="EB16" s="405" t="n"/>
      <c r="EC16" s="423" t="inlineStr">
        <is>
          <t>U</t>
        </is>
      </c>
      <c r="ED16" s="423" t="inlineStr">
        <is>
          <t>U</t>
        </is>
      </c>
      <c r="EE16" s="423" t="inlineStr">
        <is>
          <t>U</t>
        </is>
      </c>
      <c r="EF16" s="429" t="n"/>
      <c r="EG16" s="423" t="inlineStr">
        <is>
          <t>U</t>
        </is>
      </c>
      <c r="EH16" s="405" t="n"/>
      <c r="EI16" s="405" t="n"/>
      <c r="EJ16" s="423" t="inlineStr">
        <is>
          <t>U</t>
        </is>
      </c>
      <c r="EK16" s="423" t="inlineStr">
        <is>
          <t>U</t>
        </is>
      </c>
      <c r="EL16" s="423" t="inlineStr">
        <is>
          <t>U</t>
        </is>
      </c>
      <c r="EM16" s="423" t="inlineStr">
        <is>
          <t>U</t>
        </is>
      </c>
      <c r="EN16" s="423" t="inlineStr">
        <is>
          <t>U</t>
        </is>
      </c>
      <c r="EO16" s="405" t="n"/>
      <c r="EP16" s="430" t="n"/>
      <c r="EQ16" s="430" t="n"/>
      <c r="ER16" s="431" t="n"/>
      <c r="ES16" s="431" t="n"/>
      <c r="ET16" s="431" t="n"/>
      <c r="EU16" s="431" t="n"/>
      <c r="EV16" s="405" t="n"/>
      <c r="EW16" s="405" t="n"/>
      <c r="EX16" s="405" t="n"/>
      <c r="EY16" s="428" t="n"/>
      <c r="EZ16" s="428" t="n"/>
      <c r="FA16" s="429" t="n"/>
      <c r="FB16" s="423" t="inlineStr">
        <is>
          <t>U</t>
        </is>
      </c>
      <c r="FC16" s="405" t="n"/>
      <c r="FD16" s="405" t="n"/>
      <c r="FE16" s="432" t="n"/>
      <c r="FF16" s="420" t="n"/>
      <c r="FG16" s="420" t="n"/>
      <c r="FH16" s="420" t="n"/>
      <c r="FI16" s="420" t="n"/>
      <c r="FJ16" s="405" t="n"/>
      <c r="FK16" s="405" t="n"/>
      <c r="FL16" s="405" t="n"/>
      <c r="FM16" s="420" t="n"/>
      <c r="FN16" s="420" t="n"/>
      <c r="FO16" s="420" t="n"/>
      <c r="FP16" s="420" t="n"/>
      <c r="FQ16" s="405" t="n"/>
      <c r="FR16" s="405" t="n"/>
      <c r="FS16" s="405" t="n"/>
      <c r="FT16" s="420" t="n"/>
      <c r="FU16" s="420" t="n"/>
      <c r="FV16" s="420" t="n"/>
      <c r="FW16" s="420" t="n"/>
      <c r="FX16" s="405" t="n"/>
      <c r="FY16" s="405" t="n"/>
      <c r="FZ16" s="405" t="n"/>
      <c r="GA16" s="420" t="n"/>
      <c r="GB16" s="428" t="n"/>
      <c r="GC16" s="429" t="n"/>
      <c r="GD16" s="429" t="n"/>
      <c r="GE16" s="429" t="n"/>
      <c r="GF16" s="429" t="n"/>
      <c r="GG16" s="429" t="n"/>
      <c r="GH16" s="429" t="n"/>
      <c r="GI16" s="429" t="n"/>
      <c r="GJ16" s="429" t="n"/>
      <c r="GK16" s="429" t="n"/>
      <c r="GL16" s="429" t="n"/>
      <c r="GM16" s="429" t="n"/>
      <c r="GN16" s="429" t="n"/>
      <c r="GO16" s="429" t="n"/>
      <c r="GP16" s="429" t="n"/>
      <c r="GQ16" s="429" t="n"/>
      <c r="GR16" s="429" t="n"/>
      <c r="GS16" s="429" t="n"/>
      <c r="GT16" s="429" t="n"/>
      <c r="GU16" s="429" t="n"/>
      <c r="GV16" s="429" t="n"/>
      <c r="GW16" s="429" t="n"/>
      <c r="GX16" s="429" t="n"/>
      <c r="GY16" s="429" t="n"/>
      <c r="GZ16" s="429" t="n"/>
      <c r="HA16" s="429" t="n"/>
      <c r="HB16" s="429" t="n"/>
      <c r="HC16" s="429" t="n"/>
      <c r="HD16" s="429" t="n"/>
      <c r="HE16" s="429" t="n"/>
      <c r="HF16" s="429" t="n"/>
      <c r="HG16" s="429" t="n"/>
      <c r="HH16" s="429" t="n"/>
      <c r="HI16" s="429" t="n"/>
      <c r="HJ16" s="429" t="n"/>
      <c r="HK16" s="429" t="n"/>
      <c r="HL16" s="429" t="n"/>
      <c r="HM16" s="429" t="n"/>
      <c r="HN16" s="429" t="n"/>
      <c r="HO16" s="429" t="n"/>
      <c r="HP16" s="429" t="n"/>
      <c r="HQ16" s="429" t="n"/>
      <c r="HR16" s="429" t="n"/>
      <c r="HS16" s="429" t="n"/>
      <c r="HT16" s="429" t="n"/>
      <c r="HU16" s="429" t="n"/>
      <c r="HV16" s="429" t="n"/>
      <c r="HW16" s="429" t="n"/>
      <c r="HX16" s="429" t="n"/>
      <c r="HY16" s="429" t="n"/>
      <c r="HZ16" s="429" t="n"/>
      <c r="IA16" s="429" t="n"/>
      <c r="IB16" s="429" t="n"/>
      <c r="IC16" s="429" t="n"/>
      <c r="ID16" s="429" t="n"/>
      <c r="IE16" s="429" t="n"/>
      <c r="IF16" s="429" t="n"/>
      <c r="IG16" s="429" t="n"/>
      <c r="IH16" s="429" t="n"/>
      <c r="II16" s="429" t="n"/>
      <c r="IJ16" s="429" t="n"/>
      <c r="IK16" s="429" t="n"/>
      <c r="IL16" s="429" t="n"/>
      <c r="IM16" s="429" t="n"/>
      <c r="IN16" s="429" t="n"/>
      <c r="IO16" s="429" t="n"/>
      <c r="IP16" s="429" t="n"/>
      <c r="IQ16" s="429" t="n"/>
      <c r="IR16" s="429" t="n"/>
      <c r="IS16" s="429" t="n"/>
      <c r="IT16" s="429" t="n"/>
      <c r="IU16" s="429" t="n"/>
      <c r="IV16" s="429" t="n"/>
      <c r="IW16" s="429" t="n"/>
      <c r="IX16" s="429" t="n"/>
      <c r="IY16" s="429" t="n"/>
      <c r="IZ16" s="429" t="n"/>
      <c r="JA16" s="429" t="n"/>
      <c r="JB16" s="429" t="n"/>
      <c r="JC16" s="429" t="n"/>
      <c r="JD16" s="429" t="n"/>
      <c r="JE16" s="429" t="n"/>
      <c r="JF16" s="429" t="n"/>
      <c r="JG16" s="429" t="n"/>
      <c r="JH16" s="429" t="n"/>
      <c r="JI16" s="429" t="n"/>
      <c r="JJ16" s="429" t="n"/>
      <c r="JK16" s="429" t="n"/>
      <c r="JL16" s="429" t="n"/>
      <c r="JM16" s="429" t="n"/>
      <c r="JN16" s="429" t="n"/>
      <c r="JO16" s="429" t="n"/>
      <c r="JP16" s="429" t="n"/>
      <c r="JQ16" s="429" t="n"/>
      <c r="JR16" s="429" t="n"/>
      <c r="JS16" s="429" t="n"/>
      <c r="JT16" s="429" t="n"/>
      <c r="JU16" s="429" t="n"/>
      <c r="JV16" s="429" t="n"/>
      <c r="JW16" s="429" t="n"/>
      <c r="JX16" s="429" t="n"/>
      <c r="JY16" s="429" t="n"/>
      <c r="JZ16" s="429" t="n"/>
      <c r="KA16" s="429" t="n"/>
      <c r="KB16" s="429" t="n"/>
      <c r="KC16" s="429" t="n"/>
      <c r="KD16" s="429" t="n"/>
      <c r="KE16" s="429" t="n"/>
      <c r="KF16" s="429" t="n"/>
      <c r="KG16" s="429" t="n"/>
      <c r="KH16" s="429" t="n"/>
      <c r="KI16" s="429" t="n"/>
      <c r="KJ16" s="429" t="n"/>
      <c r="KK16" s="429" t="n"/>
      <c r="KL16" s="429" t="n"/>
      <c r="KM16" s="429" t="n"/>
      <c r="KN16" s="429" t="n"/>
      <c r="KO16" s="429" t="n"/>
      <c r="KP16" s="429" t="n"/>
    </row>
    <row r="17" ht="26" customHeight="1" thickTop="1">
      <c r="B17" s="402" t="inlineStr">
        <is>
          <t>Kunz</t>
        </is>
      </c>
      <c r="C17" s="429" t="n"/>
      <c r="D17" s="432" t="n"/>
      <c r="E17" s="405" t="n"/>
      <c r="F17" s="405" t="n"/>
      <c r="G17" s="432" t="n"/>
      <c r="H17" s="429" t="n"/>
      <c r="I17" s="420" t="n"/>
      <c r="J17" s="420" t="n"/>
      <c r="K17" s="432" t="n"/>
      <c r="L17" s="405" t="n"/>
      <c r="M17" s="405" t="n"/>
      <c r="N17" s="432" t="n"/>
      <c r="O17" s="420" t="n"/>
      <c r="P17" s="420" t="n"/>
      <c r="Q17" s="420" t="n"/>
      <c r="R17" s="432" t="n"/>
      <c r="S17" s="405" t="n"/>
      <c r="T17" s="405" t="n"/>
      <c r="U17" s="432" t="n"/>
      <c r="V17" s="420" t="n"/>
      <c r="W17" s="420" t="n"/>
      <c r="X17" s="420" t="n"/>
      <c r="Y17" s="432" t="n"/>
      <c r="Z17" s="405" t="n"/>
      <c r="AA17" s="405" t="n"/>
      <c r="AB17" s="432" t="n"/>
      <c r="AC17" s="420" t="n"/>
      <c r="AD17" s="420" t="n"/>
      <c r="AE17" s="420" t="n"/>
      <c r="AF17" s="432" t="n"/>
      <c r="AG17" s="405" t="n"/>
      <c r="AH17" s="405" t="n"/>
      <c r="AI17" s="412" t="inlineStr">
        <is>
          <t>DI</t>
        </is>
      </c>
      <c r="AJ17" s="412" t="inlineStr">
        <is>
          <t>DI</t>
        </is>
      </c>
      <c r="AK17" s="412" t="inlineStr">
        <is>
          <t>DI</t>
        </is>
      </c>
      <c r="AL17" s="412" t="inlineStr">
        <is>
          <t>DI</t>
        </is>
      </c>
      <c r="AM17" s="412" t="inlineStr">
        <is>
          <t>DI</t>
        </is>
      </c>
      <c r="AN17" s="405" t="n"/>
      <c r="AO17" s="405" t="n"/>
      <c r="AP17" s="432" t="n"/>
      <c r="AQ17" s="420" t="n"/>
      <c r="AR17" s="420" t="n"/>
      <c r="AS17" s="420" t="n"/>
      <c r="AT17" s="432" t="n"/>
      <c r="AU17" s="405" t="n"/>
      <c r="AV17" s="405" t="n"/>
      <c r="AW17" s="432" t="n"/>
      <c r="AX17" s="420" t="n"/>
      <c r="AY17" s="420" t="n"/>
      <c r="AZ17" s="420" t="n"/>
      <c r="BA17" s="432" t="n"/>
      <c r="BB17" s="405" t="n"/>
      <c r="BC17" s="405" t="n"/>
      <c r="BD17" s="412" t="inlineStr">
        <is>
          <t>DI</t>
        </is>
      </c>
      <c r="BE17" s="412" t="inlineStr">
        <is>
          <t>DI</t>
        </is>
      </c>
      <c r="BF17" s="412" t="inlineStr">
        <is>
          <t>DI</t>
        </is>
      </c>
      <c r="BG17" s="412" t="inlineStr">
        <is>
          <t>DI</t>
        </is>
      </c>
      <c r="BH17" s="412" t="inlineStr">
        <is>
          <t>DI</t>
        </is>
      </c>
      <c r="BI17" s="405" t="n"/>
      <c r="BJ17" s="405" t="n"/>
      <c r="BK17" s="432" t="n"/>
      <c r="BL17" s="420" t="n"/>
      <c r="BM17" s="420" t="n"/>
      <c r="BN17" s="420" t="n"/>
      <c r="BO17" s="420" t="n"/>
      <c r="BP17" s="405" t="n"/>
      <c r="BQ17" s="405" t="n"/>
      <c r="BR17" s="412" t="inlineStr">
        <is>
          <t>DI</t>
        </is>
      </c>
      <c r="BS17" s="412" t="inlineStr">
        <is>
          <t>DI</t>
        </is>
      </c>
      <c r="BT17" s="412" t="inlineStr">
        <is>
          <t>DI</t>
        </is>
      </c>
      <c r="BU17" s="412" t="inlineStr">
        <is>
          <t>DI</t>
        </is>
      </c>
      <c r="BV17" s="412" t="inlineStr">
        <is>
          <t>DI</t>
        </is>
      </c>
      <c r="BW17" s="405" t="n"/>
      <c r="BX17" s="405" t="n"/>
      <c r="BY17" s="432" t="n"/>
      <c r="BZ17" s="420" t="n"/>
      <c r="CA17" s="420" t="n"/>
      <c r="CB17" s="420" t="n"/>
      <c r="CC17" s="420" t="n"/>
      <c r="CD17" s="405" t="n"/>
      <c r="CE17" s="405" t="n"/>
      <c r="CF17" s="432" t="n"/>
      <c r="CG17" s="420" t="n"/>
      <c r="CH17" s="420" t="n"/>
      <c r="CI17" s="420" t="n"/>
      <c r="CJ17" s="420" t="n"/>
      <c r="CK17" s="405" t="n"/>
      <c r="CL17" s="405" t="n"/>
      <c r="CM17" s="412" t="inlineStr">
        <is>
          <t>DI</t>
        </is>
      </c>
      <c r="CN17" s="412" t="inlineStr">
        <is>
          <t>DI</t>
        </is>
      </c>
      <c r="CO17" s="420" t="n"/>
      <c r="CP17" s="420" t="n"/>
      <c r="CQ17" s="429" t="n"/>
      <c r="CR17" s="405" t="n"/>
      <c r="CS17" s="430" t="n"/>
      <c r="CT17" s="430" t="n"/>
      <c r="CU17" s="420" t="n"/>
      <c r="CV17" s="420" t="n"/>
      <c r="CW17" s="420" t="n"/>
      <c r="CX17" s="420" t="n"/>
      <c r="CY17" s="405" t="n"/>
      <c r="CZ17" s="405" t="n"/>
      <c r="DA17" s="405" t="n"/>
      <c r="DB17" s="420" t="n"/>
      <c r="DC17" s="420" t="n"/>
      <c r="DD17" s="420" t="n"/>
      <c r="DE17" s="420" t="n"/>
      <c r="DF17" s="419" t="n"/>
      <c r="DG17" s="405" t="n"/>
      <c r="DH17" s="432" t="n"/>
      <c r="DI17" s="420" t="n"/>
      <c r="DJ17" s="420" t="n"/>
      <c r="DK17" s="420" t="n"/>
      <c r="DL17" s="420" t="n"/>
      <c r="DM17" s="405" t="n"/>
      <c r="DN17" s="405" t="n"/>
      <c r="DO17" s="405" t="n"/>
      <c r="DP17" s="420" t="n"/>
      <c r="DQ17" s="420" t="n"/>
      <c r="DR17" s="420" t="n"/>
      <c r="DS17" s="429" t="n"/>
      <c r="DT17" s="405" t="n"/>
      <c r="DU17" s="405" t="n"/>
      <c r="DV17" s="405" t="n"/>
      <c r="DW17" s="420" t="n"/>
      <c r="DX17" s="420" t="n"/>
      <c r="DY17" s="420" t="n"/>
      <c r="DZ17" s="420" t="n"/>
      <c r="EA17" s="405" t="n"/>
      <c r="EB17" s="405" t="n"/>
      <c r="EC17" s="405" t="n"/>
      <c r="ED17" s="420" t="n"/>
      <c r="EE17" s="420" t="n"/>
      <c r="EF17" s="429" t="n"/>
      <c r="EG17" s="420" t="n"/>
      <c r="EH17" s="405" t="n"/>
      <c r="EI17" s="405" t="n"/>
      <c r="EJ17" s="405" t="n"/>
      <c r="EK17" s="420" t="n"/>
      <c r="EL17" s="420" t="n"/>
      <c r="EM17" s="420" t="n"/>
      <c r="EN17" s="420" t="n"/>
      <c r="EO17" s="405" t="n"/>
      <c r="EP17" s="430" t="n"/>
      <c r="EQ17" s="430" t="n"/>
      <c r="ER17" s="420" t="n"/>
      <c r="ES17" s="420" t="n"/>
      <c r="ET17" s="420" t="n"/>
      <c r="EU17" s="420" t="n"/>
      <c r="EV17" s="405" t="n"/>
      <c r="EW17" s="405" t="n"/>
      <c r="EX17" s="405" t="n"/>
      <c r="EY17" s="420" t="n"/>
      <c r="EZ17" s="420" t="n"/>
      <c r="FA17" s="429" t="n"/>
      <c r="FB17" s="420" t="n"/>
      <c r="FC17" s="405" t="n"/>
      <c r="FD17" s="405" t="n"/>
      <c r="FE17" s="432" t="n"/>
      <c r="FF17" s="420" t="n"/>
      <c r="FG17" s="420" t="n"/>
      <c r="FH17" s="420" t="n"/>
      <c r="FI17" s="420" t="n"/>
      <c r="FJ17" s="405" t="n"/>
      <c r="FK17" s="405" t="n"/>
      <c r="FL17" s="405" t="n"/>
      <c r="FM17" s="420" t="n"/>
      <c r="FN17" s="420" t="n"/>
      <c r="FO17" s="420" t="n"/>
      <c r="FP17" s="420" t="n"/>
      <c r="FQ17" s="405" t="n"/>
      <c r="FR17" s="405" t="n"/>
      <c r="FS17" s="405" t="n"/>
      <c r="FT17" s="420" t="n"/>
      <c r="FU17" s="420" t="n"/>
      <c r="FV17" s="420" t="n"/>
      <c r="FW17" s="420" t="n"/>
      <c r="FX17" s="405" t="n"/>
      <c r="FY17" s="405" t="n"/>
      <c r="FZ17" s="405" t="n"/>
      <c r="GA17" s="420" t="n"/>
      <c r="GB17" s="428" t="n"/>
      <c r="GC17" s="429" t="n"/>
      <c r="GD17" s="429" t="n"/>
      <c r="GE17" s="429" t="n"/>
      <c r="GF17" s="429" t="n"/>
      <c r="GG17" s="429" t="n"/>
      <c r="GH17" s="429" t="n"/>
      <c r="GI17" s="429" t="n"/>
      <c r="GJ17" s="429" t="n"/>
      <c r="GK17" s="429" t="n"/>
      <c r="GL17" s="429" t="n"/>
      <c r="GM17" s="429" t="n"/>
      <c r="GN17" s="429" t="n"/>
      <c r="GO17" s="429" t="n"/>
      <c r="GP17" s="429" t="n"/>
      <c r="GQ17" s="429" t="n"/>
      <c r="GR17" s="429" t="n"/>
      <c r="GS17" s="429" t="n"/>
      <c r="GT17" s="429" t="n"/>
      <c r="GU17" s="429" t="n"/>
      <c r="GV17" s="429" t="n"/>
      <c r="GW17" s="429" t="n"/>
      <c r="GX17" s="429" t="n"/>
      <c r="GY17" s="429" t="n"/>
      <c r="GZ17" s="429" t="n"/>
      <c r="HA17" s="429" t="n"/>
      <c r="HB17" s="429" t="n"/>
      <c r="HC17" s="429" t="n"/>
      <c r="HD17" s="429" t="n"/>
      <c r="HE17" s="429" t="n"/>
      <c r="HF17" s="429" t="n"/>
      <c r="HG17" s="429" t="n"/>
      <c r="HH17" s="429" t="n"/>
      <c r="HI17" s="429" t="n"/>
      <c r="HJ17" s="429" t="n"/>
      <c r="HK17" s="429" t="n"/>
      <c r="HL17" s="429" t="n"/>
      <c r="HM17" s="429" t="n"/>
      <c r="HN17" s="429" t="n"/>
      <c r="HO17" s="429" t="n"/>
      <c r="HP17" s="429" t="n"/>
      <c r="HQ17" s="429" t="n"/>
      <c r="HR17" s="429" t="n"/>
      <c r="HS17" s="429" t="n"/>
      <c r="HT17" s="429" t="n"/>
      <c r="HU17" s="429" t="n"/>
      <c r="HV17" s="429" t="n"/>
      <c r="HW17" s="429" t="n"/>
      <c r="HX17" s="429" t="n"/>
      <c r="HY17" s="429" t="n"/>
      <c r="HZ17" s="429" t="n"/>
      <c r="IA17" s="429" t="n"/>
      <c r="IB17" s="429" t="n"/>
      <c r="IC17" s="429" t="n"/>
      <c r="ID17" s="429" t="n"/>
      <c r="IE17" s="429" t="n"/>
      <c r="IF17" s="429" t="n"/>
      <c r="IG17" s="429" t="n"/>
      <c r="IH17" s="429" t="n"/>
      <c r="II17" s="429" t="n"/>
      <c r="IJ17" s="429" t="n"/>
      <c r="IK17" s="429" t="n"/>
      <c r="IL17" s="429" t="n"/>
      <c r="IM17" s="429" t="n"/>
      <c r="IN17" s="429" t="n"/>
      <c r="IO17" s="429" t="n"/>
      <c r="IP17" s="429" t="n"/>
      <c r="IQ17" s="429" t="n"/>
      <c r="IR17" s="429" t="n"/>
      <c r="IS17" s="429" t="n"/>
      <c r="IT17" s="429" t="n"/>
      <c r="IU17" s="429" t="n"/>
      <c r="IV17" s="429" t="n"/>
      <c r="IW17" s="429" t="n"/>
      <c r="IX17" s="429" t="n"/>
      <c r="IY17" s="429" t="n"/>
      <c r="IZ17" s="429" t="n"/>
      <c r="JA17" s="429" t="n"/>
      <c r="JB17" s="429" t="n"/>
      <c r="JC17" s="429" t="n"/>
      <c r="JD17" s="429" t="n"/>
      <c r="JE17" s="429" t="n"/>
      <c r="JF17" s="429" t="n"/>
      <c r="JG17" s="429" t="n"/>
      <c r="JH17" s="429" t="n"/>
      <c r="JI17" s="429" t="n"/>
      <c r="JJ17" s="429" t="n"/>
      <c r="JK17" s="429" t="n"/>
      <c r="JL17" s="429" t="n"/>
      <c r="JM17" s="429" t="n"/>
      <c r="JN17" s="429" t="n"/>
      <c r="JO17" s="429" t="n"/>
      <c r="JP17" s="429" t="n"/>
      <c r="JQ17" s="429" t="n"/>
      <c r="JR17" s="429" t="n"/>
      <c r="JS17" s="429" t="n"/>
      <c r="JT17" s="429" t="n"/>
      <c r="JU17" s="429" t="n"/>
      <c r="JV17" s="429" t="n"/>
      <c r="JW17" s="429" t="n"/>
      <c r="JX17" s="429" t="n"/>
      <c r="JY17" s="429" t="n"/>
      <c r="JZ17" s="429" t="n"/>
      <c r="KA17" s="429" t="n"/>
      <c r="KB17" s="429" t="n"/>
      <c r="KC17" s="429" t="n"/>
      <c r="KD17" s="429" t="n"/>
      <c r="KE17" s="429" t="n"/>
      <c r="KF17" s="429" t="n"/>
      <c r="KG17" s="429" t="n"/>
      <c r="KH17" s="429" t="n"/>
      <c r="KI17" s="429" t="n"/>
      <c r="KJ17" s="429" t="n"/>
      <c r="KK17" s="429" t="n"/>
      <c r="KL17" s="429" t="n"/>
      <c r="KM17" s="429" t="n"/>
      <c r="KN17" s="429" t="n"/>
      <c r="KO17" s="429" t="n"/>
      <c r="KP17" s="429" t="n"/>
    </row>
    <row r="18" ht="26" customHeight="1">
      <c r="B18" s="402" t="inlineStr">
        <is>
          <t>Schmidt</t>
        </is>
      </c>
      <c r="C18" s="429" t="n"/>
      <c r="D18" s="440" t="n"/>
      <c r="E18" s="405" t="n"/>
      <c r="F18" s="405" t="n"/>
      <c r="G18" s="405" t="n"/>
      <c r="H18" s="429" t="n"/>
      <c r="I18" s="431" t="n"/>
      <c r="J18" s="431" t="n"/>
      <c r="K18" s="440" t="n"/>
      <c r="L18" s="405" t="n"/>
      <c r="M18" s="405" t="n"/>
      <c r="N18" s="405" t="n"/>
      <c r="O18" s="420" t="n"/>
      <c r="P18" s="420" t="n"/>
      <c r="Q18" s="420" t="n"/>
      <c r="R18" s="432" t="n"/>
      <c r="S18" s="405" t="n"/>
      <c r="T18" s="405" t="n"/>
      <c r="U18" s="405" t="n"/>
      <c r="V18" s="420" t="n"/>
      <c r="W18" s="420" t="n"/>
      <c r="X18" s="420" t="n"/>
      <c r="Y18" s="432" t="n"/>
      <c r="Z18" s="405" t="n"/>
      <c r="AA18" s="405" t="n"/>
      <c r="AB18" s="405" t="n"/>
      <c r="AC18" s="420" t="n"/>
      <c r="AD18" s="420" t="n"/>
      <c r="AE18" s="420" t="n"/>
      <c r="AF18" s="432" t="n"/>
      <c r="AG18" s="405" t="n"/>
      <c r="AH18" s="405" t="n"/>
      <c r="AI18" s="405" t="n"/>
      <c r="AJ18" s="420" t="n"/>
      <c r="AK18" s="420" t="n"/>
      <c r="AL18" s="420" t="n"/>
      <c r="AM18" s="432" t="n"/>
      <c r="AN18" s="405" t="n"/>
      <c r="AO18" s="405" t="n"/>
      <c r="AP18" s="405" t="n"/>
      <c r="AQ18" s="420" t="n"/>
      <c r="AR18" s="420" t="n"/>
      <c r="AS18" s="420" t="n"/>
      <c r="AT18" s="432" t="n"/>
      <c r="AU18" s="405" t="n"/>
      <c r="AV18" s="405" t="n"/>
      <c r="AW18" s="405" t="n"/>
      <c r="AX18" s="420" t="n"/>
      <c r="AY18" s="420" t="n"/>
      <c r="AZ18" s="420" t="n"/>
      <c r="BA18" s="432" t="n"/>
      <c r="BB18" s="405" t="n"/>
      <c r="BC18" s="405" t="n"/>
      <c r="BD18" s="405" t="n"/>
      <c r="BE18" s="420" t="n"/>
      <c r="BF18" s="420" t="n"/>
      <c r="BG18" s="420" t="n"/>
      <c r="BH18" s="432" t="n"/>
      <c r="BI18" s="405" t="n"/>
      <c r="BJ18" s="405" t="n"/>
      <c r="BK18" s="405" t="n"/>
      <c r="BL18" s="420" t="n"/>
      <c r="BM18" s="420" t="n"/>
      <c r="BN18" s="420" t="n"/>
      <c r="BO18" s="420" t="n"/>
      <c r="BP18" s="405" t="n"/>
      <c r="BQ18" s="405" t="n"/>
      <c r="BR18" s="405" t="n"/>
      <c r="BS18" s="420" t="n"/>
      <c r="BT18" s="420" t="n"/>
      <c r="BU18" s="420" t="n"/>
      <c r="BV18" s="420" t="n"/>
      <c r="BW18" s="405" t="n"/>
      <c r="BX18" s="405" t="n"/>
      <c r="BY18" s="405" t="n"/>
      <c r="BZ18" s="420" t="n"/>
      <c r="CA18" s="420" t="n"/>
      <c r="CB18" s="420" t="n"/>
      <c r="CC18" s="420" t="n"/>
      <c r="CD18" s="405" t="n"/>
      <c r="CE18" s="405" t="n"/>
      <c r="CF18" s="423" t="inlineStr">
        <is>
          <t>U</t>
        </is>
      </c>
      <c r="CG18" s="423" t="inlineStr">
        <is>
          <t>U</t>
        </is>
      </c>
      <c r="CH18" s="431" t="n"/>
      <c r="CI18" s="420" t="n"/>
      <c r="CJ18" s="420" t="n"/>
      <c r="CK18" s="405" t="n"/>
      <c r="CL18" s="405" t="n"/>
      <c r="CM18" s="405" t="n"/>
      <c r="CN18" s="420" t="n"/>
      <c r="CO18" s="420" t="n"/>
      <c r="CP18" s="420" t="n"/>
      <c r="CQ18" s="429" t="n"/>
      <c r="CR18" s="405" t="n"/>
      <c r="CS18" s="430" t="n"/>
      <c r="CT18" s="430" t="n"/>
      <c r="CU18" s="420" t="n"/>
      <c r="CV18" s="420" t="n"/>
      <c r="CW18" s="420" t="n"/>
      <c r="CX18" s="420" t="n"/>
      <c r="CY18" s="405" t="n"/>
      <c r="CZ18" s="405" t="n"/>
      <c r="DA18" s="405" t="n"/>
      <c r="DB18" s="420" t="n"/>
      <c r="DC18" s="420" t="n"/>
      <c r="DD18" s="420" t="n"/>
      <c r="DE18" s="420" t="n"/>
      <c r="DF18" s="419" t="n"/>
      <c r="DG18" s="405" t="n"/>
      <c r="DH18" s="432" t="n"/>
      <c r="DI18" s="420" t="n"/>
      <c r="DJ18" s="420" t="n"/>
      <c r="DK18" s="420" t="n"/>
      <c r="DL18" s="420" t="n"/>
      <c r="DM18" s="405" t="n"/>
      <c r="DN18" s="405" t="n"/>
      <c r="DO18" s="405" t="n"/>
      <c r="DP18" s="420" t="n"/>
      <c r="DQ18" s="431" t="n"/>
      <c r="DR18" s="431" t="n"/>
      <c r="DS18" s="429" t="n"/>
      <c r="DT18" s="405" t="n"/>
      <c r="DU18" s="405" t="n"/>
      <c r="DV18" s="423" t="inlineStr">
        <is>
          <t>U</t>
        </is>
      </c>
      <c r="DW18" s="423" t="inlineStr">
        <is>
          <t>U</t>
        </is>
      </c>
      <c r="DX18" s="423" t="inlineStr">
        <is>
          <t>U</t>
        </is>
      </c>
      <c r="DY18" s="423" t="inlineStr">
        <is>
          <t>U</t>
        </is>
      </c>
      <c r="DZ18" s="423" t="inlineStr">
        <is>
          <t>U</t>
        </is>
      </c>
      <c r="EA18" s="405" t="n"/>
      <c r="EB18" s="405" t="n"/>
      <c r="EC18" s="405" t="n"/>
      <c r="ED18" s="420" t="n"/>
      <c r="EE18" s="420" t="n"/>
      <c r="EF18" s="429" t="n"/>
      <c r="EG18" s="423" t="inlineStr">
        <is>
          <t>U</t>
        </is>
      </c>
      <c r="EH18" s="405" t="n"/>
      <c r="EI18" s="405" t="n"/>
      <c r="EJ18" s="405" t="n"/>
      <c r="EK18" s="420" t="n"/>
      <c r="EL18" s="420" t="n"/>
      <c r="EM18" s="420" t="n"/>
      <c r="EN18" s="420" t="n"/>
      <c r="EO18" s="405" t="n"/>
      <c r="EP18" s="430" t="n"/>
      <c r="EQ18" s="430" t="n"/>
      <c r="ER18" s="431" t="n"/>
      <c r="ES18" s="431" t="n"/>
      <c r="ET18" s="431" t="n"/>
      <c r="EU18" s="431" t="n"/>
      <c r="EV18" s="405" t="n"/>
      <c r="EW18" s="405" t="n"/>
      <c r="EX18" s="405" t="n"/>
      <c r="EY18" s="420" t="n"/>
      <c r="EZ18" s="420" t="n"/>
      <c r="FA18" s="429" t="n"/>
      <c r="FB18" s="423" t="inlineStr">
        <is>
          <t>U</t>
        </is>
      </c>
      <c r="FC18" s="405" t="n"/>
      <c r="FD18" s="405" t="n"/>
      <c r="FE18" s="432" t="n"/>
      <c r="FF18" s="420" t="n"/>
      <c r="FG18" s="420" t="n"/>
      <c r="FH18" s="420" t="n"/>
      <c r="FI18" s="420" t="n"/>
      <c r="FJ18" s="405" t="n"/>
      <c r="FK18" s="405" t="n"/>
      <c r="FL18" s="423" t="inlineStr">
        <is>
          <t>U</t>
        </is>
      </c>
      <c r="FM18" s="423" t="inlineStr">
        <is>
          <t>U</t>
        </is>
      </c>
      <c r="FN18" s="423" t="inlineStr">
        <is>
          <t>U</t>
        </is>
      </c>
      <c r="FO18" s="423" t="inlineStr">
        <is>
          <t>U</t>
        </is>
      </c>
      <c r="FP18" s="423" t="inlineStr">
        <is>
          <t>U</t>
        </is>
      </c>
      <c r="FQ18" s="405" t="n"/>
      <c r="FR18" s="405" t="n"/>
      <c r="FS18" s="405" t="n"/>
      <c r="FT18" s="420" t="n"/>
      <c r="FU18" s="420" t="n"/>
      <c r="FV18" s="420" t="n"/>
      <c r="FW18" s="420" t="n"/>
      <c r="FX18" s="405" t="n"/>
      <c r="FY18" s="405" t="n"/>
      <c r="FZ18" s="423" t="inlineStr">
        <is>
          <t>U</t>
        </is>
      </c>
      <c r="GA18" s="420" t="n"/>
      <c r="GB18" s="428" t="n"/>
      <c r="GC18" s="429" t="n"/>
      <c r="GD18" s="429" t="n"/>
      <c r="GE18" s="429" t="n"/>
      <c r="GF18" s="429" t="n"/>
      <c r="GG18" s="429" t="n"/>
      <c r="GH18" s="429" t="n"/>
      <c r="GI18" s="429" t="n"/>
      <c r="GJ18" s="429" t="n"/>
      <c r="GK18" s="429" t="n"/>
      <c r="GL18" s="429" t="n"/>
      <c r="GM18" s="429" t="n"/>
      <c r="GN18" s="429" t="n"/>
      <c r="GO18" s="429" t="n"/>
      <c r="GP18" s="429" t="n"/>
      <c r="GQ18" s="429" t="n"/>
      <c r="GR18" s="429" t="n"/>
      <c r="GS18" s="429" t="n"/>
      <c r="GT18" s="429" t="n"/>
      <c r="GU18" s="429" t="n"/>
      <c r="GV18" s="429" t="n"/>
      <c r="GW18" s="429" t="n"/>
      <c r="GX18" s="429" t="n"/>
      <c r="GY18" s="429" t="n"/>
      <c r="GZ18" s="429" t="n"/>
      <c r="HA18" s="429" t="n"/>
      <c r="HB18" s="429" t="n"/>
      <c r="HC18" s="429" t="n"/>
      <c r="HD18" s="429" t="n"/>
      <c r="HE18" s="429" t="n"/>
      <c r="HF18" s="429" t="n"/>
      <c r="HG18" s="429" t="n"/>
      <c r="HH18" s="429" t="n"/>
      <c r="HI18" s="429" t="n"/>
      <c r="HJ18" s="429" t="n"/>
      <c r="HK18" s="429" t="n"/>
      <c r="HL18" s="429" t="n"/>
      <c r="HM18" s="429" t="n"/>
      <c r="HN18" s="429" t="n"/>
      <c r="HO18" s="429" t="n"/>
      <c r="HP18" s="429" t="n"/>
      <c r="HQ18" s="429" t="n"/>
      <c r="HR18" s="429" t="n"/>
      <c r="HS18" s="429" t="n"/>
      <c r="HT18" s="429" t="n"/>
      <c r="HU18" s="429" t="n"/>
      <c r="HV18" s="429" t="n"/>
      <c r="HW18" s="429" t="n"/>
      <c r="HX18" s="429" t="n"/>
      <c r="HY18" s="429" t="n"/>
      <c r="HZ18" s="429" t="n"/>
      <c r="IA18" s="429" t="n"/>
      <c r="IB18" s="429" t="n"/>
      <c r="IC18" s="429" t="n"/>
      <c r="ID18" s="429" t="n"/>
      <c r="IE18" s="429" t="n"/>
      <c r="IF18" s="429" t="n"/>
      <c r="IG18" s="429" t="n"/>
      <c r="IH18" s="429" t="n"/>
      <c r="II18" s="429" t="n"/>
      <c r="IJ18" s="429" t="n"/>
      <c r="IK18" s="429" t="n"/>
      <c r="IL18" s="429" t="n"/>
      <c r="IM18" s="429" t="n"/>
      <c r="IN18" s="429" t="n"/>
      <c r="IO18" s="429" t="n"/>
      <c r="IP18" s="429" t="n"/>
      <c r="IQ18" s="429" t="n"/>
      <c r="IR18" s="429" t="n"/>
      <c r="IS18" s="429" t="n"/>
      <c r="IT18" s="429" t="n"/>
      <c r="IU18" s="429" t="n"/>
      <c r="IV18" s="429" t="n"/>
      <c r="IW18" s="429" t="n"/>
      <c r="IX18" s="429" t="n"/>
      <c r="IY18" s="429" t="n"/>
      <c r="IZ18" s="429" t="n"/>
      <c r="JA18" s="429" t="n"/>
      <c r="JB18" s="429" t="n"/>
      <c r="JC18" s="429" t="n"/>
      <c r="JD18" s="429" t="n"/>
      <c r="JE18" s="429" t="n"/>
      <c r="JF18" s="429" t="n"/>
      <c r="JG18" s="429" t="n"/>
      <c r="JH18" s="429" t="n"/>
      <c r="JI18" s="429" t="n"/>
      <c r="JJ18" s="429" t="n"/>
      <c r="JK18" s="429" t="n"/>
      <c r="JL18" s="429" t="n"/>
      <c r="JM18" s="429" t="n"/>
      <c r="JN18" s="429" t="n"/>
      <c r="JO18" s="429" t="n"/>
      <c r="JP18" s="429" t="n"/>
      <c r="JQ18" s="429" t="n"/>
      <c r="JR18" s="429" t="n"/>
      <c r="JS18" s="429" t="n"/>
      <c r="JT18" s="429" t="n"/>
      <c r="JU18" s="429" t="n"/>
      <c r="JV18" s="429" t="n"/>
      <c r="JW18" s="429" t="n"/>
      <c r="JX18" s="429" t="n"/>
      <c r="JY18" s="429" t="n"/>
      <c r="JZ18" s="429" t="n"/>
      <c r="KA18" s="429" t="n"/>
      <c r="KB18" s="429" t="n"/>
      <c r="KC18" s="429" t="n"/>
      <c r="KD18" s="429" t="n"/>
      <c r="KE18" s="429" t="n"/>
      <c r="KF18" s="429" t="n"/>
      <c r="KG18" s="429" t="n"/>
      <c r="KH18" s="429" t="n"/>
      <c r="KI18" s="429" t="n"/>
      <c r="KJ18" s="429" t="n"/>
      <c r="KK18" s="429" t="n"/>
      <c r="KL18" s="429" t="n"/>
      <c r="KM18" s="429" t="n"/>
      <c r="KN18" s="429" t="n"/>
      <c r="KO18" s="429" t="n"/>
      <c r="KP18" s="429" t="n"/>
    </row>
    <row r="19" ht="26" customHeight="1" thickBot="1">
      <c r="B19" s="402" t="inlineStr">
        <is>
          <t>Radimersky</t>
        </is>
      </c>
      <c r="C19" s="429" t="n"/>
      <c r="D19" s="440" t="n"/>
      <c r="E19" s="405" t="n"/>
      <c r="F19" s="405" t="n"/>
      <c r="G19" s="405" t="n"/>
      <c r="H19" s="429" t="n"/>
      <c r="I19" s="428" t="n"/>
      <c r="J19" s="428" t="n"/>
      <c r="K19" s="405" t="n"/>
      <c r="L19" s="405" t="n"/>
      <c r="M19" s="405" t="n"/>
      <c r="N19" s="405" t="n"/>
      <c r="O19" s="420" t="n"/>
      <c r="P19" s="420" t="n"/>
      <c r="Q19" s="420" t="n"/>
      <c r="R19" s="405" t="n"/>
      <c r="S19" s="405" t="n"/>
      <c r="T19" s="405" t="n"/>
      <c r="U19" s="405" t="n"/>
      <c r="V19" s="420" t="n"/>
      <c r="W19" s="420" t="n"/>
      <c r="X19" s="420" t="n"/>
      <c r="Y19" s="405" t="n"/>
      <c r="Z19" s="405" t="n"/>
      <c r="AA19" s="405" t="n"/>
      <c r="AB19" s="405" t="n"/>
      <c r="AC19" s="420" t="n"/>
      <c r="AD19" s="420" t="n"/>
      <c r="AE19" s="420" t="n"/>
      <c r="AF19" s="405" t="n"/>
      <c r="AG19" s="405" t="n"/>
      <c r="AH19" s="405" t="n"/>
      <c r="AI19" s="405" t="n"/>
      <c r="AJ19" s="420" t="n"/>
      <c r="AK19" s="420" t="n"/>
      <c r="AL19" s="420" t="n"/>
      <c r="AM19" s="405" t="n"/>
      <c r="AN19" s="405" t="n"/>
      <c r="AO19" s="405" t="n"/>
      <c r="AP19" s="405" t="n"/>
      <c r="AQ19" s="420" t="n"/>
      <c r="AR19" s="420" t="n"/>
      <c r="AS19" s="420" t="n"/>
      <c r="AT19" s="440" t="n"/>
      <c r="AU19" s="405" t="n"/>
      <c r="AV19" s="405" t="n"/>
      <c r="AW19" s="405" t="n"/>
      <c r="AX19" s="420" t="n"/>
      <c r="AY19" s="420" t="n"/>
      <c r="AZ19" s="420" t="n"/>
      <c r="BA19" s="405" t="n"/>
      <c r="BB19" s="405" t="n"/>
      <c r="BC19" s="405" t="n"/>
      <c r="BD19" s="405" t="n"/>
      <c r="BE19" s="420" t="n"/>
      <c r="BF19" s="420" t="n"/>
      <c r="BG19" s="420" t="n"/>
      <c r="BH19" s="405" t="n"/>
      <c r="BI19" s="405" t="n"/>
      <c r="BJ19" s="405" t="n"/>
      <c r="BK19" s="405" t="n"/>
      <c r="BL19" s="420" t="n"/>
      <c r="BM19" s="431" t="n"/>
      <c r="BN19" s="431" t="n"/>
      <c r="BO19" s="428" t="n"/>
      <c r="BP19" s="405" t="n"/>
      <c r="BQ19" s="405" t="n"/>
      <c r="BR19" s="405" t="n"/>
      <c r="BS19" s="420" t="n"/>
      <c r="BT19" s="420" t="n"/>
      <c r="BU19" s="420" t="n"/>
      <c r="BV19" s="428" t="n"/>
      <c r="BW19" s="405" t="n"/>
      <c r="BX19" s="405" t="n"/>
      <c r="BY19" s="405" t="n"/>
      <c r="BZ19" s="420" t="n"/>
      <c r="CA19" s="420" t="n"/>
      <c r="CB19" s="420" t="n"/>
      <c r="CC19" s="428" t="n"/>
      <c r="CD19" s="405" t="n"/>
      <c r="CE19" s="405" t="n"/>
      <c r="CF19" s="405" t="n"/>
      <c r="CG19" s="420" t="n"/>
      <c r="CH19" s="420" t="n"/>
      <c r="CI19" s="428" t="n"/>
      <c r="CJ19" s="428" t="n"/>
      <c r="CK19" s="405" t="n"/>
      <c r="CL19" s="405" t="n"/>
      <c r="CM19" s="423" t="inlineStr">
        <is>
          <t>U</t>
        </is>
      </c>
      <c r="CN19" s="423" t="inlineStr">
        <is>
          <t>U</t>
        </is>
      </c>
      <c r="CO19" s="423" t="inlineStr">
        <is>
          <t>U</t>
        </is>
      </c>
      <c r="CP19" s="423" t="inlineStr">
        <is>
          <t>U</t>
        </is>
      </c>
      <c r="CQ19" s="429" t="n"/>
      <c r="CR19" s="405" t="n"/>
      <c r="CS19" s="430" t="n"/>
      <c r="CT19" s="430" t="n"/>
      <c r="CU19" s="423" t="inlineStr">
        <is>
          <t>U</t>
        </is>
      </c>
      <c r="CV19" s="423" t="inlineStr">
        <is>
          <t>U</t>
        </is>
      </c>
      <c r="CW19" s="423" t="inlineStr">
        <is>
          <t>U</t>
        </is>
      </c>
      <c r="CX19" s="423" t="inlineStr">
        <is>
          <t>U</t>
        </is>
      </c>
      <c r="CY19" s="405" t="n"/>
      <c r="CZ19" s="405" t="n"/>
      <c r="DA19" s="405" t="n"/>
      <c r="DB19" s="431" t="n"/>
      <c r="DC19" s="431" t="n"/>
      <c r="DD19" s="431" t="n"/>
      <c r="DE19" s="431" t="n"/>
      <c r="DF19" s="419" t="n"/>
      <c r="DG19" s="405" t="n"/>
      <c r="DH19" s="440" t="n"/>
      <c r="DI19" s="431" t="n"/>
      <c r="DJ19" s="431" t="n"/>
      <c r="DK19" s="431" t="n"/>
      <c r="DL19" s="431" t="n"/>
      <c r="DM19" s="405" t="n"/>
      <c r="DN19" s="405" t="n"/>
      <c r="DO19" s="405" t="n"/>
      <c r="DP19" s="420" t="n"/>
      <c r="DQ19" s="420" t="n"/>
      <c r="DR19" s="420" t="n"/>
      <c r="DS19" s="429" t="n"/>
      <c r="DT19" s="405" t="n"/>
      <c r="DU19" s="405" t="n"/>
      <c r="DV19" s="405" t="n"/>
      <c r="DW19" s="428" t="n"/>
      <c r="DX19" s="428" t="n"/>
      <c r="DY19" s="428" t="n"/>
      <c r="DZ19" s="420" t="n"/>
      <c r="EA19" s="405" t="n"/>
      <c r="EB19" s="405" t="n"/>
      <c r="EC19" s="405" t="n"/>
      <c r="ED19" s="420" t="n"/>
      <c r="EE19" s="420" t="n"/>
      <c r="EF19" s="429" t="n"/>
      <c r="EG19" s="428" t="n"/>
      <c r="EH19" s="405" t="n"/>
      <c r="EI19" s="405" t="n"/>
      <c r="EJ19" s="405" t="n"/>
      <c r="EK19" s="428" t="n"/>
      <c r="EL19" s="428" t="n"/>
      <c r="EM19" s="428" t="n"/>
      <c r="EN19" s="428" t="n"/>
      <c r="EO19" s="405" t="n"/>
      <c r="EP19" s="430" t="n"/>
      <c r="EQ19" s="430" t="n"/>
      <c r="ER19" s="423" t="inlineStr">
        <is>
          <t>U</t>
        </is>
      </c>
      <c r="ES19" s="423" t="inlineStr">
        <is>
          <t>U</t>
        </is>
      </c>
      <c r="ET19" s="423" t="inlineStr">
        <is>
          <t>U</t>
        </is>
      </c>
      <c r="EU19" s="423" t="inlineStr">
        <is>
          <t>U</t>
        </is>
      </c>
      <c r="EV19" s="405" t="n"/>
      <c r="EW19" s="405" t="n"/>
      <c r="EX19" s="423" t="inlineStr">
        <is>
          <t>U</t>
        </is>
      </c>
      <c r="EY19" s="423" t="inlineStr">
        <is>
          <t>U</t>
        </is>
      </c>
      <c r="EZ19" s="423" t="inlineStr">
        <is>
          <t>U</t>
        </is>
      </c>
      <c r="FA19" s="429" t="n"/>
      <c r="FB19" s="420" t="n"/>
      <c r="FC19" s="405" t="n"/>
      <c r="FD19" s="405" t="n"/>
      <c r="FE19" s="440" t="n"/>
      <c r="FF19" s="431" t="n"/>
      <c r="FG19" s="431" t="n"/>
      <c r="FH19" s="431" t="n"/>
      <c r="FI19" s="431" t="n"/>
      <c r="FJ19" s="405" t="n"/>
      <c r="FK19" s="405" t="n"/>
      <c r="FL19" s="405" t="n"/>
      <c r="FM19" s="431" t="n"/>
      <c r="FN19" s="431" t="n"/>
      <c r="FO19" s="431" t="n"/>
      <c r="FP19" s="431" t="n"/>
      <c r="FQ19" s="405" t="n"/>
      <c r="FR19" s="405" t="n"/>
      <c r="FS19" s="405" t="n"/>
      <c r="FT19" s="420" t="n"/>
      <c r="FU19" s="420" t="n"/>
      <c r="FV19" s="420" t="n"/>
      <c r="FW19" s="428" t="n"/>
      <c r="FX19" s="405" t="n"/>
      <c r="FY19" s="405" t="n"/>
      <c r="FZ19" s="405" t="n"/>
      <c r="GA19" s="420" t="n"/>
      <c r="GB19" s="428" t="n"/>
      <c r="GC19" s="429" t="n"/>
      <c r="GD19" s="429" t="n"/>
      <c r="GE19" s="429" t="n"/>
      <c r="GF19" s="429" t="n"/>
      <c r="GG19" s="429" t="n"/>
      <c r="GH19" s="429" t="n"/>
      <c r="GI19" s="429" t="n"/>
      <c r="GJ19" s="429" t="n"/>
      <c r="GK19" s="429" t="n"/>
      <c r="GL19" s="429" t="n"/>
      <c r="GM19" s="429" t="n"/>
      <c r="GN19" s="429" t="n"/>
      <c r="GO19" s="429" t="n"/>
      <c r="GP19" s="429" t="n"/>
      <c r="GQ19" s="429" t="n"/>
      <c r="GR19" s="429" t="n"/>
      <c r="GS19" s="429" t="n"/>
      <c r="GT19" s="429" t="n"/>
      <c r="GU19" s="429" t="n"/>
      <c r="GV19" s="429" t="n"/>
      <c r="GW19" s="429" t="n"/>
      <c r="GX19" s="429" t="n"/>
      <c r="GY19" s="429" t="n"/>
      <c r="GZ19" s="429" t="n"/>
      <c r="HA19" s="429" t="n"/>
      <c r="HB19" s="429" t="n"/>
      <c r="HC19" s="429" t="n"/>
      <c r="HD19" s="429" t="n"/>
      <c r="HE19" s="429" t="n"/>
      <c r="HF19" s="429" t="n"/>
      <c r="HG19" s="429" t="n"/>
      <c r="HH19" s="429" t="n"/>
      <c r="HI19" s="429" t="n"/>
      <c r="HJ19" s="429" t="n"/>
      <c r="HK19" s="429" t="n"/>
      <c r="HL19" s="429" t="n"/>
      <c r="HM19" s="429" t="n"/>
      <c r="HN19" s="429" t="n"/>
      <c r="HO19" s="429" t="n"/>
      <c r="HP19" s="429" t="n"/>
      <c r="HQ19" s="429" t="n"/>
      <c r="HR19" s="429" t="n"/>
      <c r="HS19" s="429" t="n"/>
      <c r="HT19" s="429" t="n"/>
      <c r="HU19" s="429" t="n"/>
      <c r="HV19" s="429" t="n"/>
      <c r="HW19" s="429" t="n"/>
      <c r="HX19" s="429" t="n"/>
      <c r="HY19" s="429" t="n"/>
      <c r="HZ19" s="429" t="n"/>
      <c r="IA19" s="429" t="n"/>
      <c r="IB19" s="429" t="n"/>
      <c r="IC19" s="429" t="n"/>
      <c r="ID19" s="429" t="n"/>
      <c r="IE19" s="429" t="n"/>
      <c r="IF19" s="429" t="n"/>
      <c r="IG19" s="429" t="n"/>
      <c r="IH19" s="429" t="n"/>
      <c r="II19" s="429" t="n"/>
      <c r="IJ19" s="429" t="n"/>
      <c r="IK19" s="429" t="n"/>
      <c r="IL19" s="429" t="n"/>
      <c r="IM19" s="429" t="n"/>
      <c r="IN19" s="429" t="n"/>
      <c r="IO19" s="429" t="n"/>
      <c r="IP19" s="429" t="n"/>
      <c r="IQ19" s="429" t="n"/>
      <c r="IR19" s="429" t="n"/>
      <c r="IS19" s="429" t="n"/>
      <c r="IT19" s="429" t="n"/>
      <c r="IU19" s="429" t="n"/>
      <c r="IV19" s="429" t="n"/>
      <c r="IW19" s="429" t="n"/>
      <c r="IX19" s="429" t="n"/>
      <c r="IY19" s="429" t="n"/>
      <c r="IZ19" s="429" t="n"/>
      <c r="JA19" s="429" t="n"/>
      <c r="JB19" s="429" t="n"/>
      <c r="JC19" s="429" t="n"/>
      <c r="JD19" s="429" t="n"/>
      <c r="JE19" s="429" t="n"/>
      <c r="JF19" s="429" t="n"/>
      <c r="JG19" s="429" t="n"/>
      <c r="JH19" s="429" t="n"/>
      <c r="JI19" s="429" t="n"/>
      <c r="JJ19" s="429" t="n"/>
      <c r="JK19" s="429" t="n"/>
      <c r="JL19" s="429" t="n"/>
      <c r="JM19" s="429" t="n"/>
      <c r="JN19" s="429" t="n"/>
      <c r="JO19" s="429" t="n"/>
      <c r="JP19" s="429" t="n"/>
      <c r="JQ19" s="429" t="n"/>
      <c r="JR19" s="429" t="n"/>
      <c r="JS19" s="429" t="n"/>
      <c r="JT19" s="429" t="n"/>
      <c r="JU19" s="429" t="n"/>
      <c r="JV19" s="429" t="n"/>
      <c r="JW19" s="429" t="n"/>
      <c r="JX19" s="429" t="n"/>
      <c r="JY19" s="429" t="n"/>
      <c r="JZ19" s="429" t="n"/>
      <c r="KA19" s="429" t="n"/>
      <c r="KB19" s="429" t="n"/>
      <c r="KC19" s="429" t="n"/>
      <c r="KD19" s="429" t="n"/>
      <c r="KE19" s="429" t="n"/>
      <c r="KF19" s="429" t="n"/>
      <c r="KG19" s="429" t="n"/>
      <c r="KH19" s="429" t="n"/>
      <c r="KI19" s="429" t="n"/>
      <c r="KJ19" s="429" t="n"/>
      <c r="KK19" s="429" t="n"/>
      <c r="KL19" s="429" t="n"/>
      <c r="KM19" s="429" t="n"/>
      <c r="KN19" s="429" t="n"/>
      <c r="KO19" s="429" t="n"/>
      <c r="KP19" s="429" t="n"/>
    </row>
    <row r="20" ht="28" customFormat="1" customHeight="1" s="81" thickBot="1">
      <c r="A20" s="53" t="n"/>
      <c r="B20" s="389" t="n"/>
      <c r="C20" s="450" t="n"/>
      <c r="D20" s="450" t="n"/>
      <c r="E20" s="450" t="n"/>
      <c r="F20" s="450" t="n"/>
      <c r="G20" s="450" t="n"/>
      <c r="H20" s="450" t="n"/>
      <c r="I20" s="450" t="n"/>
      <c r="J20" s="450" t="n"/>
      <c r="K20" s="450" t="n"/>
      <c r="L20" s="450" t="n"/>
      <c r="M20" s="450" t="n"/>
      <c r="N20" s="450" t="n"/>
      <c r="O20" s="390" t="inlineStr">
        <is>
          <t>Jul</t>
        </is>
      </c>
      <c r="P20" s="387" t="n"/>
      <c r="Q20" s="387" t="n"/>
      <c r="R20" s="387" t="n"/>
      <c r="S20" s="391">
        <f>C2</f>
        <v/>
      </c>
      <c r="T20" s="387" t="n"/>
      <c r="U20" s="387" t="n"/>
      <c r="V20" s="387" t="n"/>
      <c r="W20" s="450" t="n"/>
      <c r="X20" s="450" t="n"/>
      <c r="Y20" s="450" t="n"/>
      <c r="Z20" s="450" t="n"/>
      <c r="AA20" s="450" t="n"/>
      <c r="AB20" s="450" t="n"/>
      <c r="AC20" s="450" t="n"/>
      <c r="AD20" s="450" t="n"/>
      <c r="AE20" s="450" t="n"/>
      <c r="AF20" s="450" t="n"/>
      <c r="AG20" s="450" t="n"/>
      <c r="AH20" s="389" t="n"/>
      <c r="AI20" s="392" t="n"/>
      <c r="AJ20" s="392" t="n"/>
      <c r="AK20" s="392" t="n"/>
      <c r="AL20" s="392" t="n"/>
      <c r="AM20" s="392" t="n"/>
      <c r="AN20" s="392" t="n"/>
      <c r="AO20" s="392" t="n"/>
      <c r="AP20" s="392" t="n"/>
      <c r="AQ20" s="392" t="n"/>
      <c r="AR20" s="390" t="inlineStr">
        <is>
          <t>Aug</t>
        </is>
      </c>
      <c r="AS20" s="387" t="n"/>
      <c r="AT20" s="387" t="n"/>
      <c r="AU20" s="391">
        <f>C2</f>
        <v/>
      </c>
      <c r="AV20" s="387" t="n"/>
      <c r="AW20" s="387" t="n"/>
      <c r="AX20" s="392" t="n"/>
      <c r="AY20" s="392" t="n"/>
      <c r="AZ20" s="392" t="n"/>
      <c r="BA20" s="392" t="n"/>
      <c r="BB20" s="392" t="n"/>
      <c r="BC20" s="392" t="n"/>
      <c r="BD20" s="392" t="n"/>
      <c r="BE20" s="392" t="n"/>
      <c r="BF20" s="392" t="n"/>
      <c r="BG20" s="392" t="n"/>
      <c r="BH20" s="392" t="n"/>
      <c r="BI20" s="392" t="n"/>
      <c r="BJ20" s="392" t="n"/>
      <c r="BK20" s="392" t="n"/>
      <c r="BL20" s="450" t="n"/>
      <c r="BM20" s="450" t="n"/>
      <c r="BN20" s="450" t="n"/>
      <c r="BO20" s="450" t="n"/>
      <c r="BP20" s="450" t="n"/>
      <c r="BQ20" s="450" t="n"/>
      <c r="BR20" s="450" t="n"/>
      <c r="BS20" s="450" t="n"/>
      <c r="BT20" s="450" t="n"/>
      <c r="BU20" s="450" t="n"/>
      <c r="BV20" s="450" t="n"/>
      <c r="BW20" s="450" t="n"/>
      <c r="BX20" s="450" t="n"/>
      <c r="BY20" s="390" t="inlineStr">
        <is>
          <t>Sep</t>
        </is>
      </c>
      <c r="BZ20" s="387" t="n"/>
      <c r="CA20" s="387" t="n"/>
      <c r="CB20" s="391">
        <f>C2</f>
        <v/>
      </c>
      <c r="CC20" s="387" t="n"/>
      <c r="CD20" s="387" t="n"/>
      <c r="CE20" s="450" t="n"/>
      <c r="CF20" s="450" t="n"/>
      <c r="CG20" s="450" t="n"/>
      <c r="CH20" s="450" t="n"/>
      <c r="CI20" s="450" t="n"/>
      <c r="CJ20" s="450" t="n"/>
      <c r="CK20" s="450" t="n"/>
      <c r="CL20" s="450" t="n"/>
      <c r="CM20" s="450" t="n"/>
      <c r="CN20" s="450" t="n"/>
      <c r="CO20" s="450" t="n"/>
      <c r="CP20" s="450" t="n"/>
      <c r="CQ20" s="450" t="n"/>
      <c r="CR20" s="450" t="n"/>
      <c r="CS20" s="450" t="n"/>
      <c r="CT20" s="450" t="n"/>
      <c r="CU20" s="450" t="n"/>
      <c r="CV20" s="450" t="n"/>
      <c r="CW20" s="450" t="n"/>
      <c r="CX20" s="450" t="n"/>
      <c r="CY20" s="450" t="n"/>
      <c r="CZ20" s="450" t="n"/>
      <c r="DA20" s="450" t="n"/>
      <c r="DB20" s="390" t="inlineStr">
        <is>
          <t>Okt</t>
        </is>
      </c>
      <c r="DC20" s="387" t="n"/>
      <c r="DD20" s="387" t="n"/>
      <c r="DE20" s="391">
        <f>C2</f>
        <v/>
      </c>
      <c r="DF20" s="387" t="n"/>
      <c r="DG20" s="387" t="n"/>
      <c r="DH20" s="450" t="n"/>
      <c r="DI20" s="450" t="n"/>
      <c r="DJ20" s="450" t="n"/>
      <c r="DK20" s="450" t="n"/>
      <c r="DL20" s="450" t="n"/>
      <c r="DM20" s="450" t="n"/>
      <c r="DN20" s="450" t="n"/>
      <c r="DO20" s="450" t="n"/>
      <c r="DP20" s="450" t="n"/>
      <c r="DQ20" s="450" t="n"/>
      <c r="DR20" s="450" t="n"/>
      <c r="DS20" s="450" t="n"/>
      <c r="DT20" s="450" t="n"/>
      <c r="DU20" s="451" t="n"/>
      <c r="DV20" s="450" t="n"/>
      <c r="DW20" s="450" t="n"/>
      <c r="DX20" s="450" t="n"/>
      <c r="DY20" s="450" t="n"/>
      <c r="DZ20" s="450" t="n"/>
      <c r="EA20" s="450" t="n"/>
      <c r="EB20" s="450" t="n"/>
      <c r="EC20" s="450" t="n"/>
      <c r="ED20" s="450" t="n"/>
      <c r="EE20" s="450" t="n"/>
      <c r="EF20" s="450" t="n"/>
      <c r="EG20" s="450" t="n"/>
      <c r="EH20" s="390" t="inlineStr">
        <is>
          <t>Nov</t>
        </is>
      </c>
      <c r="EI20" s="387" t="n"/>
      <c r="EJ20" s="387" t="n"/>
      <c r="EK20" s="391">
        <f>C2</f>
        <v/>
      </c>
      <c r="EL20" s="387" t="n"/>
      <c r="EM20" s="387" t="n"/>
      <c r="EN20" s="450" t="n"/>
      <c r="EO20" s="450" t="n"/>
      <c r="EP20" s="450" t="n"/>
      <c r="EQ20" s="450" t="n"/>
      <c r="ER20" s="450" t="n"/>
      <c r="ES20" s="450" t="n"/>
      <c r="ET20" s="450" t="n"/>
      <c r="EU20" s="450" t="n"/>
      <c r="EV20" s="450" t="n"/>
      <c r="EW20" s="450" t="n"/>
      <c r="EX20" s="450" t="n"/>
      <c r="EY20" s="450" t="n"/>
      <c r="EZ20" s="450" t="n"/>
      <c r="FA20" s="387" t="n"/>
      <c r="FB20" s="450" t="n"/>
      <c r="FC20" s="450" t="n"/>
      <c r="FD20" s="450" t="n"/>
      <c r="FE20" s="450" t="n"/>
      <c r="FF20" s="450" t="n"/>
      <c r="FG20" s="450" t="n"/>
      <c r="FH20" s="450" t="n"/>
      <c r="FI20" s="450" t="n"/>
      <c r="FJ20" s="450" t="n"/>
      <c r="FK20" s="390" t="inlineStr">
        <is>
          <t>Dez</t>
        </is>
      </c>
      <c r="FL20" s="387" t="n"/>
      <c r="FM20" s="387" t="n"/>
      <c r="FN20" s="391">
        <f>C2</f>
        <v/>
      </c>
      <c r="FO20" s="387" t="n"/>
      <c r="FP20" s="387" t="n"/>
      <c r="FQ20" s="450" t="n"/>
      <c r="FR20" s="450" t="n"/>
      <c r="FS20" s="450" t="n"/>
      <c r="FT20" s="450" t="n"/>
      <c r="FU20" s="450" t="n"/>
      <c r="FV20" s="450" t="n"/>
      <c r="FW20" s="450" t="n"/>
      <c r="FX20" s="450" t="n"/>
      <c r="FY20" s="450" t="n"/>
      <c r="FZ20" s="450" t="n"/>
      <c r="GA20" s="450" t="n"/>
      <c r="GB20" s="450" t="n"/>
      <c r="GC20" s="450" t="n"/>
      <c r="GD20" s="450" t="n"/>
      <c r="GE20" s="387" t="n"/>
      <c r="GF20" s="387" t="n"/>
      <c r="GG20" s="387" t="n"/>
      <c r="GH20" s="387" t="n"/>
      <c r="GI20" s="387" t="n"/>
      <c r="GJ20" s="387" t="n"/>
      <c r="GK20" s="387" t="n"/>
      <c r="GL20" s="387" t="n"/>
      <c r="GM20" s="387" t="n"/>
      <c r="GN20" s="387" t="n"/>
      <c r="GO20" s="387" t="n"/>
      <c r="GP20" s="387" t="n"/>
      <c r="GQ20" s="387" t="n"/>
      <c r="GR20" s="387" t="n"/>
      <c r="GS20" s="387" t="n"/>
      <c r="GT20" s="387" t="n"/>
      <c r="GU20" s="387" t="n"/>
      <c r="GV20" s="387" t="n"/>
      <c r="GW20" s="387" t="n"/>
      <c r="GX20" s="387" t="n"/>
      <c r="GY20" s="387" t="n"/>
      <c r="GZ20" s="387" t="n"/>
      <c r="HA20" s="387" t="n"/>
      <c r="HB20" s="387" t="n"/>
      <c r="HC20" s="387" t="n"/>
      <c r="HD20" s="387" t="n"/>
      <c r="HE20" s="387" t="n"/>
      <c r="HF20" s="387" t="n"/>
      <c r="HG20" s="387" t="n"/>
      <c r="HH20" s="387" t="n"/>
      <c r="HI20" s="387" t="n"/>
      <c r="HJ20" s="387" t="n"/>
      <c r="HK20" s="387" t="n"/>
      <c r="HL20" s="387" t="n"/>
      <c r="HM20" s="387" t="n"/>
      <c r="HN20" s="387" t="n"/>
      <c r="HO20" s="387" t="n"/>
      <c r="HP20" s="387" t="n"/>
      <c r="HQ20" s="387" t="n"/>
      <c r="HR20" s="387" t="n"/>
      <c r="HS20" s="387" t="n"/>
      <c r="HT20" s="387" t="n"/>
      <c r="HU20" s="387" t="n"/>
      <c r="HV20" s="387" t="n"/>
      <c r="HW20" s="387" t="n"/>
      <c r="HX20" s="387" t="n"/>
      <c r="HY20" s="387" t="n"/>
      <c r="HZ20" s="387" t="n"/>
      <c r="IA20" s="387" t="n"/>
      <c r="IB20" s="387" t="n"/>
      <c r="IC20" s="387" t="n"/>
      <c r="ID20" s="387" t="n"/>
      <c r="IE20" s="387" t="n"/>
      <c r="IF20" s="387" t="n"/>
      <c r="IG20" s="387" t="n"/>
      <c r="IH20" s="387" t="n"/>
      <c r="II20" s="387" t="n"/>
      <c r="IJ20" s="387" t="n"/>
      <c r="IK20" s="387" t="n"/>
      <c r="IL20" s="387" t="n"/>
      <c r="IM20" s="387" t="n"/>
      <c r="IN20" s="387" t="n"/>
      <c r="IO20" s="387" t="n"/>
      <c r="IP20" s="387" t="n"/>
      <c r="IQ20" s="387" t="n"/>
      <c r="IR20" s="387" t="n"/>
      <c r="IS20" s="387" t="n"/>
      <c r="IT20" s="387" t="n"/>
      <c r="IU20" s="387" t="n"/>
      <c r="IV20" s="387" t="n"/>
      <c r="IW20" s="387" t="n"/>
      <c r="IX20" s="387" t="n"/>
      <c r="IY20" s="387" t="n"/>
      <c r="IZ20" s="387" t="n"/>
      <c r="JA20" s="387" t="n"/>
      <c r="JB20" s="387" t="n"/>
      <c r="JC20" s="387" t="n"/>
      <c r="JD20" s="387" t="n"/>
      <c r="JE20" s="387" t="n"/>
      <c r="JF20" s="387" t="n"/>
      <c r="JG20" s="387" t="n"/>
      <c r="JH20" s="387" t="n"/>
      <c r="JI20" s="387" t="n"/>
      <c r="JJ20" s="387" t="n"/>
      <c r="JK20" s="387" t="n"/>
      <c r="JL20" s="387" t="n"/>
      <c r="JM20" s="387" t="n"/>
      <c r="JN20" s="387" t="n"/>
      <c r="JO20" s="387" t="n"/>
      <c r="JP20" s="387" t="n"/>
      <c r="JQ20" s="387" t="n"/>
      <c r="JR20" s="387" t="n"/>
      <c r="JS20" s="387" t="n"/>
      <c r="JT20" s="387" t="n"/>
      <c r="JU20" s="387" t="n"/>
      <c r="JV20" s="387" t="n"/>
      <c r="JW20" s="387" t="n"/>
      <c r="JX20" s="387" t="n"/>
      <c r="JY20" s="387" t="n"/>
      <c r="JZ20" s="387" t="n"/>
      <c r="KA20" s="387" t="n"/>
      <c r="KB20" s="387" t="n"/>
      <c r="KC20" s="387" t="n"/>
      <c r="KD20" s="387" t="n"/>
      <c r="KE20" s="387" t="n"/>
      <c r="KF20" s="387" t="n"/>
      <c r="KG20" s="387" t="n"/>
      <c r="KH20" s="387" t="n"/>
      <c r="KI20" s="387" t="n"/>
      <c r="KJ20" s="387" t="n"/>
      <c r="KK20" s="387" t="n"/>
      <c r="KL20" s="387" t="n"/>
      <c r="KM20" s="387" t="n"/>
      <c r="KN20" s="387" t="n"/>
      <c r="KO20" s="387" t="n"/>
      <c r="KP20" s="387" t="n"/>
    </row>
    <row r="21" ht="16" customFormat="1" customHeight="1" s="70" thickBot="1">
      <c r="A21" s="75" t="n"/>
      <c r="B21" s="396" t="n"/>
      <c r="C21" s="396" t="n"/>
      <c r="D21" s="394" t="n"/>
      <c r="E21" s="394" t="n"/>
      <c r="F21" s="396" t="n"/>
      <c r="G21" s="396" t="n"/>
      <c r="H21" s="396" t="n"/>
      <c r="I21" s="396" t="n"/>
      <c r="J21" s="396" t="n"/>
      <c r="K21" s="396" t="n"/>
      <c r="L21" s="396" t="n"/>
      <c r="M21" s="396" t="n"/>
      <c r="N21" s="396" t="n"/>
      <c r="O21" s="396" t="n"/>
      <c r="P21" s="396" t="n"/>
      <c r="Q21" s="396" t="n"/>
      <c r="R21" s="396" t="n"/>
      <c r="S21" s="396" t="n"/>
      <c r="T21" s="396" t="n"/>
      <c r="U21" s="396" t="n"/>
      <c r="V21" s="396" t="n"/>
      <c r="W21" s="396" t="n"/>
      <c r="X21" s="396" t="n"/>
      <c r="Y21" s="396" t="n"/>
      <c r="Z21" s="396" t="n"/>
      <c r="AA21" s="396" t="n"/>
      <c r="AB21" s="396" t="n"/>
      <c r="AC21" s="396" t="n"/>
      <c r="AD21" s="396" t="n"/>
      <c r="AE21" s="396" t="n"/>
      <c r="AF21" s="395" t="inlineStr">
        <is>
          <t>Sommerferien</t>
        </is>
      </c>
      <c r="AG21" s="394" t="n"/>
      <c r="AH21" s="394" t="n"/>
      <c r="AI21" s="394" t="n"/>
      <c r="AJ21" s="394" t="n"/>
      <c r="AK21" s="394" t="n"/>
      <c r="AL21" s="394" t="n"/>
      <c r="AM21" s="394" t="n"/>
      <c r="AN21" s="394" t="n"/>
      <c r="AO21" s="394" t="n"/>
      <c r="AP21" s="394" t="n"/>
      <c r="AQ21" s="394" t="n"/>
      <c r="AR21" s="394" t="n"/>
      <c r="AS21" s="394" t="n"/>
      <c r="AT21" s="394" t="n"/>
      <c r="AU21" s="394" t="n"/>
      <c r="AV21" s="394" t="n"/>
      <c r="AW21" s="394" t="n"/>
      <c r="AX21" s="394" t="n"/>
      <c r="AY21" s="394" t="n"/>
      <c r="AZ21" s="394" t="n"/>
      <c r="BA21" s="394" t="n"/>
      <c r="BB21" s="394" t="n"/>
      <c r="BC21" s="394" t="n"/>
      <c r="BD21" s="394" t="n"/>
      <c r="BE21" s="394" t="n"/>
      <c r="BF21" s="394" t="n"/>
      <c r="BG21" s="394" t="n"/>
      <c r="BH21" s="394" t="n"/>
      <c r="BI21" s="394" t="n"/>
      <c r="BJ21" s="394" t="n"/>
      <c r="BK21" s="394" t="n"/>
      <c r="BL21" s="394" t="n"/>
      <c r="BM21" s="394" t="n"/>
      <c r="BN21" s="394" t="n"/>
      <c r="BO21" s="394" t="n"/>
      <c r="BP21" s="394" t="n"/>
      <c r="BQ21" s="394" t="n"/>
      <c r="BR21" s="394" t="n"/>
      <c r="BS21" s="394" t="n"/>
      <c r="BT21" s="394" t="n"/>
      <c r="BU21" s="394" t="n"/>
      <c r="BV21" s="394" t="n"/>
      <c r="BW21" s="394" t="n"/>
      <c r="BX21" s="394" t="n"/>
      <c r="BY21" s="394" t="n"/>
      <c r="BZ21" s="396" t="n"/>
      <c r="CA21" s="396" t="n"/>
      <c r="CB21" s="396" t="n"/>
      <c r="CC21" s="396" t="n"/>
      <c r="CD21" s="396" t="n"/>
      <c r="CE21" s="396" t="n"/>
      <c r="CF21" s="396" t="n"/>
      <c r="CG21" s="396" t="n"/>
      <c r="CH21" s="396" t="n"/>
      <c r="CI21" s="396" t="n"/>
      <c r="CJ21" s="396" t="n"/>
      <c r="CK21" s="396" t="n"/>
      <c r="CL21" s="396" t="n"/>
      <c r="CM21" s="396" t="n"/>
      <c r="CN21" s="396" t="n"/>
      <c r="CO21" s="396" t="n"/>
      <c r="CP21" s="396" t="n"/>
      <c r="CQ21" s="396" t="n"/>
      <c r="CR21" s="396" t="n"/>
      <c r="CS21" s="396" t="n"/>
      <c r="CT21" s="396" t="n"/>
      <c r="CU21" s="396" t="n"/>
      <c r="CV21" s="396" t="n"/>
      <c r="CW21" s="396" t="n"/>
      <c r="CX21" s="396" t="n"/>
      <c r="CY21" s="396" t="n"/>
      <c r="CZ21" s="396" t="n"/>
      <c r="DA21" s="396" t="n"/>
      <c r="DB21" s="396" t="n"/>
      <c r="DC21" s="396" t="n"/>
      <c r="DD21" s="396" t="n"/>
      <c r="DE21" s="396" t="n"/>
      <c r="DF21" s="396" t="n"/>
      <c r="DG21" s="396" t="n"/>
      <c r="DH21" s="396" t="n"/>
      <c r="DI21" s="396" t="n"/>
      <c r="DJ21" s="396" t="n"/>
      <c r="DK21" s="396" t="n"/>
      <c r="DL21" s="396" t="n"/>
      <c r="DM21" s="396" t="n"/>
      <c r="DN21" s="395" t="inlineStr">
        <is>
          <t>Herbstferien</t>
        </is>
      </c>
      <c r="DO21" s="394" t="n"/>
      <c r="DP21" s="394" t="n"/>
      <c r="DQ21" s="394" t="n"/>
      <c r="DR21" s="394" t="n"/>
      <c r="DS21" s="394" t="n"/>
      <c r="DT21" s="394" t="n"/>
      <c r="DU21" s="394" t="n"/>
      <c r="DV21" s="394" t="n"/>
      <c r="DW21" s="452" t="n"/>
      <c r="DX21" s="452" t="n"/>
      <c r="DY21" s="452" t="n"/>
      <c r="DZ21" s="452" t="n"/>
      <c r="EA21" s="452" t="n"/>
      <c r="EB21" s="452" t="n"/>
      <c r="EC21" s="452" t="n"/>
      <c r="ED21" s="396" t="n"/>
      <c r="EE21" s="396" t="n"/>
      <c r="EF21" s="396" t="n"/>
      <c r="EG21" s="396" t="n"/>
      <c r="EH21" s="396" t="n"/>
      <c r="EI21" s="396" t="n"/>
      <c r="EJ21" s="396" t="n"/>
      <c r="EK21" s="396" t="n"/>
      <c r="EL21" s="396" t="n"/>
      <c r="EM21" s="396" t="n"/>
      <c r="EN21" s="396" t="n"/>
      <c r="EO21" s="396" t="n"/>
      <c r="EP21" s="396" t="n"/>
      <c r="EQ21" s="396" t="n"/>
      <c r="ER21" s="396" t="n"/>
      <c r="ES21" s="396" t="n"/>
      <c r="ET21" s="396" t="n"/>
      <c r="EU21" s="396" t="n"/>
      <c r="EV21" s="396" t="n"/>
      <c r="EW21" s="396" t="n"/>
      <c r="EX21" s="396" t="n"/>
      <c r="EY21" s="396" t="n"/>
      <c r="EZ21" s="396" t="n"/>
      <c r="FA21" s="396" t="n"/>
      <c r="FB21" s="396" t="n"/>
      <c r="FC21" s="396" t="n"/>
      <c r="FD21" s="396" t="n"/>
      <c r="FE21" s="396" t="n"/>
      <c r="FF21" s="396" t="n"/>
      <c r="FG21" s="396" t="n"/>
      <c r="FH21" s="396" t="n"/>
      <c r="FI21" s="396" t="n"/>
      <c r="FJ21" s="396" t="n"/>
      <c r="FK21" s="396" t="n"/>
      <c r="FL21" s="396" t="n"/>
      <c r="FM21" s="396" t="n"/>
      <c r="FN21" s="396" t="n"/>
      <c r="FO21" s="396" t="n"/>
      <c r="FP21" s="396" t="n"/>
      <c r="FQ21" s="396" t="n"/>
      <c r="FR21" s="396" t="n"/>
      <c r="FS21" s="396" t="n"/>
      <c r="FT21" s="396" t="n"/>
      <c r="FU21" s="396" t="n"/>
      <c r="FV21" s="395" t="inlineStr">
        <is>
          <t>Weihnachtsferien</t>
        </is>
      </c>
      <c r="FW21" s="394" t="n"/>
      <c r="FX21" s="394" t="n"/>
      <c r="FY21" s="394" t="n"/>
      <c r="FZ21" s="394" t="n"/>
      <c r="GA21" s="394" t="n"/>
      <c r="GB21" s="394" t="n"/>
      <c r="GC21" s="394" t="n"/>
      <c r="GD21" s="394" t="n"/>
      <c r="GE21" s="396" t="n"/>
      <c r="GF21" s="452" t="n"/>
      <c r="GG21" s="452" t="n"/>
      <c r="GH21" s="394" t="n"/>
      <c r="GI21" s="394" t="n"/>
      <c r="GJ21" s="394" t="n"/>
      <c r="GK21" s="394" t="n"/>
      <c r="GL21" s="394" t="n"/>
      <c r="GM21" s="394" t="n"/>
      <c r="GN21" s="394" t="n"/>
      <c r="GO21" s="394" t="n"/>
      <c r="GP21" s="394" t="n"/>
      <c r="GQ21" s="394" t="n"/>
      <c r="GR21" s="394" t="n"/>
      <c r="GS21" s="394" t="n"/>
      <c r="GT21" s="394" t="n"/>
      <c r="GU21" s="394" t="n"/>
      <c r="GV21" s="394" t="n"/>
      <c r="GW21" s="394" t="n"/>
      <c r="GX21" s="394" t="n"/>
      <c r="GY21" s="394" t="n"/>
      <c r="GZ21" s="394" t="n"/>
      <c r="HA21" s="394" t="n"/>
      <c r="HB21" s="394" t="n"/>
      <c r="HC21" s="394" t="n"/>
      <c r="HD21" s="394" t="n"/>
      <c r="HE21" s="394" t="n"/>
      <c r="HF21" s="394" t="n"/>
      <c r="HG21" s="394" t="n"/>
      <c r="HH21" s="394" t="n"/>
      <c r="HI21" s="394" t="n"/>
      <c r="HJ21" s="394" t="n"/>
      <c r="HK21" s="394" t="n"/>
      <c r="HL21" s="394" t="n"/>
      <c r="HM21" s="394" t="n"/>
      <c r="HN21" s="394" t="n"/>
      <c r="HO21" s="394" t="n"/>
      <c r="HP21" s="394" t="n"/>
      <c r="HQ21" s="394" t="n"/>
      <c r="HR21" s="394" t="n"/>
      <c r="HS21" s="394" t="n"/>
      <c r="HT21" s="394" t="n"/>
      <c r="HU21" s="394" t="n"/>
      <c r="HV21" s="394" t="n"/>
      <c r="HW21" s="394" t="n"/>
      <c r="HX21" s="394" t="n"/>
      <c r="HY21" s="394" t="n"/>
      <c r="HZ21" s="394" t="n"/>
      <c r="IA21" s="394" t="n"/>
      <c r="IB21" s="394" t="n"/>
      <c r="IC21" s="394" t="n"/>
      <c r="ID21" s="394" t="n"/>
      <c r="IE21" s="394" t="n"/>
      <c r="IF21" s="394" t="n"/>
      <c r="IG21" s="394" t="n"/>
      <c r="IH21" s="394" t="n"/>
      <c r="II21" s="394" t="n"/>
      <c r="IJ21" s="394" t="n"/>
      <c r="IK21" s="394" t="n"/>
      <c r="IL21" s="394" t="n"/>
      <c r="IM21" s="394" t="n"/>
      <c r="IN21" s="394" t="n"/>
      <c r="IO21" s="394" t="n"/>
      <c r="IP21" s="394" t="n"/>
      <c r="IQ21" s="394" t="n"/>
      <c r="IR21" s="394" t="n"/>
      <c r="IS21" s="394" t="n"/>
      <c r="IT21" s="394" t="n"/>
      <c r="IU21" s="394" t="n"/>
      <c r="IV21" s="394" t="n"/>
      <c r="IW21" s="394" t="n"/>
      <c r="IX21" s="394" t="n"/>
      <c r="IY21" s="394" t="n"/>
      <c r="IZ21" s="394" t="n"/>
      <c r="JA21" s="394" t="n"/>
      <c r="JB21" s="394" t="n"/>
      <c r="JC21" s="394" t="n"/>
      <c r="JD21" s="394" t="n"/>
      <c r="JE21" s="394" t="n"/>
      <c r="JF21" s="394" t="n"/>
      <c r="JG21" s="394" t="n"/>
      <c r="JH21" s="394" t="n"/>
      <c r="JI21" s="394" t="n"/>
      <c r="JJ21" s="394" t="n"/>
      <c r="JK21" s="394" t="n"/>
      <c r="JL21" s="394" t="n"/>
      <c r="JM21" s="394" t="n"/>
      <c r="JN21" s="394" t="n"/>
      <c r="JO21" s="394" t="n"/>
      <c r="JP21" s="394" t="n"/>
      <c r="JQ21" s="394" t="n"/>
      <c r="JR21" s="394" t="n"/>
      <c r="JS21" s="394" t="n"/>
      <c r="JT21" s="394" t="n"/>
      <c r="JU21" s="394" t="n"/>
      <c r="JV21" s="394" t="n"/>
      <c r="JW21" s="394" t="n"/>
      <c r="JX21" s="394" t="n"/>
      <c r="JY21" s="394" t="n"/>
      <c r="JZ21" s="394" t="n"/>
      <c r="KA21" s="394" t="n"/>
      <c r="KB21" s="394" t="n"/>
      <c r="KC21" s="394" t="n"/>
      <c r="KD21" s="394" t="n"/>
      <c r="KE21" s="394" t="n"/>
      <c r="KF21" s="394" t="n"/>
      <c r="KG21" s="394" t="n"/>
      <c r="KH21" s="394" t="n"/>
      <c r="KI21" s="394" t="n"/>
      <c r="KJ21" s="394" t="n"/>
      <c r="KK21" s="394" t="n"/>
      <c r="KL21" s="394" t="n"/>
      <c r="KM21" s="394" t="n"/>
      <c r="KN21" s="394" t="n"/>
      <c r="KO21" s="394" t="n"/>
      <c r="KP21" s="394" t="n"/>
    </row>
    <row r="22" ht="18" customFormat="1" customHeight="1" s="75" thickBot="1">
      <c r="A22" s="75" t="n"/>
      <c r="B22" s="397" t="n"/>
      <c r="C22" s="397" t="inlineStr">
        <is>
          <t>KW 27</t>
        </is>
      </c>
      <c r="D22" s="397" t="n"/>
      <c r="E22" s="397" t="n"/>
      <c r="F22" s="397" t="n"/>
      <c r="G22" s="397" t="n"/>
      <c r="H22" s="397" t="inlineStr">
        <is>
          <t>KW 28</t>
        </is>
      </c>
      <c r="I22" s="397" t="n"/>
      <c r="J22" s="397" t="n"/>
      <c r="K22" s="397" t="n"/>
      <c r="L22" s="397" t="n"/>
      <c r="M22" s="397" t="n"/>
      <c r="N22" s="397" t="n"/>
      <c r="O22" s="397" t="inlineStr">
        <is>
          <t>KW 29</t>
        </is>
      </c>
      <c r="P22" s="397" t="n"/>
      <c r="Q22" s="397" t="n"/>
      <c r="R22" s="397" t="n"/>
      <c r="S22" s="397" t="n"/>
      <c r="T22" s="397" t="n"/>
      <c r="U22" s="397" t="n"/>
      <c r="V22" s="397" t="inlineStr">
        <is>
          <t>KW 30</t>
        </is>
      </c>
      <c r="W22" s="397" t="n"/>
      <c r="X22" s="397" t="n"/>
      <c r="Y22" s="397" t="n"/>
      <c r="Z22" s="397" t="n"/>
      <c r="AA22" s="397" t="n"/>
      <c r="AB22" s="397" t="n"/>
      <c r="AC22" s="397" t="inlineStr">
        <is>
          <t>KW 31</t>
        </is>
      </c>
      <c r="AD22" s="397" t="n"/>
      <c r="AE22" s="397" t="n"/>
      <c r="AF22" s="397" t="n"/>
      <c r="AG22" s="397" t="n"/>
      <c r="AH22" s="397" t="n"/>
      <c r="AI22" s="397" t="n"/>
      <c r="AJ22" s="397" t="inlineStr">
        <is>
          <t>KW 32</t>
        </is>
      </c>
      <c r="AK22" s="397" t="n"/>
      <c r="AL22" s="397" t="n"/>
      <c r="AM22" s="397" t="n"/>
      <c r="AN22" s="397" t="n"/>
      <c r="AO22" s="397" t="n"/>
      <c r="AP22" s="397" t="n"/>
      <c r="AQ22" s="397" t="inlineStr">
        <is>
          <t>KW 33</t>
        </is>
      </c>
      <c r="AR22" s="397" t="n"/>
      <c r="AS22" s="397" t="n"/>
      <c r="AT22" s="397" t="n"/>
      <c r="AU22" s="397" t="n"/>
      <c r="AV22" s="397" t="n"/>
      <c r="AW22" s="397" t="n"/>
      <c r="AX22" s="397" t="inlineStr">
        <is>
          <t>KW 34</t>
        </is>
      </c>
      <c r="AY22" s="397" t="n"/>
      <c r="AZ22" s="397" t="n"/>
      <c r="BA22" s="397" t="n"/>
      <c r="BB22" s="397" t="n"/>
      <c r="BC22" s="397" t="n"/>
      <c r="BD22" s="397" t="n"/>
      <c r="BE22" s="397" t="inlineStr">
        <is>
          <t>KW 35</t>
        </is>
      </c>
      <c r="BF22" s="397" t="n"/>
      <c r="BG22" s="397" t="n"/>
      <c r="BH22" s="397" t="n"/>
      <c r="BI22" s="397" t="n"/>
      <c r="BJ22" s="397" t="n"/>
      <c r="BK22" s="397" t="n"/>
      <c r="BL22" s="397" t="inlineStr">
        <is>
          <t>KW 36</t>
        </is>
      </c>
      <c r="BM22" s="397" t="n"/>
      <c r="BN22" s="397" t="n"/>
      <c r="BO22" s="397" t="n"/>
      <c r="BP22" s="397" t="n"/>
      <c r="BQ22" s="397" t="n"/>
      <c r="BR22" s="397" t="n"/>
      <c r="BS22" s="397" t="inlineStr">
        <is>
          <t>KW 37</t>
        </is>
      </c>
      <c r="BT22" s="397" t="n"/>
      <c r="BU22" s="397" t="n"/>
      <c r="BV22" s="397" t="n"/>
      <c r="BW22" s="397" t="n"/>
      <c r="BX22" s="397" t="n"/>
      <c r="BY22" s="397" t="n"/>
      <c r="BZ22" s="397" t="inlineStr">
        <is>
          <t>KW 38</t>
        </is>
      </c>
      <c r="CA22" s="397" t="n"/>
      <c r="CB22" s="397" t="n"/>
      <c r="CC22" s="397" t="n"/>
      <c r="CD22" s="397" t="n"/>
      <c r="CE22" s="397" t="n"/>
      <c r="CF22" s="397" t="n"/>
      <c r="CG22" s="397" t="inlineStr">
        <is>
          <t>KW 39</t>
        </is>
      </c>
      <c r="CH22" s="397" t="n"/>
      <c r="CI22" s="397" t="n"/>
      <c r="CJ22" s="397" t="n"/>
      <c r="CK22" s="397" t="n"/>
      <c r="CL22" s="397" t="n"/>
      <c r="CM22" s="397" t="n"/>
      <c r="CN22" s="397" t="inlineStr">
        <is>
          <t>KW 40</t>
        </is>
      </c>
      <c r="CO22" s="397" t="n"/>
      <c r="CP22" s="397" t="n"/>
      <c r="CQ22" s="397" t="n"/>
      <c r="CR22" s="397" t="n"/>
      <c r="CS22" s="397" t="n"/>
      <c r="CT22" s="397" t="n"/>
      <c r="CU22" s="397" t="inlineStr">
        <is>
          <t>KW 41</t>
        </is>
      </c>
      <c r="CV22" s="397" t="n"/>
      <c r="CW22" s="397" t="n"/>
      <c r="CX22" s="397" t="n"/>
      <c r="CY22" s="397" t="n"/>
      <c r="CZ22" s="397" t="n"/>
      <c r="DA22" s="397" t="n"/>
      <c r="DB22" s="397" t="inlineStr">
        <is>
          <t>KW 42</t>
        </is>
      </c>
      <c r="DC22" s="397" t="n"/>
      <c r="DD22" s="397" t="n"/>
      <c r="DE22" s="397" t="n"/>
      <c r="DF22" s="397" t="n"/>
      <c r="DG22" s="397" t="n"/>
      <c r="DH22" s="397" t="n"/>
      <c r="DI22" s="397" t="inlineStr">
        <is>
          <t>KW 43</t>
        </is>
      </c>
      <c r="DJ22" s="397" t="n"/>
      <c r="DK22" s="397" t="n"/>
      <c r="DL22" s="397" t="n"/>
      <c r="DM22" s="397" t="n"/>
      <c r="DN22" s="397" t="n"/>
      <c r="DO22" s="397" t="n"/>
      <c r="DP22" s="397" t="inlineStr">
        <is>
          <t>KW 44</t>
        </is>
      </c>
      <c r="DQ22" s="397" t="n"/>
      <c r="DR22" s="397" t="n"/>
      <c r="DS22" s="397" t="n"/>
      <c r="DT22" s="397" t="n"/>
      <c r="DU22" s="397" t="n"/>
      <c r="DV22" s="397" t="n"/>
      <c r="DW22" s="397" t="inlineStr">
        <is>
          <t>KW 45</t>
        </is>
      </c>
      <c r="DX22" s="397" t="n"/>
      <c r="DY22" s="397" t="n"/>
      <c r="DZ22" s="397" t="n"/>
      <c r="EA22" s="397" t="n"/>
      <c r="EB22" s="397" t="n"/>
      <c r="EC22" s="397" t="n"/>
      <c r="ED22" s="397" t="inlineStr">
        <is>
          <t>KW 46</t>
        </is>
      </c>
      <c r="EE22" s="397" t="n"/>
      <c r="EF22" s="397" t="n"/>
      <c r="EG22" s="397" t="n"/>
      <c r="EH22" s="397" t="n"/>
      <c r="EI22" s="397" t="n"/>
      <c r="EJ22" s="397" t="n"/>
      <c r="EK22" s="397" t="inlineStr">
        <is>
          <t>KW 47</t>
        </is>
      </c>
      <c r="EL22" s="397" t="n"/>
      <c r="EM22" s="397" t="n"/>
      <c r="EN22" s="397" t="n"/>
      <c r="EO22" s="397" t="n"/>
      <c r="EP22" s="397" t="n"/>
      <c r="EQ22" s="397" t="n"/>
      <c r="ER22" s="397" t="inlineStr">
        <is>
          <t>KW 48</t>
        </is>
      </c>
      <c r="ES22" s="397" t="n"/>
      <c r="ET22" s="397" t="n"/>
      <c r="EU22" s="397" t="n"/>
      <c r="EV22" s="397" t="n"/>
      <c r="EW22" s="397" t="n"/>
      <c r="EX22" s="397" t="n"/>
      <c r="EY22" s="397" t="inlineStr">
        <is>
          <t>KW 49</t>
        </is>
      </c>
      <c r="EZ22" s="397" t="n"/>
      <c r="FA22" s="397" t="n"/>
      <c r="FB22" s="397" t="n"/>
      <c r="FC22" s="397" t="n"/>
      <c r="FD22" s="397" t="n"/>
      <c r="FE22" s="397" t="n"/>
      <c r="FF22" s="397" t="inlineStr">
        <is>
          <t>KW 50</t>
        </is>
      </c>
      <c r="FG22" s="397" t="n"/>
      <c r="FH22" s="397" t="n"/>
      <c r="FI22" s="397" t="n"/>
      <c r="FJ22" s="397" t="n"/>
      <c r="FK22" s="397" t="n"/>
      <c r="FL22" s="397" t="n"/>
      <c r="FM22" s="397" t="inlineStr">
        <is>
          <t>KW 51</t>
        </is>
      </c>
      <c r="FN22" s="397" t="n"/>
      <c r="FO22" s="397" t="n"/>
      <c r="FP22" s="397" t="n"/>
      <c r="FQ22" s="397" t="n"/>
      <c r="FR22" s="397" t="n"/>
      <c r="FS22" s="397" t="n"/>
      <c r="FT22" s="397" t="inlineStr">
        <is>
          <t>KW 52</t>
        </is>
      </c>
      <c r="FU22" s="397" t="n"/>
      <c r="FV22" s="397" t="n"/>
      <c r="FW22" s="397" t="n"/>
      <c r="FX22" s="397" t="n"/>
      <c r="FY22" s="397" t="n"/>
      <c r="FZ22" s="397" t="n"/>
      <c r="GA22" s="397" t="inlineStr">
        <is>
          <t>KW 1</t>
        </is>
      </c>
      <c r="GB22" s="397" t="n"/>
      <c r="GC22" s="397" t="n"/>
      <c r="GD22" s="397" t="n"/>
      <c r="GE22" s="397" t="n"/>
      <c r="GF22" s="397" t="n"/>
      <c r="GG22" s="397" t="n"/>
      <c r="GH22" s="397" t="n"/>
      <c r="GI22" s="397" t="n"/>
      <c r="GJ22" s="397" t="n"/>
      <c r="GK22" s="397" t="n"/>
      <c r="GL22" s="397" t="n"/>
      <c r="GM22" s="397" t="n"/>
      <c r="GN22" s="397" t="n"/>
      <c r="GO22" s="397" t="n"/>
      <c r="GP22" s="397" t="n"/>
      <c r="GQ22" s="397" t="n"/>
      <c r="GR22" s="397" t="n"/>
      <c r="GS22" s="397" t="n"/>
      <c r="GT22" s="397" t="n"/>
      <c r="GU22" s="397" t="n"/>
      <c r="GV22" s="397" t="n"/>
      <c r="GW22" s="397" t="n"/>
      <c r="GX22" s="397" t="n"/>
      <c r="GY22" s="397" t="n"/>
      <c r="GZ22" s="397" t="n"/>
      <c r="HA22" s="397" t="n"/>
      <c r="HB22" s="397" t="n"/>
      <c r="HC22" s="397" t="n"/>
      <c r="HD22" s="397" t="n"/>
      <c r="HE22" s="397" t="n"/>
      <c r="HF22" s="397" t="n"/>
      <c r="HG22" s="397" t="n"/>
      <c r="HH22" s="397" t="n"/>
      <c r="HI22" s="397" t="n"/>
      <c r="HJ22" s="397" t="n"/>
      <c r="HK22" s="397" t="n"/>
      <c r="HL22" s="397" t="n"/>
      <c r="HM22" s="397" t="n"/>
      <c r="HN22" s="397" t="n"/>
      <c r="HO22" s="397" t="n"/>
      <c r="HP22" s="397" t="n"/>
      <c r="HQ22" s="397" t="n"/>
      <c r="HR22" s="397" t="n"/>
      <c r="HS22" s="397" t="n"/>
      <c r="HT22" s="397" t="n"/>
      <c r="HU22" s="397" t="n"/>
      <c r="HV22" s="397" t="n"/>
      <c r="HW22" s="397" t="n"/>
      <c r="HX22" s="397" t="n"/>
      <c r="HY22" s="397" t="n"/>
      <c r="HZ22" s="397" t="n"/>
      <c r="IA22" s="397" t="n"/>
      <c r="IB22" s="397" t="n"/>
      <c r="IC22" s="397" t="n"/>
      <c r="ID22" s="397" t="n"/>
      <c r="IE22" s="397" t="n"/>
      <c r="IF22" s="397" t="n"/>
      <c r="IG22" s="397" t="n"/>
      <c r="IH22" s="397" t="n"/>
      <c r="II22" s="397" t="n"/>
      <c r="IJ22" s="397" t="n"/>
      <c r="IK22" s="397" t="n"/>
      <c r="IL22" s="397" t="n"/>
      <c r="IM22" s="397" t="n"/>
      <c r="IN22" s="397" t="n"/>
      <c r="IO22" s="397" t="n"/>
      <c r="IP22" s="397" t="n"/>
      <c r="IQ22" s="397" t="n"/>
      <c r="IR22" s="397" t="n"/>
      <c r="IS22" s="397" t="n"/>
      <c r="IT22" s="397" t="n"/>
      <c r="IU22" s="397" t="n"/>
      <c r="IV22" s="397" t="n"/>
      <c r="IW22" s="397" t="n"/>
      <c r="IX22" s="397" t="n"/>
      <c r="IY22" s="397" t="n"/>
      <c r="IZ22" s="397" t="n"/>
      <c r="JA22" s="397" t="n"/>
      <c r="JB22" s="397" t="n"/>
      <c r="JC22" s="397" t="n"/>
      <c r="JD22" s="397" t="n"/>
      <c r="JE22" s="397" t="n"/>
      <c r="JF22" s="397" t="n"/>
      <c r="JG22" s="397" t="n"/>
      <c r="JH22" s="397" t="n"/>
      <c r="JI22" s="397" t="n"/>
      <c r="JJ22" s="397" t="n"/>
      <c r="JK22" s="397" t="n"/>
      <c r="JL22" s="397" t="n"/>
      <c r="JM22" s="397" t="n"/>
      <c r="JN22" s="397" t="n"/>
      <c r="JO22" s="397" t="n"/>
      <c r="JP22" s="397" t="n"/>
      <c r="JQ22" s="397" t="n"/>
      <c r="JR22" s="397" t="n"/>
      <c r="JS22" s="397" t="n"/>
      <c r="JT22" s="397" t="n"/>
      <c r="JU22" s="397" t="n"/>
      <c r="JV22" s="397" t="n"/>
      <c r="JW22" s="397" t="n"/>
      <c r="JX22" s="397" t="n"/>
      <c r="JY22" s="397" t="n"/>
      <c r="JZ22" s="397" t="n"/>
      <c r="KA22" s="397" t="n"/>
      <c r="KB22" s="397" t="n"/>
      <c r="KC22" s="397" t="n"/>
      <c r="KD22" s="397" t="n"/>
      <c r="KE22" s="397" t="n"/>
      <c r="KF22" s="397" t="n"/>
      <c r="KG22" s="397" t="n"/>
      <c r="KH22" s="397" t="n"/>
      <c r="KI22" s="397" t="n"/>
      <c r="KJ22" s="397" t="n"/>
      <c r="KK22" s="397" t="n"/>
      <c r="KL22" s="397" t="n"/>
      <c r="KM22" s="397" t="n"/>
      <c r="KN22" s="397" t="n"/>
      <c r="KO22" s="397" t="n"/>
      <c r="KP22" s="397" t="n"/>
    </row>
    <row r="23" ht="24" customHeight="1">
      <c r="B23" s="399" t="n"/>
      <c r="C23" s="399" t="n">
        <v>1</v>
      </c>
      <c r="D23" s="399" t="n">
        <v>2</v>
      </c>
      <c r="E23" s="399" t="n">
        <v>3</v>
      </c>
      <c r="F23" s="399" t="n">
        <v>4</v>
      </c>
      <c r="G23" s="399" t="n">
        <v>5</v>
      </c>
      <c r="H23" s="399" t="n">
        <v>6</v>
      </c>
      <c r="I23" s="399" t="n">
        <v>7</v>
      </c>
      <c r="J23" s="399" t="n">
        <v>8</v>
      </c>
      <c r="K23" s="399" t="n">
        <v>9</v>
      </c>
      <c r="L23" s="399" t="n">
        <v>10</v>
      </c>
      <c r="M23" s="399" t="n">
        <v>11</v>
      </c>
      <c r="N23" s="399" t="n">
        <v>12</v>
      </c>
      <c r="O23" s="399" t="n">
        <v>13</v>
      </c>
      <c r="P23" s="399" t="n">
        <v>14</v>
      </c>
      <c r="Q23" s="399" t="n">
        <v>15</v>
      </c>
      <c r="R23" s="399" t="n">
        <v>16</v>
      </c>
      <c r="S23" s="399" t="n">
        <v>17</v>
      </c>
      <c r="T23" s="399" t="n">
        <v>18</v>
      </c>
      <c r="U23" s="399" t="n">
        <v>19</v>
      </c>
      <c r="V23" s="399" t="n">
        <v>20</v>
      </c>
      <c r="W23" s="399" t="n">
        <v>21</v>
      </c>
      <c r="X23" s="399" t="n">
        <v>22</v>
      </c>
      <c r="Y23" s="399" t="n">
        <v>23</v>
      </c>
      <c r="Z23" s="399" t="n">
        <v>24</v>
      </c>
      <c r="AA23" s="399" t="n">
        <v>25</v>
      </c>
      <c r="AB23" s="399" t="n">
        <v>26</v>
      </c>
      <c r="AC23" s="399" t="n">
        <v>27</v>
      </c>
      <c r="AD23" s="399" t="n">
        <v>28</v>
      </c>
      <c r="AE23" s="399" t="n">
        <v>29</v>
      </c>
      <c r="AF23" s="399" t="n">
        <v>30</v>
      </c>
      <c r="AG23" s="399" t="n">
        <v>31</v>
      </c>
      <c r="AH23" s="399" t="n">
        <v>1</v>
      </c>
      <c r="AI23" s="399" t="n">
        <v>2</v>
      </c>
      <c r="AJ23" s="399" t="n">
        <v>3</v>
      </c>
      <c r="AK23" s="399" t="n">
        <v>4</v>
      </c>
      <c r="AL23" s="399" t="n">
        <v>5</v>
      </c>
      <c r="AM23" s="399" t="n">
        <v>6</v>
      </c>
      <c r="AN23" s="399" t="n">
        <v>7</v>
      </c>
      <c r="AO23" s="399" t="n">
        <v>8</v>
      </c>
      <c r="AP23" s="399" t="n">
        <v>9</v>
      </c>
      <c r="AQ23" s="399" t="n">
        <v>10</v>
      </c>
      <c r="AR23" s="399" t="n">
        <v>11</v>
      </c>
      <c r="AS23" s="399" t="n">
        <v>12</v>
      </c>
      <c r="AT23" s="399" t="n">
        <v>13</v>
      </c>
      <c r="AU23" s="399" t="n">
        <v>14</v>
      </c>
      <c r="AV23" s="399" t="n">
        <v>15</v>
      </c>
      <c r="AW23" s="399" t="n">
        <v>16</v>
      </c>
      <c r="AX23" s="399" t="n">
        <v>17</v>
      </c>
      <c r="AY23" s="399" t="n">
        <v>18</v>
      </c>
      <c r="AZ23" s="399" t="n">
        <v>19</v>
      </c>
      <c r="BA23" s="399" t="n">
        <v>20</v>
      </c>
      <c r="BB23" s="399" t="n">
        <v>21</v>
      </c>
      <c r="BC23" s="399" t="n">
        <v>22</v>
      </c>
      <c r="BD23" s="399" t="n">
        <v>23</v>
      </c>
      <c r="BE23" s="399" t="n">
        <v>24</v>
      </c>
      <c r="BF23" s="399" t="n">
        <v>25</v>
      </c>
      <c r="BG23" s="399" t="n">
        <v>26</v>
      </c>
      <c r="BH23" s="399" t="n">
        <v>27</v>
      </c>
      <c r="BI23" s="399" t="n">
        <v>28</v>
      </c>
      <c r="BJ23" s="399" t="n">
        <v>29</v>
      </c>
      <c r="BK23" s="399" t="n">
        <v>30</v>
      </c>
      <c r="BL23" s="399" t="n">
        <v>31</v>
      </c>
      <c r="BM23" s="399" t="n">
        <v>1</v>
      </c>
      <c r="BN23" s="399" t="n">
        <v>2</v>
      </c>
      <c r="BO23" s="399" t="n">
        <v>3</v>
      </c>
      <c r="BP23" s="399" t="n">
        <v>4</v>
      </c>
      <c r="BQ23" s="399" t="n">
        <v>5</v>
      </c>
      <c r="BR23" s="399" t="n">
        <v>6</v>
      </c>
      <c r="BS23" s="399" t="n">
        <v>7</v>
      </c>
      <c r="BT23" s="399" t="n">
        <v>8</v>
      </c>
      <c r="BU23" s="399" t="n">
        <v>9</v>
      </c>
      <c r="BV23" s="399" t="n">
        <v>10</v>
      </c>
      <c r="BW23" s="399" t="n">
        <v>11</v>
      </c>
      <c r="BX23" s="399" t="n">
        <v>12</v>
      </c>
      <c r="BY23" s="399" t="n">
        <v>13</v>
      </c>
      <c r="BZ23" s="399" t="n">
        <v>14</v>
      </c>
      <c r="CA23" s="399" t="n">
        <v>15</v>
      </c>
      <c r="CB23" s="399" t="n">
        <v>16</v>
      </c>
      <c r="CC23" s="399" t="n">
        <v>17</v>
      </c>
      <c r="CD23" s="399" t="n">
        <v>18</v>
      </c>
      <c r="CE23" s="399" t="n">
        <v>19</v>
      </c>
      <c r="CF23" s="399" t="n">
        <v>20</v>
      </c>
      <c r="CG23" s="399" t="n">
        <v>21</v>
      </c>
      <c r="CH23" s="399" t="n">
        <v>22</v>
      </c>
      <c r="CI23" s="399" t="n">
        <v>23</v>
      </c>
      <c r="CJ23" s="399" t="n">
        <v>24</v>
      </c>
      <c r="CK23" s="399" t="n">
        <v>25</v>
      </c>
      <c r="CL23" s="399" t="n">
        <v>26</v>
      </c>
      <c r="CM23" s="399" t="n">
        <v>27</v>
      </c>
      <c r="CN23" s="399" t="n">
        <v>28</v>
      </c>
      <c r="CO23" s="399" t="n">
        <v>29</v>
      </c>
      <c r="CP23" s="399" t="n">
        <v>30</v>
      </c>
      <c r="CQ23" s="399" t="n">
        <v>1</v>
      </c>
      <c r="CR23" s="399" t="n">
        <v>2</v>
      </c>
      <c r="CS23" s="399" t="n">
        <v>3</v>
      </c>
      <c r="CT23" s="399" t="n">
        <v>4</v>
      </c>
      <c r="CU23" s="399" t="n">
        <v>5</v>
      </c>
      <c r="CV23" s="399" t="n">
        <v>6</v>
      </c>
      <c r="CW23" s="399" t="n">
        <v>7</v>
      </c>
      <c r="CX23" s="399" t="n">
        <v>8</v>
      </c>
      <c r="CY23" s="399" t="n">
        <v>9</v>
      </c>
      <c r="CZ23" s="399" t="n">
        <v>10</v>
      </c>
      <c r="DA23" s="399" t="n">
        <v>11</v>
      </c>
      <c r="DB23" s="399" t="n">
        <v>12</v>
      </c>
      <c r="DC23" s="399" t="n">
        <v>13</v>
      </c>
      <c r="DD23" s="399" t="n">
        <v>14</v>
      </c>
      <c r="DE23" s="399" t="n">
        <v>15</v>
      </c>
      <c r="DF23" s="399" t="n">
        <v>16</v>
      </c>
      <c r="DG23" s="399" t="n">
        <v>17</v>
      </c>
      <c r="DH23" s="399" t="n">
        <v>18</v>
      </c>
      <c r="DI23" s="399" t="n">
        <v>19</v>
      </c>
      <c r="DJ23" s="399" t="n">
        <v>20</v>
      </c>
      <c r="DK23" s="399" t="n">
        <v>21</v>
      </c>
      <c r="DL23" s="399" t="n">
        <v>22</v>
      </c>
      <c r="DM23" s="399" t="n">
        <v>23</v>
      </c>
      <c r="DN23" s="399" t="n">
        <v>24</v>
      </c>
      <c r="DO23" s="399" t="n">
        <v>25</v>
      </c>
      <c r="DP23" s="399" t="n">
        <v>26</v>
      </c>
      <c r="DQ23" s="399" t="n">
        <v>27</v>
      </c>
      <c r="DR23" s="399" t="n">
        <v>28</v>
      </c>
      <c r="DS23" s="399" t="n">
        <v>29</v>
      </c>
      <c r="DT23" s="399" t="n">
        <v>30</v>
      </c>
      <c r="DU23" s="399" t="n">
        <v>31</v>
      </c>
      <c r="DV23" s="399" t="n">
        <v>1</v>
      </c>
      <c r="DW23" s="399" t="n">
        <v>2</v>
      </c>
      <c r="DX23" s="399" t="n">
        <v>3</v>
      </c>
      <c r="DY23" s="399" t="n">
        <v>4</v>
      </c>
      <c r="DZ23" s="399" t="n">
        <v>5</v>
      </c>
      <c r="EA23" s="399" t="n">
        <v>6</v>
      </c>
      <c r="EB23" s="399" t="n">
        <v>7</v>
      </c>
      <c r="EC23" s="399" t="n">
        <v>8</v>
      </c>
      <c r="ED23" s="399" t="n">
        <v>9</v>
      </c>
      <c r="EE23" s="399" t="n">
        <v>10</v>
      </c>
      <c r="EF23" s="399" t="n">
        <v>11</v>
      </c>
      <c r="EG23" s="399" t="n">
        <v>12</v>
      </c>
      <c r="EH23" s="399" t="n">
        <v>13</v>
      </c>
      <c r="EI23" s="399" t="n">
        <v>14</v>
      </c>
      <c r="EJ23" s="399" t="n">
        <v>15</v>
      </c>
      <c r="EK23" s="399" t="n">
        <v>16</v>
      </c>
      <c r="EL23" s="399" t="n">
        <v>17</v>
      </c>
      <c r="EM23" s="399" t="n">
        <v>18</v>
      </c>
      <c r="EN23" s="399" t="n">
        <v>19</v>
      </c>
      <c r="EO23" s="399" t="n">
        <v>20</v>
      </c>
      <c r="EP23" s="399" t="n">
        <v>21</v>
      </c>
      <c r="EQ23" s="399" t="n">
        <v>22</v>
      </c>
      <c r="ER23" s="399" t="n">
        <v>23</v>
      </c>
      <c r="ES23" s="399" t="n">
        <v>24</v>
      </c>
      <c r="ET23" s="399" t="n">
        <v>25</v>
      </c>
      <c r="EU23" s="399" t="n">
        <v>26</v>
      </c>
      <c r="EV23" s="399" t="n">
        <v>27</v>
      </c>
      <c r="EW23" s="399" t="n">
        <v>28</v>
      </c>
      <c r="EX23" s="399" t="n">
        <v>29</v>
      </c>
      <c r="EY23" s="399" t="n">
        <v>30</v>
      </c>
      <c r="EZ23" s="399" t="n">
        <v>1</v>
      </c>
      <c r="FA23" s="399" t="n">
        <v>2</v>
      </c>
      <c r="FB23" s="399" t="n">
        <v>3</v>
      </c>
      <c r="FC23" s="399" t="n">
        <v>4</v>
      </c>
      <c r="FD23" s="399" t="n">
        <v>5</v>
      </c>
      <c r="FE23" s="399" t="n">
        <v>6</v>
      </c>
      <c r="FF23" s="399" t="n">
        <v>7</v>
      </c>
      <c r="FG23" s="399" t="n">
        <v>8</v>
      </c>
      <c r="FH23" s="399" t="n">
        <v>9</v>
      </c>
      <c r="FI23" s="399" t="n">
        <v>10</v>
      </c>
      <c r="FJ23" s="399" t="n">
        <v>11</v>
      </c>
      <c r="FK23" s="399" t="n">
        <v>12</v>
      </c>
      <c r="FL23" s="399" t="n">
        <v>13</v>
      </c>
      <c r="FM23" s="399" t="n">
        <v>14</v>
      </c>
      <c r="FN23" s="399" t="n">
        <v>15</v>
      </c>
      <c r="FO23" s="399" t="n">
        <v>16</v>
      </c>
      <c r="FP23" s="399" t="n">
        <v>17</v>
      </c>
      <c r="FQ23" s="399" t="n">
        <v>18</v>
      </c>
      <c r="FR23" s="399" t="n">
        <v>19</v>
      </c>
      <c r="FS23" s="399" t="n">
        <v>20</v>
      </c>
      <c r="FT23" s="399" t="n">
        <v>21</v>
      </c>
      <c r="FU23" s="399" t="n">
        <v>22</v>
      </c>
      <c r="FV23" s="399" t="n">
        <v>23</v>
      </c>
      <c r="FW23" s="399" t="n">
        <v>24</v>
      </c>
      <c r="FX23" s="399" t="n">
        <v>25</v>
      </c>
      <c r="FY23" s="399" t="n">
        <v>26</v>
      </c>
      <c r="FZ23" s="399" t="n">
        <v>27</v>
      </c>
      <c r="GA23" s="399" t="n">
        <v>28</v>
      </c>
      <c r="GB23" s="399" t="n">
        <v>29</v>
      </c>
      <c r="GC23" s="399" t="n">
        <v>30</v>
      </c>
      <c r="GD23" s="399" t="n">
        <v>31</v>
      </c>
      <c r="GE23" s="399" t="n"/>
      <c r="GF23" s="399" t="n"/>
      <c r="GG23" s="399" t="n"/>
      <c r="GH23" s="399" t="n"/>
      <c r="GI23" s="399" t="n"/>
      <c r="GJ23" s="399" t="n"/>
      <c r="GK23" s="399" t="n"/>
      <c r="GL23" s="399" t="n"/>
      <c r="GM23" s="399" t="n"/>
      <c r="GN23" s="399" t="n"/>
      <c r="GO23" s="399" t="n"/>
      <c r="GP23" s="399" t="n"/>
      <c r="GQ23" s="399" t="n"/>
      <c r="GR23" s="399" t="n"/>
      <c r="GS23" s="399" t="n"/>
      <c r="GT23" s="399" t="n"/>
      <c r="GU23" s="399" t="n"/>
      <c r="GV23" s="399" t="n"/>
      <c r="GW23" s="399" t="n"/>
      <c r="GX23" s="399" t="n"/>
      <c r="GY23" s="399" t="n"/>
      <c r="GZ23" s="399" t="n"/>
      <c r="HA23" s="399" t="n"/>
      <c r="HB23" s="399" t="n"/>
      <c r="HC23" s="399" t="n"/>
      <c r="HD23" s="399" t="n"/>
      <c r="HE23" s="399" t="n"/>
      <c r="HF23" s="399" t="n"/>
      <c r="HG23" s="399" t="n"/>
      <c r="HH23" s="399" t="n"/>
      <c r="HI23" s="399" t="n"/>
      <c r="HJ23" s="399" t="n"/>
      <c r="HK23" s="399" t="n"/>
      <c r="HL23" s="399" t="n"/>
      <c r="HM23" s="399" t="n"/>
      <c r="HN23" s="399" t="n"/>
      <c r="HO23" s="399" t="n"/>
      <c r="HP23" s="399" t="n"/>
      <c r="HQ23" s="399" t="n"/>
      <c r="HR23" s="399" t="n"/>
      <c r="HS23" s="399" t="n"/>
      <c r="HT23" s="399" t="n"/>
      <c r="HU23" s="399" t="n"/>
      <c r="HV23" s="399" t="n"/>
      <c r="HW23" s="399" t="n"/>
      <c r="HX23" s="399" t="n"/>
      <c r="HY23" s="399" t="n"/>
      <c r="HZ23" s="399" t="n"/>
      <c r="IA23" s="399" t="n"/>
      <c r="IB23" s="399" t="n"/>
      <c r="IC23" s="399" t="n"/>
      <c r="ID23" s="399" t="n"/>
      <c r="IE23" s="399" t="n"/>
      <c r="IF23" s="399" t="n"/>
      <c r="IG23" s="399" t="n"/>
      <c r="IH23" s="399" t="n"/>
      <c r="II23" s="399" t="n"/>
      <c r="IJ23" s="399" t="n"/>
      <c r="IK23" s="399" t="n"/>
      <c r="IL23" s="399" t="n"/>
      <c r="IM23" s="399" t="n"/>
      <c r="IN23" s="399" t="n"/>
      <c r="IO23" s="399" t="n"/>
      <c r="IP23" s="399" t="n"/>
      <c r="IQ23" s="399" t="n"/>
      <c r="IR23" s="399" t="n"/>
      <c r="IS23" s="399" t="n"/>
      <c r="IT23" s="399" t="n"/>
      <c r="IU23" s="399" t="n"/>
      <c r="IV23" s="399" t="n"/>
      <c r="IW23" s="399" t="n"/>
      <c r="IX23" s="399" t="n"/>
      <c r="IY23" s="399" t="n"/>
      <c r="IZ23" s="399" t="n"/>
      <c r="JA23" s="399" t="n"/>
      <c r="JB23" s="399" t="n"/>
      <c r="JC23" s="399" t="n"/>
      <c r="JD23" s="399" t="n"/>
      <c r="JE23" s="399" t="n"/>
      <c r="JF23" s="399" t="n"/>
      <c r="JG23" s="399" t="n"/>
      <c r="JH23" s="399" t="n"/>
      <c r="JI23" s="399" t="n"/>
      <c r="JJ23" s="399" t="n"/>
      <c r="JK23" s="399" t="n"/>
      <c r="JL23" s="399" t="n"/>
      <c r="JM23" s="399" t="n"/>
      <c r="JN23" s="399" t="n"/>
      <c r="JO23" s="399" t="n"/>
      <c r="JP23" s="399" t="n"/>
      <c r="JQ23" s="399" t="n"/>
      <c r="JR23" s="399" t="n"/>
      <c r="JS23" s="399" t="n"/>
      <c r="JT23" s="399" t="n"/>
      <c r="JU23" s="399" t="n"/>
      <c r="JV23" s="399" t="n"/>
      <c r="JW23" s="399" t="n"/>
      <c r="JX23" s="399" t="n"/>
      <c r="JY23" s="399" t="n"/>
      <c r="JZ23" s="399" t="n"/>
      <c r="KA23" s="399" t="n"/>
      <c r="KB23" s="399" t="n"/>
      <c r="KC23" s="399" t="n"/>
      <c r="KD23" s="399" t="n"/>
      <c r="KE23" s="399" t="n"/>
      <c r="KF23" s="399" t="n"/>
      <c r="KG23" s="399" t="n"/>
      <c r="KH23" s="399" t="n"/>
      <c r="KI23" s="399" t="n"/>
      <c r="KJ23" s="399" t="n"/>
      <c r="KK23" s="399" t="n"/>
      <c r="KL23" s="399" t="n"/>
      <c r="KM23" s="399" t="n"/>
      <c r="KN23" s="399" t="n"/>
      <c r="KO23" s="399" t="n"/>
      <c r="KP23" s="399" t="n"/>
    </row>
    <row r="24" ht="24" customHeight="1" thickBot="1">
      <c r="B24" s="400" t="n"/>
      <c r="C24" s="400" t="inlineStr">
        <is>
          <t>Mi</t>
        </is>
      </c>
      <c r="D24" s="400" t="inlineStr">
        <is>
          <t>Do</t>
        </is>
      </c>
      <c r="E24" s="400" t="inlineStr">
        <is>
          <t>Fr</t>
        </is>
      </c>
      <c r="F24" s="401" t="inlineStr">
        <is>
          <t>Sa</t>
        </is>
      </c>
      <c r="G24" s="401" t="inlineStr">
        <is>
          <t>So</t>
        </is>
      </c>
      <c r="H24" s="400" t="inlineStr">
        <is>
          <t>Mo</t>
        </is>
      </c>
      <c r="I24" s="400" t="inlineStr">
        <is>
          <t>Di</t>
        </is>
      </c>
      <c r="J24" s="400" t="inlineStr">
        <is>
          <t>Mi</t>
        </is>
      </c>
      <c r="K24" s="400" t="inlineStr">
        <is>
          <t>Do</t>
        </is>
      </c>
      <c r="L24" s="400" t="inlineStr">
        <is>
          <t>Fr</t>
        </is>
      </c>
      <c r="M24" s="401" t="inlineStr">
        <is>
          <t>Sa</t>
        </is>
      </c>
      <c r="N24" s="401" t="inlineStr">
        <is>
          <t>So</t>
        </is>
      </c>
      <c r="O24" s="400" t="inlineStr">
        <is>
          <t>Mo</t>
        </is>
      </c>
      <c r="P24" s="400" t="inlineStr">
        <is>
          <t>Di</t>
        </is>
      </c>
      <c r="Q24" s="400" t="inlineStr">
        <is>
          <t>Mi</t>
        </is>
      </c>
      <c r="R24" s="400" t="inlineStr">
        <is>
          <t>Do</t>
        </is>
      </c>
      <c r="S24" s="400" t="inlineStr">
        <is>
          <t>Fr</t>
        </is>
      </c>
      <c r="T24" s="401" t="inlineStr">
        <is>
          <t>Sa</t>
        </is>
      </c>
      <c r="U24" s="401" t="inlineStr">
        <is>
          <t>So</t>
        </is>
      </c>
      <c r="V24" s="400" t="inlineStr">
        <is>
          <t>Mo</t>
        </is>
      </c>
      <c r="W24" s="400" t="inlineStr">
        <is>
          <t>Di</t>
        </is>
      </c>
      <c r="X24" s="400" t="inlineStr">
        <is>
          <t>Mi</t>
        </is>
      </c>
      <c r="Y24" s="400" t="inlineStr">
        <is>
          <t>Do</t>
        </is>
      </c>
      <c r="Z24" s="400" t="inlineStr">
        <is>
          <t>Fr</t>
        </is>
      </c>
      <c r="AA24" s="401" t="inlineStr">
        <is>
          <t>Sa</t>
        </is>
      </c>
      <c r="AB24" s="401" t="inlineStr">
        <is>
          <t>So</t>
        </is>
      </c>
      <c r="AC24" s="400" t="inlineStr">
        <is>
          <t>Mo</t>
        </is>
      </c>
      <c r="AD24" s="400" t="inlineStr">
        <is>
          <t>Di</t>
        </is>
      </c>
      <c r="AE24" s="400" t="inlineStr">
        <is>
          <t>Mi</t>
        </is>
      </c>
      <c r="AF24" s="400" t="inlineStr">
        <is>
          <t>Do</t>
        </is>
      </c>
      <c r="AG24" s="400" t="inlineStr">
        <is>
          <t>Fr</t>
        </is>
      </c>
      <c r="AH24" s="401" t="inlineStr">
        <is>
          <t>Sa</t>
        </is>
      </c>
      <c r="AI24" s="401" t="inlineStr">
        <is>
          <t>So</t>
        </is>
      </c>
      <c r="AJ24" s="400" t="inlineStr">
        <is>
          <t>Mo</t>
        </is>
      </c>
      <c r="AK24" s="400" t="inlineStr">
        <is>
          <t>Di</t>
        </is>
      </c>
      <c r="AL24" s="400" t="inlineStr">
        <is>
          <t>Mi</t>
        </is>
      </c>
      <c r="AM24" s="400" t="inlineStr">
        <is>
          <t>Do</t>
        </is>
      </c>
      <c r="AN24" s="400" t="inlineStr">
        <is>
          <t>Fr</t>
        </is>
      </c>
      <c r="AO24" s="401" t="inlineStr">
        <is>
          <t>Sa</t>
        </is>
      </c>
      <c r="AP24" s="401" t="inlineStr">
        <is>
          <t>So</t>
        </is>
      </c>
      <c r="AQ24" s="400" t="inlineStr">
        <is>
          <t>Mo</t>
        </is>
      </c>
      <c r="AR24" s="400" t="inlineStr">
        <is>
          <t>Di</t>
        </is>
      </c>
      <c r="AS24" s="400" t="inlineStr">
        <is>
          <t>Mi</t>
        </is>
      </c>
      <c r="AT24" s="400" t="inlineStr">
        <is>
          <t>Do</t>
        </is>
      </c>
      <c r="AU24" s="400" t="inlineStr">
        <is>
          <t>Fr</t>
        </is>
      </c>
      <c r="AV24" s="401" t="inlineStr">
        <is>
          <t>Sa</t>
        </is>
      </c>
      <c r="AW24" s="401" t="inlineStr">
        <is>
          <t>So</t>
        </is>
      </c>
      <c r="AX24" s="400" t="inlineStr">
        <is>
          <t>Mo</t>
        </is>
      </c>
      <c r="AY24" s="400" t="inlineStr">
        <is>
          <t>Di</t>
        </is>
      </c>
      <c r="AZ24" s="400" t="inlineStr">
        <is>
          <t>Mi</t>
        </is>
      </c>
      <c r="BA24" s="400" t="inlineStr">
        <is>
          <t>Do</t>
        </is>
      </c>
      <c r="BB24" s="400" t="inlineStr">
        <is>
          <t>Fr</t>
        </is>
      </c>
      <c r="BC24" s="401" t="inlineStr">
        <is>
          <t>Sa</t>
        </is>
      </c>
      <c r="BD24" s="401" t="inlineStr">
        <is>
          <t>So</t>
        </is>
      </c>
      <c r="BE24" s="400" t="inlineStr">
        <is>
          <t>Mo</t>
        </is>
      </c>
      <c r="BF24" s="400" t="inlineStr">
        <is>
          <t>Di</t>
        </is>
      </c>
      <c r="BG24" s="400" t="inlineStr">
        <is>
          <t>Mi</t>
        </is>
      </c>
      <c r="BH24" s="400" t="inlineStr">
        <is>
          <t>Do</t>
        </is>
      </c>
      <c r="BI24" s="400" t="inlineStr">
        <is>
          <t>Fr</t>
        </is>
      </c>
      <c r="BJ24" s="401" t="inlineStr">
        <is>
          <t>Sa</t>
        </is>
      </c>
      <c r="BK24" s="401" t="inlineStr">
        <is>
          <t>So</t>
        </is>
      </c>
      <c r="BL24" s="400" t="inlineStr">
        <is>
          <t>Mo</t>
        </is>
      </c>
      <c r="BM24" s="400" t="inlineStr">
        <is>
          <t>Di</t>
        </is>
      </c>
      <c r="BN24" s="400" t="inlineStr">
        <is>
          <t>Mi</t>
        </is>
      </c>
      <c r="BO24" s="400" t="inlineStr">
        <is>
          <t>Do</t>
        </is>
      </c>
      <c r="BP24" s="400" t="inlineStr">
        <is>
          <t>Fr</t>
        </is>
      </c>
      <c r="BQ24" s="401" t="inlineStr">
        <is>
          <t>Sa</t>
        </is>
      </c>
      <c r="BR24" s="401" t="inlineStr">
        <is>
          <t>So</t>
        </is>
      </c>
      <c r="BS24" s="400" t="inlineStr">
        <is>
          <t>Mo</t>
        </is>
      </c>
      <c r="BT24" s="400" t="inlineStr">
        <is>
          <t>Di</t>
        </is>
      </c>
      <c r="BU24" s="400" t="inlineStr">
        <is>
          <t>Mi</t>
        </is>
      </c>
      <c r="BV24" s="400" t="inlineStr">
        <is>
          <t>Do</t>
        </is>
      </c>
      <c r="BW24" s="400" t="inlineStr">
        <is>
          <t>Fr</t>
        </is>
      </c>
      <c r="BX24" s="401" t="inlineStr">
        <is>
          <t>Sa</t>
        </is>
      </c>
      <c r="BY24" s="401" t="inlineStr">
        <is>
          <t>So</t>
        </is>
      </c>
      <c r="BZ24" s="400" t="inlineStr">
        <is>
          <t>Mo</t>
        </is>
      </c>
      <c r="CA24" s="400" t="inlineStr">
        <is>
          <t>Di</t>
        </is>
      </c>
      <c r="CB24" s="400" t="inlineStr">
        <is>
          <t>Mi</t>
        </is>
      </c>
      <c r="CC24" s="400" t="inlineStr">
        <is>
          <t>Do</t>
        </is>
      </c>
      <c r="CD24" s="400" t="inlineStr">
        <is>
          <t>Fr</t>
        </is>
      </c>
      <c r="CE24" s="401" t="inlineStr">
        <is>
          <t>Sa</t>
        </is>
      </c>
      <c r="CF24" s="401" t="inlineStr">
        <is>
          <t>So</t>
        </is>
      </c>
      <c r="CG24" s="400" t="inlineStr">
        <is>
          <t>Mo</t>
        </is>
      </c>
      <c r="CH24" s="400" t="inlineStr">
        <is>
          <t>Di</t>
        </is>
      </c>
      <c r="CI24" s="400" t="inlineStr">
        <is>
          <t>Mi</t>
        </is>
      </c>
      <c r="CJ24" s="400" t="inlineStr">
        <is>
          <t>Do</t>
        </is>
      </c>
      <c r="CK24" s="400" t="inlineStr">
        <is>
          <t>Fr</t>
        </is>
      </c>
      <c r="CL24" s="401" t="inlineStr">
        <is>
          <t>Sa</t>
        </is>
      </c>
      <c r="CM24" s="401" t="inlineStr">
        <is>
          <t>So</t>
        </is>
      </c>
      <c r="CN24" s="400" t="inlineStr">
        <is>
          <t>Mo</t>
        </is>
      </c>
      <c r="CO24" s="400" t="inlineStr">
        <is>
          <t>Di</t>
        </is>
      </c>
      <c r="CP24" s="400" t="inlineStr">
        <is>
          <t>Mi</t>
        </is>
      </c>
      <c r="CQ24" s="400" t="inlineStr">
        <is>
          <t>Do</t>
        </is>
      </c>
      <c r="CR24" s="400" t="inlineStr">
        <is>
          <t>Fr</t>
        </is>
      </c>
      <c r="CS24" s="401" t="inlineStr">
        <is>
          <t>Sa</t>
        </is>
      </c>
      <c r="CT24" s="401" t="inlineStr">
        <is>
          <t>So</t>
        </is>
      </c>
      <c r="CU24" s="400" t="inlineStr">
        <is>
          <t>Mo</t>
        </is>
      </c>
      <c r="CV24" s="400" t="inlineStr">
        <is>
          <t>Di</t>
        </is>
      </c>
      <c r="CW24" s="400" t="inlineStr">
        <is>
          <t>Mi</t>
        </is>
      </c>
      <c r="CX24" s="400" t="inlineStr">
        <is>
          <t>Do</t>
        </is>
      </c>
      <c r="CY24" s="400" t="inlineStr">
        <is>
          <t>Fr</t>
        </is>
      </c>
      <c r="CZ24" s="401" t="inlineStr">
        <is>
          <t>Sa</t>
        </is>
      </c>
      <c r="DA24" s="401" t="inlineStr">
        <is>
          <t>So</t>
        </is>
      </c>
      <c r="DB24" s="400" t="inlineStr">
        <is>
          <t>Mo</t>
        </is>
      </c>
      <c r="DC24" s="400" t="inlineStr">
        <is>
          <t>Di</t>
        </is>
      </c>
      <c r="DD24" s="400" t="inlineStr">
        <is>
          <t>Mi</t>
        </is>
      </c>
      <c r="DE24" s="400" t="inlineStr">
        <is>
          <t>Do</t>
        </is>
      </c>
      <c r="DF24" s="400" t="inlineStr">
        <is>
          <t>Fr</t>
        </is>
      </c>
      <c r="DG24" s="401" t="inlineStr">
        <is>
          <t>Sa</t>
        </is>
      </c>
      <c r="DH24" s="401" t="inlineStr">
        <is>
          <t>So</t>
        </is>
      </c>
      <c r="DI24" s="400" t="inlineStr">
        <is>
          <t>Mo</t>
        </is>
      </c>
      <c r="DJ24" s="400" t="inlineStr">
        <is>
          <t>Di</t>
        </is>
      </c>
      <c r="DK24" s="400" t="inlineStr">
        <is>
          <t>Mi</t>
        </is>
      </c>
      <c r="DL24" s="400" t="inlineStr">
        <is>
          <t>Do</t>
        </is>
      </c>
      <c r="DM24" s="400" t="inlineStr">
        <is>
          <t>Fr</t>
        </is>
      </c>
      <c r="DN24" s="401" t="inlineStr">
        <is>
          <t>Sa</t>
        </is>
      </c>
      <c r="DO24" s="401" t="inlineStr">
        <is>
          <t>So</t>
        </is>
      </c>
      <c r="DP24" s="400" t="inlineStr">
        <is>
          <t>Mo</t>
        </is>
      </c>
      <c r="DQ24" s="400" t="inlineStr">
        <is>
          <t>Di</t>
        </is>
      </c>
      <c r="DR24" s="400" t="inlineStr">
        <is>
          <t>Mi</t>
        </is>
      </c>
      <c r="DS24" s="400" t="inlineStr">
        <is>
          <t>Do</t>
        </is>
      </c>
      <c r="DT24" s="400" t="inlineStr">
        <is>
          <t>Fr</t>
        </is>
      </c>
      <c r="DU24" s="401" t="inlineStr">
        <is>
          <t>Sa</t>
        </is>
      </c>
      <c r="DV24" s="401" t="inlineStr">
        <is>
          <t>So</t>
        </is>
      </c>
      <c r="DW24" s="400" t="inlineStr">
        <is>
          <t>Mo</t>
        </is>
      </c>
      <c r="DX24" s="400" t="inlineStr">
        <is>
          <t>Di</t>
        </is>
      </c>
      <c r="DY24" s="400" t="inlineStr">
        <is>
          <t>Mi</t>
        </is>
      </c>
      <c r="DZ24" s="400" t="inlineStr">
        <is>
          <t>Do</t>
        </is>
      </c>
      <c r="EA24" s="400" t="inlineStr">
        <is>
          <t>Fr</t>
        </is>
      </c>
      <c r="EB24" s="401" t="inlineStr">
        <is>
          <t>Sa</t>
        </is>
      </c>
      <c r="EC24" s="401" t="inlineStr">
        <is>
          <t>So</t>
        </is>
      </c>
      <c r="ED24" s="400" t="inlineStr">
        <is>
          <t>Mo</t>
        </is>
      </c>
      <c r="EE24" s="400" t="inlineStr">
        <is>
          <t>Di</t>
        </is>
      </c>
      <c r="EF24" s="400" t="inlineStr">
        <is>
          <t>Mi</t>
        </is>
      </c>
      <c r="EG24" s="400" t="inlineStr">
        <is>
          <t>Do</t>
        </is>
      </c>
      <c r="EH24" s="400" t="inlineStr">
        <is>
          <t>Fr</t>
        </is>
      </c>
      <c r="EI24" s="401" t="inlineStr">
        <is>
          <t>Sa</t>
        </is>
      </c>
      <c r="EJ24" s="401" t="inlineStr">
        <is>
          <t>So</t>
        </is>
      </c>
      <c r="EK24" s="400" t="inlineStr">
        <is>
          <t>Mo</t>
        </is>
      </c>
      <c r="EL24" s="400" t="inlineStr">
        <is>
          <t>Di</t>
        </is>
      </c>
      <c r="EM24" s="400" t="inlineStr">
        <is>
          <t>Mi</t>
        </is>
      </c>
      <c r="EN24" s="400" t="inlineStr">
        <is>
          <t>Do</t>
        </is>
      </c>
      <c r="EO24" s="400" t="inlineStr">
        <is>
          <t>Fr</t>
        </is>
      </c>
      <c r="EP24" s="401" t="inlineStr">
        <is>
          <t>Sa</t>
        </is>
      </c>
      <c r="EQ24" s="401" t="inlineStr">
        <is>
          <t>So</t>
        </is>
      </c>
      <c r="ER24" s="400" t="inlineStr">
        <is>
          <t>Mo</t>
        </is>
      </c>
      <c r="ES24" s="400" t="inlineStr">
        <is>
          <t>Di</t>
        </is>
      </c>
      <c r="ET24" s="400" t="inlineStr">
        <is>
          <t>Mi</t>
        </is>
      </c>
      <c r="EU24" s="400" t="inlineStr">
        <is>
          <t>Do</t>
        </is>
      </c>
      <c r="EV24" s="400" t="inlineStr">
        <is>
          <t>Fr</t>
        </is>
      </c>
      <c r="EW24" s="401" t="inlineStr">
        <is>
          <t>Sa</t>
        </is>
      </c>
      <c r="EX24" s="401" t="inlineStr">
        <is>
          <t>So</t>
        </is>
      </c>
      <c r="EY24" s="400" t="inlineStr">
        <is>
          <t>Mo</t>
        </is>
      </c>
      <c r="EZ24" s="400" t="inlineStr">
        <is>
          <t>Di</t>
        </is>
      </c>
      <c r="FA24" s="400" t="inlineStr">
        <is>
          <t>Mi</t>
        </is>
      </c>
      <c r="FB24" s="400" t="inlineStr">
        <is>
          <t>Do</t>
        </is>
      </c>
      <c r="FC24" s="400" t="inlineStr">
        <is>
          <t>Fr</t>
        </is>
      </c>
      <c r="FD24" s="401" t="inlineStr">
        <is>
          <t>Sa</t>
        </is>
      </c>
      <c r="FE24" s="401" t="inlineStr">
        <is>
          <t>So</t>
        </is>
      </c>
      <c r="FF24" s="400" t="inlineStr">
        <is>
          <t>Mo</t>
        </is>
      </c>
      <c r="FG24" s="400" t="inlineStr">
        <is>
          <t>Di</t>
        </is>
      </c>
      <c r="FH24" s="400" t="inlineStr">
        <is>
          <t>Mi</t>
        </is>
      </c>
      <c r="FI24" s="400" t="inlineStr">
        <is>
          <t>Do</t>
        </is>
      </c>
      <c r="FJ24" s="400" t="inlineStr">
        <is>
          <t>Fr</t>
        </is>
      </c>
      <c r="FK24" s="401" t="inlineStr">
        <is>
          <t>Sa</t>
        </is>
      </c>
      <c r="FL24" s="401" t="inlineStr">
        <is>
          <t>So</t>
        </is>
      </c>
      <c r="FM24" s="400" t="inlineStr">
        <is>
          <t>Mo</t>
        </is>
      </c>
      <c r="FN24" s="400" t="inlineStr">
        <is>
          <t>Di</t>
        </is>
      </c>
      <c r="FO24" s="400" t="inlineStr">
        <is>
          <t>Mi</t>
        </is>
      </c>
      <c r="FP24" s="400" t="inlineStr">
        <is>
          <t>Do</t>
        </is>
      </c>
      <c r="FQ24" s="400" t="inlineStr">
        <is>
          <t>Fr</t>
        </is>
      </c>
      <c r="FR24" s="401" t="inlineStr">
        <is>
          <t>Sa</t>
        </is>
      </c>
      <c r="FS24" s="401" t="inlineStr">
        <is>
          <t>So</t>
        </is>
      </c>
      <c r="FT24" s="400" t="inlineStr">
        <is>
          <t>Mo</t>
        </is>
      </c>
      <c r="FU24" s="400" t="inlineStr">
        <is>
          <t>Di</t>
        </is>
      </c>
      <c r="FV24" s="400" t="inlineStr">
        <is>
          <t>Mi</t>
        </is>
      </c>
      <c r="FW24" s="400" t="inlineStr">
        <is>
          <t>Do</t>
        </is>
      </c>
      <c r="FX24" s="400" t="inlineStr">
        <is>
          <t>Fr</t>
        </is>
      </c>
      <c r="FY24" s="401" t="inlineStr">
        <is>
          <t>Sa</t>
        </is>
      </c>
      <c r="FZ24" s="401" t="inlineStr">
        <is>
          <t>So</t>
        </is>
      </c>
      <c r="GA24" s="400" t="inlineStr">
        <is>
          <t>Mo</t>
        </is>
      </c>
      <c r="GB24" s="400" t="inlineStr">
        <is>
          <t>Di</t>
        </is>
      </c>
      <c r="GC24" s="400" t="inlineStr">
        <is>
          <t>Mi</t>
        </is>
      </c>
      <c r="GD24" s="400" t="inlineStr">
        <is>
          <t>Do</t>
        </is>
      </c>
      <c r="GE24" s="400" t="inlineStr">
        <is>
          <t>Resturlaub</t>
        </is>
      </c>
      <c r="GF24" s="400" t="n"/>
      <c r="GG24" s="400" t="inlineStr">
        <is>
          <t>Zusatzurlaub wg. 50+ Nachtschicht</t>
        </is>
      </c>
      <c r="GH24" s="400" t="n"/>
      <c r="GI24" s="400" t="n"/>
      <c r="GJ24" s="400" t="n"/>
      <c r="GK24" s="400" t="n"/>
      <c r="GL24" s="400" t="n"/>
      <c r="GM24" s="400" t="n"/>
      <c r="GN24" s="400" t="n"/>
      <c r="GO24" s="400" t="n"/>
      <c r="GP24" s="400" t="n"/>
      <c r="GQ24" s="400" t="n"/>
      <c r="GR24" s="400" t="n"/>
      <c r="GS24" s="400" t="n"/>
      <c r="GT24" s="400" t="n"/>
      <c r="GU24" s="400" t="n"/>
      <c r="GV24" s="400" t="n"/>
      <c r="GW24" s="400" t="n"/>
      <c r="GX24" s="400" t="n"/>
      <c r="GY24" s="400" t="n"/>
      <c r="GZ24" s="400" t="n"/>
      <c r="HA24" s="400" t="n"/>
      <c r="HB24" s="400" t="n"/>
      <c r="HC24" s="400" t="n"/>
      <c r="HD24" s="400" t="n"/>
      <c r="HE24" s="400" t="n"/>
      <c r="HF24" s="400" t="n"/>
      <c r="HG24" s="400" t="n"/>
      <c r="HH24" s="400" t="n"/>
      <c r="HI24" s="400" t="n"/>
      <c r="HJ24" s="400" t="n"/>
      <c r="HK24" s="400" t="n"/>
      <c r="HL24" s="400" t="n"/>
      <c r="HM24" s="400" t="n"/>
      <c r="HN24" s="400" t="n"/>
      <c r="HO24" s="400" t="n"/>
      <c r="HP24" s="400" t="n"/>
      <c r="HQ24" s="400" t="n"/>
      <c r="HR24" s="400" t="n"/>
      <c r="HS24" s="400" t="n"/>
      <c r="HT24" s="400" t="n"/>
      <c r="HU24" s="400" t="n"/>
      <c r="HV24" s="400" t="n"/>
      <c r="HW24" s="400" t="n"/>
      <c r="HX24" s="400" t="n"/>
      <c r="HY24" s="400" t="n"/>
      <c r="HZ24" s="400" t="n"/>
      <c r="IA24" s="400" t="n"/>
      <c r="IB24" s="400" t="n"/>
      <c r="IC24" s="400" t="n"/>
      <c r="ID24" s="400" t="n"/>
      <c r="IE24" s="400" t="n"/>
      <c r="IF24" s="400" t="n"/>
      <c r="IG24" s="400" t="n"/>
      <c r="IH24" s="400" t="n"/>
      <c r="II24" s="400" t="n"/>
      <c r="IJ24" s="400" t="n"/>
      <c r="IK24" s="400" t="n"/>
      <c r="IL24" s="400" t="n"/>
      <c r="IM24" s="400" t="n"/>
      <c r="IN24" s="400" t="n"/>
      <c r="IO24" s="400" t="n"/>
      <c r="IP24" s="400" t="n"/>
      <c r="IQ24" s="400" t="n"/>
      <c r="IR24" s="400" t="n"/>
      <c r="IS24" s="400" t="n"/>
      <c r="IT24" s="400" t="n"/>
      <c r="IU24" s="400" t="n"/>
      <c r="IV24" s="400" t="n"/>
      <c r="IW24" s="400" t="n"/>
      <c r="IX24" s="400" t="n"/>
      <c r="IY24" s="400" t="n"/>
      <c r="IZ24" s="400" t="n"/>
      <c r="JA24" s="400" t="n"/>
      <c r="JB24" s="400" t="n"/>
      <c r="JC24" s="400" t="n"/>
      <c r="JD24" s="400" t="n"/>
      <c r="JE24" s="400" t="n"/>
      <c r="JF24" s="400" t="n"/>
      <c r="JG24" s="400" t="n"/>
      <c r="JH24" s="400" t="n"/>
      <c r="JI24" s="400" t="n"/>
      <c r="JJ24" s="400" t="n"/>
      <c r="JK24" s="400" t="n"/>
      <c r="JL24" s="400" t="n"/>
      <c r="JM24" s="400" t="n"/>
      <c r="JN24" s="400" t="n"/>
      <c r="JO24" s="400" t="n"/>
      <c r="JP24" s="400" t="n"/>
      <c r="JQ24" s="400" t="n"/>
      <c r="JR24" s="400" t="n"/>
      <c r="JS24" s="400" t="n"/>
      <c r="JT24" s="400" t="n"/>
      <c r="JU24" s="400" t="n"/>
      <c r="JV24" s="400" t="n"/>
      <c r="JW24" s="400" t="n"/>
      <c r="JX24" s="400" t="n"/>
      <c r="JY24" s="400" t="n"/>
      <c r="JZ24" s="400" t="n"/>
      <c r="KA24" s="400" t="n"/>
      <c r="KB24" s="400" t="n"/>
      <c r="KC24" s="400" t="n"/>
      <c r="KD24" s="400" t="n"/>
      <c r="KE24" s="400" t="n"/>
      <c r="KF24" s="400" t="n"/>
      <c r="KG24" s="400" t="n"/>
      <c r="KH24" s="400" t="n"/>
      <c r="KI24" s="400" t="n"/>
      <c r="KJ24" s="400" t="n"/>
      <c r="KK24" s="400" t="n"/>
      <c r="KL24" s="400" t="n"/>
      <c r="KM24" s="400" t="n"/>
      <c r="KN24" s="400" t="n"/>
      <c r="KO24" s="400" t="n"/>
      <c r="KP24" s="400" t="n"/>
    </row>
    <row r="25" ht="26" customHeight="1" thickBot="1">
      <c r="B25" s="402" t="inlineStr">
        <is>
          <t>Breig</t>
        </is>
      </c>
      <c r="C25" s="407" t="inlineStr">
        <is>
          <t>NI</t>
        </is>
      </c>
      <c r="D25" s="407" t="inlineStr">
        <is>
          <t>NI</t>
        </is>
      </c>
      <c r="E25" s="413" t="inlineStr">
        <is>
          <t>NST</t>
        </is>
      </c>
      <c r="F25" s="405" t="n"/>
      <c r="G25" s="405" t="n"/>
      <c r="H25" s="428" t="n"/>
      <c r="I25" s="420" t="n"/>
      <c r="J25" s="420" t="n"/>
      <c r="K25" s="432" t="n"/>
      <c r="L25" s="432" t="n"/>
      <c r="M25" s="405" t="n"/>
      <c r="N25" s="405" t="n"/>
      <c r="O25" s="423" t="inlineStr">
        <is>
          <t>U</t>
        </is>
      </c>
      <c r="P25" s="423" t="inlineStr">
        <is>
          <t>U</t>
        </is>
      </c>
      <c r="Q25" s="423" t="inlineStr">
        <is>
          <t>U</t>
        </is>
      </c>
      <c r="R25" s="423" t="inlineStr">
        <is>
          <t>U</t>
        </is>
      </c>
      <c r="S25" s="423" t="inlineStr">
        <is>
          <t>U</t>
        </is>
      </c>
      <c r="T25" s="405" t="n"/>
      <c r="U25" s="405" t="n"/>
      <c r="V25" s="409" t="inlineStr">
        <is>
          <t>SI</t>
        </is>
      </c>
      <c r="W25" s="409" t="inlineStr">
        <is>
          <t>SI</t>
        </is>
      </c>
      <c r="X25" s="409" t="inlineStr">
        <is>
          <t>SI</t>
        </is>
      </c>
      <c r="Y25" s="409" t="inlineStr">
        <is>
          <t>SI</t>
        </is>
      </c>
      <c r="Z25" s="409" t="inlineStr">
        <is>
          <t>SI</t>
        </is>
      </c>
      <c r="AA25" s="405" t="n"/>
      <c r="AB25" s="405" t="n"/>
      <c r="AC25" s="428" t="n"/>
      <c r="AD25" s="420" t="n"/>
      <c r="AE25" s="420" t="n"/>
      <c r="AF25" s="432" t="n"/>
      <c r="AG25" s="432" t="n"/>
      <c r="AH25" s="405" t="n"/>
      <c r="AI25" s="405" t="n"/>
      <c r="AJ25" s="428" t="n"/>
      <c r="AK25" s="425" t="n"/>
      <c r="AL25" s="428" t="n"/>
      <c r="AM25" s="448" t="n"/>
      <c r="AN25" s="432" t="n"/>
      <c r="AO25" s="405" t="n"/>
      <c r="AP25" s="407" t="inlineStr">
        <is>
          <t>NI</t>
        </is>
      </c>
      <c r="AQ25" s="407" t="inlineStr">
        <is>
          <t>NI</t>
        </is>
      </c>
      <c r="AR25" s="407" t="inlineStr">
        <is>
          <t>NI</t>
        </is>
      </c>
      <c r="AS25" s="407" t="inlineStr">
        <is>
          <t>NI</t>
        </is>
      </c>
      <c r="AT25" s="407" t="inlineStr">
        <is>
          <t>NI</t>
        </is>
      </c>
      <c r="AU25" s="413" t="inlineStr">
        <is>
          <t>NST</t>
        </is>
      </c>
      <c r="AV25" s="405" t="n"/>
      <c r="AW25" s="405" t="n"/>
      <c r="AX25" s="423" t="inlineStr">
        <is>
          <t>U</t>
        </is>
      </c>
      <c r="AY25" s="423" t="inlineStr">
        <is>
          <t>U</t>
        </is>
      </c>
      <c r="AZ25" s="423" t="inlineStr">
        <is>
          <t>U</t>
        </is>
      </c>
      <c r="BA25" s="423" t="inlineStr">
        <is>
          <t>U</t>
        </is>
      </c>
      <c r="BB25" s="423" t="inlineStr">
        <is>
          <t>U</t>
        </is>
      </c>
      <c r="BC25" s="405" t="n"/>
      <c r="BD25" s="405" t="n"/>
      <c r="BE25" s="423" t="inlineStr">
        <is>
          <t>U</t>
        </is>
      </c>
      <c r="BF25" s="423" t="inlineStr">
        <is>
          <t>U</t>
        </is>
      </c>
      <c r="BG25" s="423" t="inlineStr">
        <is>
          <t>U</t>
        </is>
      </c>
      <c r="BH25" s="423" t="inlineStr">
        <is>
          <t>U</t>
        </is>
      </c>
      <c r="BI25" s="423" t="inlineStr">
        <is>
          <t>U</t>
        </is>
      </c>
      <c r="BJ25" s="405" t="n"/>
      <c r="BK25" s="405" t="n"/>
      <c r="BL25" s="423" t="inlineStr">
        <is>
          <t>U</t>
        </is>
      </c>
      <c r="BM25" s="423" t="inlineStr">
        <is>
          <t>U</t>
        </is>
      </c>
      <c r="BN25" s="423" t="inlineStr">
        <is>
          <t>U</t>
        </is>
      </c>
      <c r="BO25" s="423" t="inlineStr">
        <is>
          <t>U</t>
        </is>
      </c>
      <c r="BP25" s="423" t="inlineStr">
        <is>
          <t>U</t>
        </is>
      </c>
      <c r="BQ25" s="405" t="n"/>
      <c r="BR25" s="405" t="n"/>
      <c r="BS25" s="423" t="inlineStr">
        <is>
          <t>U</t>
        </is>
      </c>
      <c r="BT25" s="423" t="inlineStr">
        <is>
          <t>U</t>
        </is>
      </c>
      <c r="BU25" s="423" t="inlineStr">
        <is>
          <t>U</t>
        </is>
      </c>
      <c r="BV25" s="423" t="inlineStr">
        <is>
          <t>U</t>
        </is>
      </c>
      <c r="BW25" s="423" t="inlineStr">
        <is>
          <t>U</t>
        </is>
      </c>
      <c r="BX25" s="405" t="n"/>
      <c r="BY25" s="405" t="n"/>
      <c r="BZ25" s="428" t="n"/>
      <c r="CA25" s="420" t="n"/>
      <c r="CB25" s="420" t="n"/>
      <c r="CC25" s="426" t="n"/>
      <c r="CD25" s="432" t="n"/>
      <c r="CE25" s="405" t="n"/>
      <c r="CF25" s="405" t="n"/>
      <c r="CG25" s="428" t="n"/>
      <c r="CH25" s="428" t="n"/>
      <c r="CI25" s="420" t="n"/>
      <c r="CJ25" s="420" t="n"/>
      <c r="CK25" s="432" t="n"/>
      <c r="CL25" s="405" t="n"/>
      <c r="CM25" s="407" t="inlineStr">
        <is>
          <t>NI</t>
        </is>
      </c>
      <c r="CN25" s="407" t="inlineStr">
        <is>
          <t>NI</t>
        </is>
      </c>
      <c r="CO25" s="407" t="inlineStr">
        <is>
          <t>NI</t>
        </is>
      </c>
      <c r="CP25" s="407" t="inlineStr">
        <is>
          <t>NI</t>
        </is>
      </c>
      <c r="CQ25" s="407" t="inlineStr">
        <is>
          <t>NI</t>
        </is>
      </c>
      <c r="CR25" s="413" t="inlineStr">
        <is>
          <t>NST</t>
        </is>
      </c>
      <c r="CS25" s="453" t="n"/>
      <c r="CT25" s="405" t="n"/>
      <c r="CU25" s="428" t="n"/>
      <c r="CV25" s="431" t="n"/>
      <c r="CW25" s="431" t="n"/>
      <c r="CX25" s="431" t="n"/>
      <c r="CY25" s="440" t="n"/>
      <c r="CZ25" s="405" t="n"/>
      <c r="DA25" s="405" t="n"/>
      <c r="DB25" s="428" t="n"/>
      <c r="DC25" s="428" t="n"/>
      <c r="DD25" s="428" t="n"/>
      <c r="DE25" s="428" t="n"/>
      <c r="DF25" s="405" t="n"/>
      <c r="DG25" s="405" t="n"/>
      <c r="DH25" s="405" t="n"/>
      <c r="DI25" s="428" t="n"/>
      <c r="DJ25" s="420" t="n"/>
      <c r="DK25" s="420" t="n"/>
      <c r="DL25" s="426" t="n"/>
      <c r="DM25" s="432" t="n"/>
      <c r="DN25" s="405" t="n"/>
      <c r="DO25" s="405" t="n"/>
      <c r="DP25" s="428" t="n"/>
      <c r="DQ25" s="431" t="n"/>
      <c r="DR25" s="431" t="n"/>
      <c r="DS25" s="431" t="n"/>
      <c r="DT25" s="440" t="n"/>
      <c r="DU25" s="405" t="n"/>
      <c r="DV25" s="454" t="n"/>
      <c r="DW25" s="422" t="n"/>
      <c r="DX25" s="422" t="n"/>
      <c r="DY25" s="422" t="n"/>
      <c r="DZ25" s="422" t="n"/>
      <c r="EA25" s="421" t="n"/>
      <c r="EB25" s="405" t="n"/>
      <c r="EC25" s="407" t="inlineStr">
        <is>
          <t>NI</t>
        </is>
      </c>
      <c r="ED25" s="407" t="inlineStr">
        <is>
          <t>NI</t>
        </is>
      </c>
      <c r="EE25" s="407" t="inlineStr">
        <is>
          <t>NI</t>
        </is>
      </c>
      <c r="EF25" s="407" t="inlineStr">
        <is>
          <t>NI</t>
        </is>
      </c>
      <c r="EG25" s="407" t="inlineStr">
        <is>
          <t>NI</t>
        </is>
      </c>
      <c r="EH25" s="413" t="inlineStr">
        <is>
          <t>NST</t>
        </is>
      </c>
      <c r="EI25" s="405" t="n"/>
      <c r="EJ25" s="405" t="n"/>
      <c r="EK25" s="428" t="n"/>
      <c r="EL25" s="420" t="n"/>
      <c r="EM25" s="420" t="n"/>
      <c r="EN25" s="420" t="n"/>
      <c r="EO25" s="432" t="n"/>
      <c r="EP25" s="405" t="n"/>
      <c r="EQ25" s="405" t="n"/>
      <c r="ER25" s="428" t="n"/>
      <c r="ES25" s="420" t="n"/>
      <c r="ET25" s="426" t="n"/>
      <c r="EU25" s="420" t="n"/>
      <c r="EV25" s="432" t="n"/>
      <c r="EW25" s="405" t="n"/>
      <c r="EX25" s="405" t="n"/>
      <c r="EY25" s="422" t="n"/>
      <c r="EZ25" s="422" t="n"/>
      <c r="FA25" s="422" t="n"/>
      <c r="FB25" s="422" t="n"/>
      <c r="FC25" s="421" t="n"/>
      <c r="FD25" s="405" t="n"/>
      <c r="FE25" s="405" t="n"/>
      <c r="FF25" s="428" t="n"/>
      <c r="FG25" s="420" t="n"/>
      <c r="FH25" s="420" t="n"/>
      <c r="FI25" s="420" t="n"/>
      <c r="FJ25" s="432" t="n"/>
      <c r="FK25" s="405" t="n"/>
      <c r="FL25" s="405" t="n"/>
      <c r="FM25" s="428" t="n"/>
      <c r="FN25" s="420" t="n"/>
      <c r="FO25" s="420" t="n"/>
      <c r="FP25" s="420" t="n"/>
      <c r="FQ25" s="432" t="n"/>
      <c r="FR25" s="405" t="n"/>
      <c r="FS25" s="407" t="inlineStr">
        <is>
          <t>NI</t>
        </is>
      </c>
      <c r="FT25" s="407" t="inlineStr">
        <is>
          <t>NI</t>
        </is>
      </c>
      <c r="FU25" s="407" t="inlineStr">
        <is>
          <t>NI</t>
        </is>
      </c>
      <c r="FV25" s="407" t="inlineStr">
        <is>
          <t>NI</t>
        </is>
      </c>
      <c r="FW25" s="418" t="n"/>
      <c r="FX25" s="419" t="n"/>
      <c r="FY25" s="419" t="n"/>
      <c r="FZ25" s="405" t="n"/>
      <c r="GA25" s="428" t="n"/>
      <c r="GB25" s="426" t="n"/>
      <c r="GC25" s="426" t="n"/>
      <c r="GD25" s="418" t="n"/>
      <c r="GE25" s="429" t="n"/>
      <c r="GF25" s="455" t="n"/>
      <c r="GG25" s="422" t="n"/>
      <c r="GH25" s="429" t="n"/>
      <c r="GI25" s="429" t="n"/>
      <c r="GJ25" s="429" t="n"/>
      <c r="GK25" s="429" t="n"/>
      <c r="GL25" s="429" t="n"/>
      <c r="GM25" s="429" t="n"/>
      <c r="GN25" s="429" t="n"/>
      <c r="GO25" s="429" t="n"/>
      <c r="GP25" s="429" t="n"/>
      <c r="GQ25" s="429" t="n"/>
      <c r="GR25" s="429" t="n"/>
      <c r="GS25" s="429" t="n"/>
      <c r="GT25" s="429" t="n"/>
      <c r="GU25" s="429" t="n"/>
      <c r="GV25" s="429" t="n"/>
      <c r="GW25" s="429" t="n"/>
      <c r="GX25" s="429" t="n"/>
      <c r="GY25" s="429" t="n"/>
      <c r="GZ25" s="429" t="n"/>
      <c r="HA25" s="429" t="n"/>
      <c r="HB25" s="429" t="n"/>
      <c r="HC25" s="429" t="n"/>
      <c r="HD25" s="429" t="n"/>
      <c r="HE25" s="429" t="n"/>
      <c r="HF25" s="429" t="n"/>
      <c r="HG25" s="429" t="n"/>
      <c r="HH25" s="429" t="n"/>
      <c r="HI25" s="429" t="n"/>
      <c r="HJ25" s="429" t="n"/>
      <c r="HK25" s="429" t="n"/>
      <c r="HL25" s="429" t="n"/>
      <c r="HM25" s="429" t="n"/>
      <c r="HN25" s="429" t="n"/>
      <c r="HO25" s="429" t="n"/>
      <c r="HP25" s="429" t="n"/>
      <c r="HQ25" s="429" t="n"/>
      <c r="HR25" s="429" t="n"/>
      <c r="HS25" s="429" t="n"/>
      <c r="HT25" s="429" t="n"/>
      <c r="HU25" s="429" t="n"/>
      <c r="HV25" s="429" t="n"/>
      <c r="HW25" s="429" t="n"/>
      <c r="HX25" s="429" t="n"/>
      <c r="HY25" s="429" t="n"/>
      <c r="HZ25" s="429" t="n"/>
      <c r="IA25" s="429" t="n"/>
      <c r="IB25" s="429" t="n"/>
      <c r="IC25" s="429" t="n"/>
      <c r="ID25" s="429" t="n"/>
      <c r="IE25" s="429" t="n"/>
      <c r="IF25" s="429" t="n"/>
      <c r="IG25" s="429" t="n"/>
      <c r="IH25" s="429" t="n"/>
      <c r="II25" s="429" t="n"/>
      <c r="IJ25" s="429" t="n"/>
      <c r="IK25" s="429" t="n"/>
      <c r="IL25" s="429" t="n"/>
      <c r="IM25" s="429" t="n"/>
      <c r="IN25" s="429" t="n"/>
      <c r="IO25" s="429" t="n"/>
      <c r="IP25" s="429" t="n"/>
      <c r="IQ25" s="429" t="n"/>
      <c r="IR25" s="429" t="n"/>
      <c r="IS25" s="429" t="n"/>
      <c r="IT25" s="429" t="n"/>
      <c r="IU25" s="429" t="n"/>
      <c r="IV25" s="429" t="n"/>
      <c r="IW25" s="429" t="n"/>
      <c r="IX25" s="429" t="n"/>
      <c r="IY25" s="429" t="n"/>
      <c r="IZ25" s="429" t="n"/>
      <c r="JA25" s="429" t="n"/>
      <c r="JB25" s="429" t="n"/>
      <c r="JC25" s="429" t="n"/>
      <c r="JD25" s="429" t="n"/>
      <c r="JE25" s="429" t="n"/>
      <c r="JF25" s="429" t="n"/>
      <c r="JG25" s="429" t="n"/>
      <c r="JH25" s="429" t="n"/>
      <c r="JI25" s="429" t="n"/>
      <c r="JJ25" s="429" t="n"/>
      <c r="JK25" s="429" t="n"/>
      <c r="JL25" s="429" t="n"/>
      <c r="JM25" s="429" t="n"/>
      <c r="JN25" s="429" t="n"/>
      <c r="JO25" s="429" t="n"/>
      <c r="JP25" s="429" t="n"/>
      <c r="JQ25" s="429" t="n"/>
      <c r="JR25" s="429" t="n"/>
      <c r="JS25" s="429" t="n"/>
      <c r="JT25" s="429" t="n"/>
      <c r="JU25" s="429" t="n"/>
      <c r="JV25" s="429" t="n"/>
      <c r="JW25" s="429" t="n"/>
      <c r="JX25" s="429" t="n"/>
      <c r="JY25" s="429" t="n"/>
      <c r="JZ25" s="429" t="n"/>
      <c r="KA25" s="429" t="n"/>
      <c r="KB25" s="429" t="n"/>
      <c r="KC25" s="429" t="n"/>
      <c r="KD25" s="429" t="n"/>
      <c r="KE25" s="429" t="n"/>
      <c r="KF25" s="429" t="n"/>
      <c r="KG25" s="429" t="n"/>
      <c r="KH25" s="429" t="n"/>
      <c r="KI25" s="429" t="n"/>
      <c r="KJ25" s="429" t="n"/>
      <c r="KK25" s="429" t="n"/>
      <c r="KL25" s="429" t="n"/>
      <c r="KM25" s="429" t="n"/>
      <c r="KN25" s="429" t="n"/>
      <c r="KO25" s="429" t="n"/>
      <c r="KP25" s="429" t="n"/>
    </row>
    <row r="26" ht="26" customHeight="1" thickBot="1">
      <c r="B26" s="402" t="inlineStr">
        <is>
          <t>Siebert</t>
        </is>
      </c>
      <c r="C26" s="423" t="inlineStr">
        <is>
          <t>U</t>
        </is>
      </c>
      <c r="D26" s="423" t="inlineStr">
        <is>
          <t>U</t>
        </is>
      </c>
      <c r="E26" s="423" t="inlineStr">
        <is>
          <t>U</t>
        </is>
      </c>
      <c r="F26" s="405" t="n"/>
      <c r="G26" s="405" t="n"/>
      <c r="H26" s="423" t="inlineStr">
        <is>
          <t>U</t>
        </is>
      </c>
      <c r="I26" s="423" t="inlineStr">
        <is>
          <t>U</t>
        </is>
      </c>
      <c r="J26" s="423" t="inlineStr">
        <is>
          <t>U</t>
        </is>
      </c>
      <c r="K26" s="423" t="inlineStr">
        <is>
          <t>U</t>
        </is>
      </c>
      <c r="L26" s="423" t="inlineStr">
        <is>
          <t>U</t>
        </is>
      </c>
      <c r="M26" s="405" t="n"/>
      <c r="N26" s="405" t="n"/>
      <c r="O26" s="428" t="n"/>
      <c r="P26" s="420" t="n"/>
      <c r="Q26" s="420" t="n"/>
      <c r="R26" s="432" t="n"/>
      <c r="S26" s="432" t="n"/>
      <c r="T26" s="405" t="n"/>
      <c r="U26" s="407" t="inlineStr">
        <is>
          <t>NI</t>
        </is>
      </c>
      <c r="V26" s="407" t="inlineStr">
        <is>
          <t>NI</t>
        </is>
      </c>
      <c r="W26" s="407" t="inlineStr">
        <is>
          <t>NI</t>
        </is>
      </c>
      <c r="X26" s="407" t="inlineStr">
        <is>
          <t>NI</t>
        </is>
      </c>
      <c r="Y26" s="407" t="inlineStr">
        <is>
          <t>NI</t>
        </is>
      </c>
      <c r="Z26" s="413" t="inlineStr">
        <is>
          <t>NST</t>
        </is>
      </c>
      <c r="AA26" s="405" t="n"/>
      <c r="AB26" s="405" t="n"/>
      <c r="AC26" s="409" t="inlineStr">
        <is>
          <t>SI</t>
        </is>
      </c>
      <c r="AD26" s="409" t="inlineStr">
        <is>
          <t>SI</t>
        </is>
      </c>
      <c r="AE26" s="409" t="inlineStr">
        <is>
          <t>SI</t>
        </is>
      </c>
      <c r="AF26" s="409" t="inlineStr">
        <is>
          <t>SI</t>
        </is>
      </c>
      <c r="AG26" s="409" t="inlineStr">
        <is>
          <t>SI</t>
        </is>
      </c>
      <c r="AH26" s="405" t="n"/>
      <c r="AI26" s="405" t="n"/>
      <c r="AJ26" s="428" t="n"/>
      <c r="AK26" s="420" t="n"/>
      <c r="AL26" s="420" t="n"/>
      <c r="AM26" s="432" t="n"/>
      <c r="AN26" s="432" t="n"/>
      <c r="AO26" s="405" t="n"/>
      <c r="AP26" s="405" t="n"/>
      <c r="AQ26" s="428" t="n"/>
      <c r="AR26" s="420" t="n"/>
      <c r="AS26" s="420" t="n"/>
      <c r="AT26" s="432" t="n"/>
      <c r="AU26" s="432" t="n"/>
      <c r="AV26" s="405" t="n"/>
      <c r="AW26" s="405" t="n"/>
      <c r="AX26" s="428" t="n"/>
      <c r="AY26" s="420" t="n"/>
      <c r="AZ26" s="420" t="n"/>
      <c r="BA26" s="432" t="n"/>
      <c r="BB26" s="440" t="n"/>
      <c r="BC26" s="405" t="n"/>
      <c r="BD26" s="407" t="inlineStr">
        <is>
          <t>NI</t>
        </is>
      </c>
      <c r="BE26" s="407" t="inlineStr">
        <is>
          <t>NI</t>
        </is>
      </c>
      <c r="BF26" s="407" t="inlineStr">
        <is>
          <t>NI</t>
        </is>
      </c>
      <c r="BG26" s="407" t="inlineStr">
        <is>
          <t>NI</t>
        </is>
      </c>
      <c r="BH26" s="407" t="inlineStr">
        <is>
          <t>NI</t>
        </is>
      </c>
      <c r="BI26" s="413" t="inlineStr">
        <is>
          <t>NST</t>
        </is>
      </c>
      <c r="BJ26" s="405" t="n"/>
      <c r="BK26" s="405" t="n"/>
      <c r="BL26" s="428" t="n"/>
      <c r="BM26" s="428" t="n"/>
      <c r="BN26" s="428" t="n"/>
      <c r="BO26" s="420" t="n"/>
      <c r="BP26" s="432" t="n"/>
      <c r="BQ26" s="405" t="n"/>
      <c r="BR26" s="405" t="n"/>
      <c r="BS26" s="422" t="n"/>
      <c r="BT26" s="422" t="n"/>
      <c r="BU26" s="422" t="n"/>
      <c r="BV26" s="422" t="n"/>
      <c r="BW26" s="421" t="n"/>
      <c r="BX26" s="405" t="n"/>
      <c r="BY26" s="405" t="n"/>
      <c r="BZ26" s="428" t="n"/>
      <c r="CA26" s="420" t="n"/>
      <c r="CB26" s="420" t="n"/>
      <c r="CC26" s="420" t="n"/>
      <c r="CD26" s="432" t="n"/>
      <c r="CE26" s="405" t="n"/>
      <c r="CF26" s="407" t="inlineStr">
        <is>
          <t>NI</t>
        </is>
      </c>
      <c r="CG26" s="407" t="inlineStr">
        <is>
          <t>NI</t>
        </is>
      </c>
      <c r="CH26" s="407" t="inlineStr">
        <is>
          <t>NI</t>
        </is>
      </c>
      <c r="CI26" s="407" t="inlineStr">
        <is>
          <t>NI</t>
        </is>
      </c>
      <c r="CJ26" s="407" t="inlineStr">
        <is>
          <t>NI</t>
        </is>
      </c>
      <c r="CK26" s="413" t="inlineStr">
        <is>
          <t>NST</t>
        </is>
      </c>
      <c r="CL26" s="405" t="n"/>
      <c r="CM26" s="405" t="n"/>
      <c r="CN26" s="428" t="n"/>
      <c r="CO26" s="431" t="n"/>
      <c r="CP26" s="431" t="n"/>
      <c r="CQ26" s="431" t="n"/>
      <c r="CR26" s="440" t="n"/>
      <c r="CS26" s="430" t="n"/>
      <c r="CT26" s="405" t="n"/>
      <c r="CU26" s="423" t="inlineStr">
        <is>
          <t>U</t>
        </is>
      </c>
      <c r="CV26" s="423" t="inlineStr">
        <is>
          <t>U</t>
        </is>
      </c>
      <c r="CW26" s="423" t="inlineStr">
        <is>
          <t>U</t>
        </is>
      </c>
      <c r="CX26" s="423" t="inlineStr">
        <is>
          <t>U</t>
        </is>
      </c>
      <c r="CY26" s="423" t="inlineStr">
        <is>
          <t>U</t>
        </is>
      </c>
      <c r="CZ26" s="405" t="n"/>
      <c r="DA26" s="405" t="n"/>
      <c r="DB26" s="423" t="inlineStr">
        <is>
          <t>U</t>
        </is>
      </c>
      <c r="DC26" s="423" t="inlineStr">
        <is>
          <t>U</t>
        </is>
      </c>
      <c r="DD26" s="423" t="inlineStr">
        <is>
          <t>U</t>
        </is>
      </c>
      <c r="DE26" s="423" t="inlineStr">
        <is>
          <t>U</t>
        </is>
      </c>
      <c r="DF26" s="423" t="inlineStr">
        <is>
          <t>U</t>
        </is>
      </c>
      <c r="DG26" s="405" t="n"/>
      <c r="DH26" s="405" t="n"/>
      <c r="DI26" s="428" t="n"/>
      <c r="DJ26" s="420" t="n"/>
      <c r="DK26" s="420" t="n"/>
      <c r="DL26" s="420" t="n"/>
      <c r="DM26" s="432" t="n"/>
      <c r="DN26" s="405" t="n"/>
      <c r="DO26" s="405" t="n"/>
      <c r="DP26" s="422" t="n"/>
      <c r="DQ26" s="422" t="n"/>
      <c r="DR26" s="422" t="n"/>
      <c r="DS26" s="422" t="n"/>
      <c r="DT26" s="421" t="n"/>
      <c r="DU26" s="405" t="n"/>
      <c r="DV26" s="430" t="n"/>
      <c r="DW26" s="407" t="inlineStr">
        <is>
          <t>NI</t>
        </is>
      </c>
      <c r="DX26" s="407" t="inlineStr">
        <is>
          <t>NI</t>
        </is>
      </c>
      <c r="DY26" s="407" t="inlineStr">
        <is>
          <t>NI</t>
        </is>
      </c>
      <c r="DZ26" s="407" t="inlineStr">
        <is>
          <t>NI</t>
        </is>
      </c>
      <c r="EA26" s="413" t="inlineStr">
        <is>
          <t>NST</t>
        </is>
      </c>
      <c r="EB26" s="405" t="n"/>
      <c r="EC26" s="405" t="n"/>
      <c r="ED26" s="428" t="n"/>
      <c r="EE26" s="420" t="n"/>
      <c r="EF26" s="420" t="n"/>
      <c r="EG26" s="420" t="n"/>
      <c r="EH26" s="432" t="n"/>
      <c r="EI26" s="405" t="n"/>
      <c r="EJ26" s="405" t="n"/>
      <c r="EK26" s="428" t="n"/>
      <c r="EL26" s="420" t="n"/>
      <c r="EM26" s="420" t="n"/>
      <c r="EN26" s="420" t="n"/>
      <c r="EO26" s="432" t="n"/>
      <c r="EP26" s="405" t="n"/>
      <c r="EQ26" s="405" t="n"/>
      <c r="ER26" s="428" t="n"/>
      <c r="ES26" s="420" t="n"/>
      <c r="ET26" s="420" t="n"/>
      <c r="EU26" s="420" t="n"/>
      <c r="EV26" s="456" t="n"/>
      <c r="EW26" s="405" t="n"/>
      <c r="EX26" s="405" t="n"/>
      <c r="EY26" s="428" t="n"/>
      <c r="EZ26" s="420" t="n"/>
      <c r="FA26" s="420" t="n"/>
      <c r="FB26" s="420" t="n"/>
      <c r="FC26" s="432" t="n"/>
      <c r="FD26" s="405" t="n"/>
      <c r="FE26" s="407" t="inlineStr">
        <is>
          <t>NI</t>
        </is>
      </c>
      <c r="FF26" s="407" t="inlineStr">
        <is>
          <t>NI</t>
        </is>
      </c>
      <c r="FG26" s="407" t="inlineStr">
        <is>
          <t>NI</t>
        </is>
      </c>
      <c r="FH26" s="407" t="inlineStr">
        <is>
          <t>NI</t>
        </is>
      </c>
      <c r="FI26" s="407" t="inlineStr">
        <is>
          <t>NI</t>
        </is>
      </c>
      <c r="FJ26" s="413" t="inlineStr">
        <is>
          <t>NST</t>
        </is>
      </c>
      <c r="FK26" s="405" t="n"/>
      <c r="FL26" s="405" t="n"/>
      <c r="FM26" s="428" t="n"/>
      <c r="FN26" s="420" t="n"/>
      <c r="FO26" s="420" t="n"/>
      <c r="FP26" s="420" t="n"/>
      <c r="FQ26" s="423" t="inlineStr">
        <is>
          <t>U</t>
        </is>
      </c>
      <c r="FR26" s="405" t="n"/>
      <c r="FS26" s="405" t="n"/>
      <c r="FT26" s="423" t="inlineStr">
        <is>
          <t>U</t>
        </is>
      </c>
      <c r="FU26" s="423" t="inlineStr">
        <is>
          <t>U</t>
        </is>
      </c>
      <c r="FV26" s="423" t="inlineStr">
        <is>
          <t>U</t>
        </is>
      </c>
      <c r="FW26" s="429" t="n"/>
      <c r="FX26" s="430" t="n"/>
      <c r="FY26" s="430" t="n"/>
      <c r="FZ26" s="405" t="n"/>
      <c r="GA26" s="423" t="inlineStr">
        <is>
          <t>U</t>
        </is>
      </c>
      <c r="GB26" s="423" t="inlineStr">
        <is>
          <t>U</t>
        </is>
      </c>
      <c r="GC26" s="423" t="inlineStr">
        <is>
          <t>U</t>
        </is>
      </c>
      <c r="GD26" s="429" t="n"/>
      <c r="GE26" s="429" t="n"/>
      <c r="GF26" s="455" t="n"/>
      <c r="GG26" s="429" t="n"/>
      <c r="GH26" s="429" t="n"/>
      <c r="GI26" s="429" t="n"/>
      <c r="GJ26" s="429" t="n"/>
      <c r="GK26" s="429" t="n"/>
      <c r="GL26" s="429" t="n"/>
      <c r="GM26" s="429" t="n"/>
      <c r="GN26" s="429" t="n"/>
      <c r="GO26" s="429" t="n"/>
      <c r="GP26" s="429" t="n"/>
      <c r="GQ26" s="429" t="n"/>
      <c r="GR26" s="429" t="n"/>
      <c r="GS26" s="429" t="n"/>
      <c r="GT26" s="429" t="n"/>
      <c r="GU26" s="429" t="n"/>
      <c r="GV26" s="429" t="n"/>
      <c r="GW26" s="429" t="n"/>
      <c r="GX26" s="429" t="n"/>
      <c r="GY26" s="429" t="n"/>
      <c r="GZ26" s="429" t="n"/>
      <c r="HA26" s="429" t="n"/>
      <c r="HB26" s="429" t="n"/>
      <c r="HC26" s="429" t="n"/>
      <c r="HD26" s="429" t="n"/>
      <c r="HE26" s="429" t="n"/>
      <c r="HF26" s="429" t="n"/>
      <c r="HG26" s="429" t="n"/>
      <c r="HH26" s="429" t="n"/>
      <c r="HI26" s="429" t="n"/>
      <c r="HJ26" s="429" t="n"/>
      <c r="HK26" s="429" t="n"/>
      <c r="HL26" s="429" t="n"/>
      <c r="HM26" s="429" t="n"/>
      <c r="HN26" s="429" t="n"/>
      <c r="HO26" s="429" t="n"/>
      <c r="HP26" s="429" t="n"/>
      <c r="HQ26" s="429" t="n"/>
      <c r="HR26" s="429" t="n"/>
      <c r="HS26" s="429" t="n"/>
      <c r="HT26" s="429" t="n"/>
      <c r="HU26" s="429" t="n"/>
      <c r="HV26" s="429" t="n"/>
      <c r="HW26" s="429" t="n"/>
      <c r="HX26" s="429" t="n"/>
      <c r="HY26" s="429" t="n"/>
      <c r="HZ26" s="429" t="n"/>
      <c r="IA26" s="429" t="n"/>
      <c r="IB26" s="429" t="n"/>
      <c r="IC26" s="429" t="n"/>
      <c r="ID26" s="429" t="n"/>
      <c r="IE26" s="429" t="n"/>
      <c r="IF26" s="429" t="n"/>
      <c r="IG26" s="429" t="n"/>
      <c r="IH26" s="429" t="n"/>
      <c r="II26" s="429" t="n"/>
      <c r="IJ26" s="429" t="n"/>
      <c r="IK26" s="429" t="n"/>
      <c r="IL26" s="429" t="n"/>
      <c r="IM26" s="429" t="n"/>
      <c r="IN26" s="429" t="n"/>
      <c r="IO26" s="429" t="n"/>
      <c r="IP26" s="429" t="n"/>
      <c r="IQ26" s="429" t="n"/>
      <c r="IR26" s="429" t="n"/>
      <c r="IS26" s="429" t="n"/>
      <c r="IT26" s="429" t="n"/>
      <c r="IU26" s="429" t="n"/>
      <c r="IV26" s="429" t="n"/>
      <c r="IW26" s="429" t="n"/>
      <c r="IX26" s="429" t="n"/>
      <c r="IY26" s="429" t="n"/>
      <c r="IZ26" s="429" t="n"/>
      <c r="JA26" s="429" t="n"/>
      <c r="JB26" s="429" t="n"/>
      <c r="JC26" s="429" t="n"/>
      <c r="JD26" s="429" t="n"/>
      <c r="JE26" s="429" t="n"/>
      <c r="JF26" s="429" t="n"/>
      <c r="JG26" s="429" t="n"/>
      <c r="JH26" s="429" t="n"/>
      <c r="JI26" s="429" t="n"/>
      <c r="JJ26" s="429" t="n"/>
      <c r="JK26" s="429" t="n"/>
      <c r="JL26" s="429" t="n"/>
      <c r="JM26" s="429" t="n"/>
      <c r="JN26" s="429" t="n"/>
      <c r="JO26" s="429" t="n"/>
      <c r="JP26" s="429" t="n"/>
      <c r="JQ26" s="429" t="n"/>
      <c r="JR26" s="429" t="n"/>
      <c r="JS26" s="429" t="n"/>
      <c r="JT26" s="429" t="n"/>
      <c r="JU26" s="429" t="n"/>
      <c r="JV26" s="429" t="n"/>
      <c r="JW26" s="429" t="n"/>
      <c r="JX26" s="429" t="n"/>
      <c r="JY26" s="429" t="n"/>
      <c r="JZ26" s="429" t="n"/>
      <c r="KA26" s="429" t="n"/>
      <c r="KB26" s="429" t="n"/>
      <c r="KC26" s="429" t="n"/>
      <c r="KD26" s="429" t="n"/>
      <c r="KE26" s="429" t="n"/>
      <c r="KF26" s="429" t="n"/>
      <c r="KG26" s="429" t="n"/>
      <c r="KH26" s="429" t="n"/>
      <c r="KI26" s="429" t="n"/>
      <c r="KJ26" s="429" t="n"/>
      <c r="KK26" s="429" t="n"/>
      <c r="KL26" s="429" t="n"/>
      <c r="KM26" s="429" t="n"/>
      <c r="KN26" s="429" t="n"/>
      <c r="KO26" s="429" t="n"/>
      <c r="KP26" s="429" t="n"/>
    </row>
    <row r="27" ht="26" customHeight="1" thickBot="1">
      <c r="B27" s="402" t="inlineStr">
        <is>
          <t>Jochim</t>
        </is>
      </c>
      <c r="C27" s="420" t="n"/>
      <c r="D27" s="432" t="n"/>
      <c r="E27" s="432" t="n"/>
      <c r="F27" s="405" t="n"/>
      <c r="G27" s="405" t="n"/>
      <c r="H27" s="428" t="n"/>
      <c r="I27" s="420" t="n"/>
      <c r="J27" s="420" t="n"/>
      <c r="K27" s="432" t="n"/>
      <c r="L27" s="432" t="n"/>
      <c r="M27" s="405" t="n"/>
      <c r="N27" s="405" t="n"/>
      <c r="O27" s="428" t="n"/>
      <c r="P27" s="420" t="n"/>
      <c r="Q27" s="420" t="n"/>
      <c r="R27" s="432" t="n"/>
      <c r="S27" s="432" t="n"/>
      <c r="T27" s="405" t="n"/>
      <c r="U27" s="405" t="n"/>
      <c r="V27" s="428" t="n"/>
      <c r="W27" s="420" t="n"/>
      <c r="X27" s="420" t="n"/>
      <c r="Y27" s="432" t="n"/>
      <c r="Z27" s="432" t="n"/>
      <c r="AA27" s="405" t="n"/>
      <c r="AB27" s="405" t="n"/>
      <c r="AC27" s="428" t="n"/>
      <c r="AD27" s="420" t="n"/>
      <c r="AE27" s="420" t="n"/>
      <c r="AF27" s="432" t="n"/>
      <c r="AG27" s="432" t="n"/>
      <c r="AH27" s="405" t="n"/>
      <c r="AI27" s="405" t="n"/>
      <c r="AJ27" s="428" t="n"/>
      <c r="AK27" s="431" t="n"/>
      <c r="AL27" s="431" t="n"/>
      <c r="AM27" s="440" t="n"/>
      <c r="AN27" s="440" t="n"/>
      <c r="AO27" s="405" t="n"/>
      <c r="AP27" s="405" t="n"/>
      <c r="AQ27" s="428" t="n"/>
      <c r="AR27" s="420" t="n"/>
      <c r="AS27" s="420" t="n"/>
      <c r="AT27" s="432" t="n"/>
      <c r="AU27" s="432" t="n"/>
      <c r="AV27" s="405" t="n"/>
      <c r="AW27" s="405" t="n"/>
      <c r="AX27" s="428" t="n"/>
      <c r="AY27" s="420" t="n"/>
      <c r="AZ27" s="420" t="n"/>
      <c r="BA27" s="432" t="n"/>
      <c r="BB27" s="432" t="n"/>
      <c r="BC27" s="405" t="n"/>
      <c r="BD27" s="405" t="n"/>
      <c r="BE27" s="428" t="n"/>
      <c r="BF27" s="422" t="n"/>
      <c r="BG27" s="422" t="n"/>
      <c r="BH27" s="421" t="n"/>
      <c r="BI27" s="421" t="n"/>
      <c r="BJ27" s="405" t="n"/>
      <c r="BK27" s="405" t="n"/>
      <c r="BL27" s="428" t="n"/>
      <c r="BM27" s="428" t="n"/>
      <c r="BN27" s="420" t="n"/>
      <c r="BO27" s="420" t="n"/>
      <c r="BP27" s="432" t="n"/>
      <c r="BQ27" s="405" t="n"/>
      <c r="BR27" s="405" t="n"/>
      <c r="BS27" s="428" t="n"/>
      <c r="BT27" s="428" t="n"/>
      <c r="BU27" s="420" t="n"/>
      <c r="BV27" s="420" t="n"/>
      <c r="BW27" s="432" t="n"/>
      <c r="BX27" s="405" t="n"/>
      <c r="BY27" s="405" t="n"/>
      <c r="BZ27" s="428" t="n"/>
      <c r="CA27" s="428" t="n"/>
      <c r="CB27" s="420" t="n"/>
      <c r="CC27" s="420" t="n"/>
      <c r="CD27" s="432" t="n"/>
      <c r="CE27" s="405" t="n"/>
      <c r="CF27" s="405" t="n"/>
      <c r="CG27" s="428" t="n"/>
      <c r="CH27" s="428" t="n"/>
      <c r="CI27" s="420" t="n"/>
      <c r="CJ27" s="420" t="n"/>
      <c r="CK27" s="432" t="n"/>
      <c r="CL27" s="405" t="n"/>
      <c r="CM27" s="405" t="n"/>
      <c r="CN27" s="428" t="n"/>
      <c r="CO27" s="428" t="n"/>
      <c r="CP27" s="420" t="n"/>
      <c r="CQ27" s="420" t="n"/>
      <c r="CR27" s="432" t="n"/>
      <c r="CS27" s="430" t="n"/>
      <c r="CT27" s="405" t="n"/>
      <c r="CU27" s="428" t="n"/>
      <c r="CV27" s="420" t="n"/>
      <c r="CW27" s="420" t="n"/>
      <c r="CX27" s="420" t="n"/>
      <c r="CY27" s="432" t="n"/>
      <c r="CZ27" s="405" t="n"/>
      <c r="DA27" s="405" t="n"/>
      <c r="DB27" s="428" t="n"/>
      <c r="DC27" s="428" t="n"/>
      <c r="DD27" s="428" t="n"/>
      <c r="DE27" s="428" t="n"/>
      <c r="DF27" s="405" t="n"/>
      <c r="DG27" s="405" t="n"/>
      <c r="DH27" s="405" t="n"/>
      <c r="DI27" s="428" t="n"/>
      <c r="DJ27" s="428" t="n"/>
      <c r="DK27" s="420" t="n"/>
      <c r="DL27" s="420" t="n"/>
      <c r="DM27" s="448" t="n"/>
      <c r="DN27" s="405" t="n"/>
      <c r="DO27" s="405" t="n"/>
      <c r="DP27" s="428" t="n"/>
      <c r="DQ27" s="420" t="n"/>
      <c r="DR27" s="420" t="n"/>
      <c r="DS27" s="420" t="n"/>
      <c r="DT27" s="432" t="n"/>
      <c r="DU27" s="405" t="n"/>
      <c r="DV27" s="430" t="n"/>
      <c r="DW27" s="428" t="n"/>
      <c r="DX27" s="428" t="n"/>
      <c r="DY27" s="420" t="n"/>
      <c r="DZ27" s="420" t="n"/>
      <c r="EA27" s="432" t="n"/>
      <c r="EB27" s="405" t="n"/>
      <c r="EC27" s="405" t="n"/>
      <c r="ED27" s="428" t="n"/>
      <c r="EE27" s="422" t="n"/>
      <c r="EF27" s="422" t="n"/>
      <c r="EG27" s="422" t="n"/>
      <c r="EH27" s="421" t="n"/>
      <c r="EI27" s="405" t="n"/>
      <c r="EJ27" s="405" t="n"/>
      <c r="EK27" s="428" t="n"/>
      <c r="EL27" s="428" t="n"/>
      <c r="EM27" s="420" t="n"/>
      <c r="EN27" s="420" t="n"/>
      <c r="EO27" s="432" t="n"/>
      <c r="EP27" s="405" t="n"/>
      <c r="EQ27" s="405" t="n"/>
      <c r="ER27" s="428" t="n"/>
      <c r="ES27" s="420" t="n"/>
      <c r="ET27" s="420" t="n"/>
      <c r="EU27" s="420" t="n"/>
      <c r="EV27" s="432" t="n"/>
      <c r="EW27" s="405" t="n"/>
      <c r="EX27" s="405" t="n"/>
      <c r="EY27" s="428" t="n"/>
      <c r="EZ27" s="422" t="n"/>
      <c r="FA27" s="422" t="n"/>
      <c r="FB27" s="422" t="n"/>
      <c r="FC27" s="421" t="n"/>
      <c r="FD27" s="405" t="n"/>
      <c r="FE27" s="405" t="n"/>
      <c r="FF27" s="428" t="n"/>
      <c r="FG27" s="428" t="n"/>
      <c r="FH27" s="431" t="n"/>
      <c r="FI27" s="431" t="n"/>
      <c r="FJ27" s="440" t="n"/>
      <c r="FK27" s="405" t="n"/>
      <c r="FL27" s="405" t="n"/>
      <c r="FM27" s="428" t="n"/>
      <c r="FN27" s="428" t="n"/>
      <c r="FO27" s="420" t="n"/>
      <c r="FP27" s="427" t="n"/>
      <c r="FQ27" s="457" t="n"/>
      <c r="FR27" s="405" t="n"/>
      <c r="FS27" s="405" t="n"/>
      <c r="FT27" s="428" t="n"/>
      <c r="FU27" s="428" t="n"/>
      <c r="FV27" s="431" t="n"/>
      <c r="FW27" s="429" t="n"/>
      <c r="FX27" s="430" t="n"/>
      <c r="FY27" s="430" t="n"/>
      <c r="FZ27" s="405" t="n"/>
      <c r="GA27" s="428" t="n"/>
      <c r="GB27" s="428" t="n"/>
      <c r="GC27" s="431" t="n"/>
      <c r="GD27" s="429" t="n"/>
      <c r="GE27" s="429" t="n"/>
      <c r="GF27" s="455" t="n"/>
      <c r="GG27" s="429" t="n"/>
      <c r="GH27" s="429" t="n"/>
      <c r="GI27" s="429" t="n"/>
      <c r="GJ27" s="429" t="n"/>
      <c r="GK27" s="429" t="n"/>
      <c r="GL27" s="429" t="n"/>
      <c r="GM27" s="429" t="n"/>
      <c r="GN27" s="429" t="n"/>
      <c r="GO27" s="429" t="n"/>
      <c r="GP27" s="429" t="n"/>
      <c r="GQ27" s="429" t="n"/>
      <c r="GR27" s="429" t="n"/>
      <c r="GS27" s="429" t="n"/>
      <c r="GT27" s="429" t="n"/>
      <c r="GU27" s="429" t="n"/>
      <c r="GV27" s="429" t="n"/>
      <c r="GW27" s="429" t="n"/>
      <c r="GX27" s="429" t="n"/>
      <c r="GY27" s="429" t="n"/>
      <c r="GZ27" s="429" t="n"/>
      <c r="HA27" s="429" t="n"/>
      <c r="HB27" s="429" t="n"/>
      <c r="HC27" s="429" t="n"/>
      <c r="HD27" s="429" t="n"/>
      <c r="HE27" s="429" t="n"/>
      <c r="HF27" s="429" t="n"/>
      <c r="HG27" s="429" t="n"/>
      <c r="HH27" s="429" t="n"/>
      <c r="HI27" s="429" t="n"/>
      <c r="HJ27" s="429" t="n"/>
      <c r="HK27" s="429" t="n"/>
      <c r="HL27" s="429" t="n"/>
      <c r="HM27" s="429" t="n"/>
      <c r="HN27" s="429" t="n"/>
      <c r="HO27" s="429" t="n"/>
      <c r="HP27" s="429" t="n"/>
      <c r="HQ27" s="429" t="n"/>
      <c r="HR27" s="429" t="n"/>
      <c r="HS27" s="429" t="n"/>
      <c r="HT27" s="429" t="n"/>
      <c r="HU27" s="429" t="n"/>
      <c r="HV27" s="429" t="n"/>
      <c r="HW27" s="429" t="n"/>
      <c r="HX27" s="429" t="n"/>
      <c r="HY27" s="429" t="n"/>
      <c r="HZ27" s="429" t="n"/>
      <c r="IA27" s="429" t="n"/>
      <c r="IB27" s="429" t="n"/>
      <c r="IC27" s="429" t="n"/>
      <c r="ID27" s="429" t="n"/>
      <c r="IE27" s="429" t="n"/>
      <c r="IF27" s="429" t="n"/>
      <c r="IG27" s="429" t="n"/>
      <c r="IH27" s="429" t="n"/>
      <c r="II27" s="429" t="n"/>
      <c r="IJ27" s="429" t="n"/>
      <c r="IK27" s="429" t="n"/>
      <c r="IL27" s="429" t="n"/>
      <c r="IM27" s="429" t="n"/>
      <c r="IN27" s="429" t="n"/>
      <c r="IO27" s="429" t="n"/>
      <c r="IP27" s="429" t="n"/>
      <c r="IQ27" s="429" t="n"/>
      <c r="IR27" s="429" t="n"/>
      <c r="IS27" s="429" t="n"/>
      <c r="IT27" s="429" t="n"/>
      <c r="IU27" s="429" t="n"/>
      <c r="IV27" s="429" t="n"/>
      <c r="IW27" s="429" t="n"/>
      <c r="IX27" s="429" t="n"/>
      <c r="IY27" s="429" t="n"/>
      <c r="IZ27" s="429" t="n"/>
      <c r="JA27" s="429" t="n"/>
      <c r="JB27" s="429" t="n"/>
      <c r="JC27" s="429" t="n"/>
      <c r="JD27" s="429" t="n"/>
      <c r="JE27" s="429" t="n"/>
      <c r="JF27" s="429" t="n"/>
      <c r="JG27" s="429" t="n"/>
      <c r="JH27" s="429" t="n"/>
      <c r="JI27" s="429" t="n"/>
      <c r="JJ27" s="429" t="n"/>
      <c r="JK27" s="429" t="n"/>
      <c r="JL27" s="429" t="n"/>
      <c r="JM27" s="429" t="n"/>
      <c r="JN27" s="429" t="n"/>
      <c r="JO27" s="429" t="n"/>
      <c r="JP27" s="429" t="n"/>
      <c r="JQ27" s="429" t="n"/>
      <c r="JR27" s="429" t="n"/>
      <c r="JS27" s="429" t="n"/>
      <c r="JT27" s="429" t="n"/>
      <c r="JU27" s="429" t="n"/>
      <c r="JV27" s="429" t="n"/>
      <c r="JW27" s="429" t="n"/>
      <c r="JX27" s="429" t="n"/>
      <c r="JY27" s="429" t="n"/>
      <c r="JZ27" s="429" t="n"/>
      <c r="KA27" s="429" t="n"/>
      <c r="KB27" s="429" t="n"/>
      <c r="KC27" s="429" t="n"/>
      <c r="KD27" s="429" t="n"/>
      <c r="KE27" s="429" t="n"/>
      <c r="KF27" s="429" t="n"/>
      <c r="KG27" s="429" t="n"/>
      <c r="KH27" s="429" t="n"/>
      <c r="KI27" s="429" t="n"/>
      <c r="KJ27" s="429" t="n"/>
      <c r="KK27" s="429" t="n"/>
      <c r="KL27" s="429" t="n"/>
      <c r="KM27" s="429" t="n"/>
      <c r="KN27" s="429" t="n"/>
      <c r="KO27" s="429" t="n"/>
      <c r="KP27" s="429" t="n"/>
    </row>
    <row r="28" ht="26" customHeight="1" thickBot="1">
      <c r="B28" s="402" t="inlineStr">
        <is>
          <t>Wunsch</t>
        </is>
      </c>
      <c r="C28" s="428" t="n"/>
      <c r="D28" s="417" t="inlineStr">
        <is>
          <t>Fobi</t>
        </is>
      </c>
      <c r="E28" s="432" t="n"/>
      <c r="F28" s="405" t="n"/>
      <c r="G28" s="407" t="inlineStr">
        <is>
          <t>NI</t>
        </is>
      </c>
      <c r="H28" s="407" t="inlineStr">
        <is>
          <t>NI</t>
        </is>
      </c>
      <c r="I28" s="407" t="inlineStr">
        <is>
          <t>NI</t>
        </is>
      </c>
      <c r="J28" s="407" t="inlineStr">
        <is>
          <t>NI</t>
        </is>
      </c>
      <c r="K28" s="407" t="inlineStr">
        <is>
          <t>NI</t>
        </is>
      </c>
      <c r="L28" s="413" t="inlineStr">
        <is>
          <t>NST</t>
        </is>
      </c>
      <c r="M28" s="405" t="n"/>
      <c r="N28" s="405" t="n"/>
      <c r="O28" s="428" t="n"/>
      <c r="P28" s="420" t="n"/>
      <c r="Q28" s="420" t="n"/>
      <c r="R28" s="448" t="n"/>
      <c r="S28" s="432" t="n"/>
      <c r="T28" s="405" t="n"/>
      <c r="U28" s="405" t="n"/>
      <c r="V28" s="423" t="inlineStr">
        <is>
          <t>U</t>
        </is>
      </c>
      <c r="W28" s="423" t="inlineStr">
        <is>
          <t>U</t>
        </is>
      </c>
      <c r="X28" s="423" t="inlineStr">
        <is>
          <t>U</t>
        </is>
      </c>
      <c r="Y28" s="423" t="inlineStr">
        <is>
          <t>U</t>
        </is>
      </c>
      <c r="Z28" s="423" t="inlineStr">
        <is>
          <t>U</t>
        </is>
      </c>
      <c r="AA28" s="405" t="n"/>
      <c r="AB28" s="405" t="n"/>
      <c r="AC28" s="423" t="inlineStr">
        <is>
          <t>U</t>
        </is>
      </c>
      <c r="AD28" s="423" t="inlineStr">
        <is>
          <t>U</t>
        </is>
      </c>
      <c r="AE28" s="420" t="n"/>
      <c r="AF28" s="432" t="n"/>
      <c r="AG28" s="432" t="n"/>
      <c r="AH28" s="405" t="n"/>
      <c r="AI28" s="405" t="n"/>
      <c r="AJ28" s="428" t="n"/>
      <c r="AK28" s="420" t="n"/>
      <c r="AL28" s="420" t="n"/>
      <c r="AM28" s="432" t="n"/>
      <c r="AN28" s="423" t="inlineStr">
        <is>
          <t>U</t>
        </is>
      </c>
      <c r="AO28" s="405" t="n"/>
      <c r="AP28" s="405" t="n"/>
      <c r="AQ28" s="423" t="inlineStr">
        <is>
          <t>U</t>
        </is>
      </c>
      <c r="AR28" s="420" t="n"/>
      <c r="AS28" s="420" t="n"/>
      <c r="AT28" s="432" t="n"/>
      <c r="AU28" s="432" t="n"/>
      <c r="AV28" s="405" t="n"/>
      <c r="AW28" s="405" t="n"/>
      <c r="AX28" s="428" t="n"/>
      <c r="AY28" s="420" t="n"/>
      <c r="AZ28" s="420" t="n"/>
      <c r="BA28" s="432" t="n"/>
      <c r="BB28" s="432" t="n"/>
      <c r="BC28" s="405" t="n"/>
      <c r="BD28" s="405" t="n"/>
      <c r="BE28" s="428" t="n"/>
      <c r="BF28" s="420" t="n"/>
      <c r="BG28" s="420" t="n"/>
      <c r="BH28" s="432" t="n"/>
      <c r="BI28" s="432" t="n"/>
      <c r="BJ28" s="405" t="n"/>
      <c r="BK28" s="407" t="inlineStr">
        <is>
          <t>NI</t>
        </is>
      </c>
      <c r="BL28" s="407" t="inlineStr">
        <is>
          <t>NI</t>
        </is>
      </c>
      <c r="BM28" s="407" t="inlineStr">
        <is>
          <t>NI</t>
        </is>
      </c>
      <c r="BN28" s="407" t="inlineStr">
        <is>
          <t>NI</t>
        </is>
      </c>
      <c r="BO28" s="407" t="inlineStr">
        <is>
          <t>NI</t>
        </is>
      </c>
      <c r="BP28" s="413" t="inlineStr">
        <is>
          <t>NST</t>
        </is>
      </c>
      <c r="BQ28" s="405" t="n"/>
      <c r="BR28" s="405" t="n"/>
      <c r="BS28" s="428" t="n"/>
      <c r="BT28" s="431" t="n"/>
      <c r="BU28" s="420" t="n"/>
      <c r="BV28" s="420" t="n"/>
      <c r="BW28" s="432" t="n"/>
      <c r="BX28" s="405" t="n"/>
      <c r="BY28" s="405" t="n"/>
      <c r="BZ28" s="422" t="n"/>
      <c r="CA28" s="422" t="n"/>
      <c r="CB28" s="422" t="n"/>
      <c r="CC28" s="422" t="n"/>
      <c r="CD28" s="421" t="n"/>
      <c r="CE28" s="405" t="n"/>
      <c r="CF28" s="405" t="n"/>
      <c r="CG28" s="423" t="inlineStr">
        <is>
          <t>U</t>
        </is>
      </c>
      <c r="CH28" s="423" t="inlineStr">
        <is>
          <t>U</t>
        </is>
      </c>
      <c r="CI28" s="423" t="inlineStr">
        <is>
          <t>U</t>
        </is>
      </c>
      <c r="CJ28" s="423" t="inlineStr">
        <is>
          <t>U</t>
        </is>
      </c>
      <c r="CK28" s="423" t="inlineStr">
        <is>
          <t>U</t>
        </is>
      </c>
      <c r="CL28" s="405" t="n"/>
      <c r="CM28" s="405" t="n"/>
      <c r="CN28" s="423" t="inlineStr">
        <is>
          <t>U</t>
        </is>
      </c>
      <c r="CO28" s="423" t="inlineStr">
        <is>
          <t>U</t>
        </is>
      </c>
      <c r="CP28" s="423" t="inlineStr">
        <is>
          <t>U</t>
        </is>
      </c>
      <c r="CQ28" s="423" t="inlineStr">
        <is>
          <t>U</t>
        </is>
      </c>
      <c r="CR28" s="423" t="inlineStr">
        <is>
          <t>U</t>
        </is>
      </c>
      <c r="CS28" s="430" t="n"/>
      <c r="CT28" s="407" t="inlineStr">
        <is>
          <t>NI</t>
        </is>
      </c>
      <c r="CU28" s="407" t="inlineStr">
        <is>
          <t>NI</t>
        </is>
      </c>
      <c r="CV28" s="407" t="inlineStr">
        <is>
          <t>NI</t>
        </is>
      </c>
      <c r="CW28" s="407" t="inlineStr">
        <is>
          <t>NI</t>
        </is>
      </c>
      <c r="CX28" s="407" t="inlineStr">
        <is>
          <t>NI</t>
        </is>
      </c>
      <c r="CY28" s="413" t="inlineStr">
        <is>
          <t>NST</t>
        </is>
      </c>
      <c r="CZ28" s="405" t="n"/>
      <c r="DA28" s="405" t="n"/>
      <c r="DB28" s="428" t="n"/>
      <c r="DC28" s="428" t="n"/>
      <c r="DD28" s="428" t="n"/>
      <c r="DE28" s="428" t="n"/>
      <c r="DF28" s="405" t="n"/>
      <c r="DG28" s="405" t="n"/>
      <c r="DH28" s="405" t="n"/>
      <c r="DI28" s="428" t="n"/>
      <c r="DJ28" s="431" t="n"/>
      <c r="DK28" s="431" t="n"/>
      <c r="DL28" s="423" t="inlineStr">
        <is>
          <t>U</t>
        </is>
      </c>
      <c r="DM28" s="423" t="inlineStr">
        <is>
          <t>U</t>
        </is>
      </c>
      <c r="DN28" s="405" t="n"/>
      <c r="DO28" s="405" t="n"/>
      <c r="DP28" s="428" t="n"/>
      <c r="DQ28" s="420" t="n"/>
      <c r="DR28" s="420" t="n"/>
      <c r="DS28" s="420" t="n"/>
      <c r="DT28" s="432" t="n"/>
      <c r="DU28" s="405" t="n"/>
      <c r="DV28" s="430" t="n"/>
      <c r="DW28" s="428" t="n"/>
      <c r="DX28" s="420" t="n"/>
      <c r="DY28" s="420" t="n"/>
      <c r="DZ28" s="420" t="n"/>
      <c r="EA28" s="432" t="n"/>
      <c r="EB28" s="405" t="n"/>
      <c r="EC28" s="405" t="n"/>
      <c r="ED28" s="423" t="inlineStr">
        <is>
          <t>U</t>
        </is>
      </c>
      <c r="EE28" s="422" t="n"/>
      <c r="EF28" s="422" t="n"/>
      <c r="EG28" s="422" t="n"/>
      <c r="EH28" s="421" t="n"/>
      <c r="EI28" s="405" t="n"/>
      <c r="EJ28" s="407" t="inlineStr">
        <is>
          <t>NI</t>
        </is>
      </c>
      <c r="EK28" s="407" t="inlineStr">
        <is>
          <t>NI</t>
        </is>
      </c>
      <c r="EL28" s="407" t="inlineStr">
        <is>
          <t>NI</t>
        </is>
      </c>
      <c r="EM28" s="407" t="inlineStr">
        <is>
          <t>NI</t>
        </is>
      </c>
      <c r="EN28" s="407" t="inlineStr">
        <is>
          <t>NI</t>
        </is>
      </c>
      <c r="EO28" s="413" t="inlineStr">
        <is>
          <t>NST</t>
        </is>
      </c>
      <c r="EP28" s="405" t="n"/>
      <c r="EQ28" s="405" t="n"/>
      <c r="ER28" s="422" t="n"/>
      <c r="ES28" s="422" t="n"/>
      <c r="ET28" s="422" t="n"/>
      <c r="EU28" s="422" t="n"/>
      <c r="EV28" s="421" t="n"/>
      <c r="EW28" s="405" t="n"/>
      <c r="EX28" s="405" t="n"/>
      <c r="EY28" s="423" t="inlineStr">
        <is>
          <t>U</t>
        </is>
      </c>
      <c r="EZ28" s="423" t="inlineStr">
        <is>
          <t>U</t>
        </is>
      </c>
      <c r="FA28" s="420" t="n"/>
      <c r="FB28" s="420" t="n"/>
      <c r="FC28" s="432" t="n"/>
      <c r="FD28" s="405" t="n"/>
      <c r="FE28" s="405" t="n"/>
      <c r="FF28" s="428" t="n"/>
      <c r="FG28" s="420" t="n"/>
      <c r="FH28" s="427" t="n"/>
      <c r="FI28" s="427" t="n"/>
      <c r="FJ28" s="457" t="n"/>
      <c r="FK28" s="405" t="n"/>
      <c r="FL28" s="405" t="n"/>
      <c r="FM28" s="428" t="n"/>
      <c r="FN28" s="431" t="n"/>
      <c r="FO28" s="431" t="n"/>
      <c r="FP28" s="426" t="n"/>
      <c r="FQ28" s="440" t="n"/>
      <c r="FR28" s="405" t="n"/>
      <c r="FS28" s="405" t="n"/>
      <c r="FT28" s="428" t="n"/>
      <c r="FU28" s="431" t="n"/>
      <c r="FV28" s="431" t="n"/>
      <c r="FW28" s="429" t="n"/>
      <c r="FX28" s="430" t="n"/>
      <c r="FY28" s="430" t="n"/>
      <c r="FZ28" s="405" t="n"/>
      <c r="GA28" s="428" t="n"/>
      <c r="GB28" s="431" t="n"/>
      <c r="GC28" s="431" t="n"/>
      <c r="GD28" s="429" t="n"/>
      <c r="GE28" s="429" t="n"/>
      <c r="GF28" s="455" t="n"/>
      <c r="GG28" s="422" t="n"/>
      <c r="GH28" s="429" t="n"/>
      <c r="GI28" s="429" t="n"/>
      <c r="GJ28" s="429" t="n"/>
      <c r="GK28" s="429" t="n"/>
      <c r="GL28" s="429" t="n"/>
      <c r="GM28" s="429" t="n"/>
      <c r="GN28" s="429" t="n"/>
      <c r="GO28" s="429" t="n"/>
      <c r="GP28" s="429" t="n"/>
      <c r="GQ28" s="429" t="n"/>
      <c r="GR28" s="429" t="n"/>
      <c r="GS28" s="429" t="n"/>
      <c r="GT28" s="429" t="n"/>
      <c r="GU28" s="429" t="n"/>
      <c r="GV28" s="429" t="n"/>
      <c r="GW28" s="429" t="n"/>
      <c r="GX28" s="429" t="n"/>
      <c r="GY28" s="429" t="n"/>
      <c r="GZ28" s="429" t="n"/>
      <c r="HA28" s="429" t="n"/>
      <c r="HB28" s="429" t="n"/>
      <c r="HC28" s="429" t="n"/>
      <c r="HD28" s="429" t="n"/>
      <c r="HE28" s="429" t="n"/>
      <c r="HF28" s="429" t="n"/>
      <c r="HG28" s="429" t="n"/>
      <c r="HH28" s="429" t="n"/>
      <c r="HI28" s="429" t="n"/>
      <c r="HJ28" s="429" t="n"/>
      <c r="HK28" s="429" t="n"/>
      <c r="HL28" s="429" t="n"/>
      <c r="HM28" s="429" t="n"/>
      <c r="HN28" s="429" t="n"/>
      <c r="HO28" s="429" t="n"/>
      <c r="HP28" s="429" t="n"/>
      <c r="HQ28" s="429" t="n"/>
      <c r="HR28" s="429" t="n"/>
      <c r="HS28" s="429" t="n"/>
      <c r="HT28" s="429" t="n"/>
      <c r="HU28" s="429" t="n"/>
      <c r="HV28" s="429" t="n"/>
      <c r="HW28" s="429" t="n"/>
      <c r="HX28" s="429" t="n"/>
      <c r="HY28" s="429" t="n"/>
      <c r="HZ28" s="429" t="n"/>
      <c r="IA28" s="429" t="n"/>
      <c r="IB28" s="429" t="n"/>
      <c r="IC28" s="429" t="n"/>
      <c r="ID28" s="429" t="n"/>
      <c r="IE28" s="429" t="n"/>
      <c r="IF28" s="429" t="n"/>
      <c r="IG28" s="429" t="n"/>
      <c r="IH28" s="429" t="n"/>
      <c r="II28" s="429" t="n"/>
      <c r="IJ28" s="429" t="n"/>
      <c r="IK28" s="429" t="n"/>
      <c r="IL28" s="429" t="n"/>
      <c r="IM28" s="429" t="n"/>
      <c r="IN28" s="429" t="n"/>
      <c r="IO28" s="429" t="n"/>
      <c r="IP28" s="429" t="n"/>
      <c r="IQ28" s="429" t="n"/>
      <c r="IR28" s="429" t="n"/>
      <c r="IS28" s="429" t="n"/>
      <c r="IT28" s="429" t="n"/>
      <c r="IU28" s="429" t="n"/>
      <c r="IV28" s="429" t="n"/>
      <c r="IW28" s="429" t="n"/>
      <c r="IX28" s="429" t="n"/>
      <c r="IY28" s="429" t="n"/>
      <c r="IZ28" s="429" t="n"/>
      <c r="JA28" s="429" t="n"/>
      <c r="JB28" s="429" t="n"/>
      <c r="JC28" s="429" t="n"/>
      <c r="JD28" s="429" t="n"/>
      <c r="JE28" s="429" t="n"/>
      <c r="JF28" s="429" t="n"/>
      <c r="JG28" s="429" t="n"/>
      <c r="JH28" s="429" t="n"/>
      <c r="JI28" s="429" t="n"/>
      <c r="JJ28" s="429" t="n"/>
      <c r="JK28" s="429" t="n"/>
      <c r="JL28" s="429" t="n"/>
      <c r="JM28" s="429" t="n"/>
      <c r="JN28" s="429" t="n"/>
      <c r="JO28" s="429" t="n"/>
      <c r="JP28" s="429" t="n"/>
      <c r="JQ28" s="429" t="n"/>
      <c r="JR28" s="429" t="n"/>
      <c r="JS28" s="429" t="n"/>
      <c r="JT28" s="429" t="n"/>
      <c r="JU28" s="429" t="n"/>
      <c r="JV28" s="429" t="n"/>
      <c r="JW28" s="429" t="n"/>
      <c r="JX28" s="429" t="n"/>
      <c r="JY28" s="429" t="n"/>
      <c r="JZ28" s="429" t="n"/>
      <c r="KA28" s="429" t="n"/>
      <c r="KB28" s="429" t="n"/>
      <c r="KC28" s="429" t="n"/>
      <c r="KD28" s="429" t="n"/>
      <c r="KE28" s="429" t="n"/>
      <c r="KF28" s="429" t="n"/>
      <c r="KG28" s="429" t="n"/>
      <c r="KH28" s="429" t="n"/>
      <c r="KI28" s="429" t="n"/>
      <c r="KJ28" s="429" t="n"/>
      <c r="KK28" s="429" t="n"/>
      <c r="KL28" s="429" t="n"/>
      <c r="KM28" s="429" t="n"/>
      <c r="KN28" s="429" t="n"/>
      <c r="KO28" s="429" t="n"/>
      <c r="KP28" s="429" t="n"/>
    </row>
    <row r="29" ht="26" customHeight="1" thickBot="1">
      <c r="B29" s="402" t="inlineStr">
        <is>
          <t>Göpfrich</t>
        </is>
      </c>
      <c r="C29" s="420" t="n"/>
      <c r="D29" s="432" t="n"/>
      <c r="E29" s="432" t="n"/>
      <c r="F29" s="405" t="n"/>
      <c r="G29" s="405" t="n"/>
      <c r="H29" s="422" t="n"/>
      <c r="I29" s="422" t="n"/>
      <c r="J29" s="422" t="n"/>
      <c r="K29" s="421" t="n"/>
      <c r="L29" s="421" t="n"/>
      <c r="M29" s="405" t="n"/>
      <c r="N29" s="405" t="n"/>
      <c r="O29" s="428" t="n"/>
      <c r="P29" s="431" t="n"/>
      <c r="Q29" s="431" t="n"/>
      <c r="R29" s="440" t="n"/>
      <c r="S29" s="440" t="n"/>
      <c r="T29" s="405" t="n"/>
      <c r="U29" s="405" t="n"/>
      <c r="V29" s="423" t="inlineStr">
        <is>
          <t>U</t>
        </is>
      </c>
      <c r="W29" s="423" t="inlineStr">
        <is>
          <t>U</t>
        </is>
      </c>
      <c r="X29" s="423" t="inlineStr">
        <is>
          <t>U</t>
        </is>
      </c>
      <c r="Y29" s="423" t="inlineStr">
        <is>
          <t>U</t>
        </is>
      </c>
      <c r="Z29" s="423" t="inlineStr">
        <is>
          <t>U</t>
        </is>
      </c>
      <c r="AA29" s="405" t="n"/>
      <c r="AB29" s="407" t="inlineStr">
        <is>
          <t>NI</t>
        </is>
      </c>
      <c r="AC29" s="407" t="inlineStr">
        <is>
          <t>NI</t>
        </is>
      </c>
      <c r="AD29" s="407" t="inlineStr">
        <is>
          <t>NI</t>
        </is>
      </c>
      <c r="AE29" s="407" t="inlineStr">
        <is>
          <t>NI</t>
        </is>
      </c>
      <c r="AF29" s="407" t="inlineStr">
        <is>
          <t>NI</t>
        </is>
      </c>
      <c r="AG29" s="413" t="inlineStr">
        <is>
          <t>NST</t>
        </is>
      </c>
      <c r="AH29" s="405" t="n"/>
      <c r="AI29" s="405" t="n"/>
      <c r="AJ29" s="409" t="inlineStr">
        <is>
          <t>SI</t>
        </is>
      </c>
      <c r="AK29" s="409" t="inlineStr">
        <is>
          <t>SI</t>
        </is>
      </c>
      <c r="AL29" s="409" t="inlineStr">
        <is>
          <t>SI</t>
        </is>
      </c>
      <c r="AM29" s="409" t="inlineStr">
        <is>
          <t>SI</t>
        </is>
      </c>
      <c r="AN29" s="409" t="inlineStr">
        <is>
          <t>SI</t>
        </is>
      </c>
      <c r="AO29" s="405" t="n"/>
      <c r="AP29" s="405" t="n"/>
      <c r="AQ29" s="428" t="n"/>
      <c r="AR29" s="425" t="n"/>
      <c r="AS29" s="431" t="n"/>
      <c r="AT29" s="440" t="n"/>
      <c r="AU29" s="440" t="n"/>
      <c r="AV29" s="405" t="n"/>
      <c r="AW29" s="405" t="n"/>
      <c r="AX29" s="428" t="n"/>
      <c r="AY29" s="431" t="n"/>
      <c r="AZ29" s="431" t="n"/>
      <c r="BA29" s="424" t="n"/>
      <c r="BB29" s="432" t="n"/>
      <c r="BC29" s="405" t="n"/>
      <c r="BD29" s="405" t="n"/>
      <c r="BE29" s="428" t="n"/>
      <c r="BF29" s="420" t="n"/>
      <c r="BG29" s="426" t="n"/>
      <c r="BH29" s="432" t="n"/>
      <c r="BI29" s="432" t="n"/>
      <c r="BJ29" s="405" t="n"/>
      <c r="BK29" s="405" t="n"/>
      <c r="BL29" s="422" t="n"/>
      <c r="BM29" s="422" t="n"/>
      <c r="BN29" s="422" t="n"/>
      <c r="BO29" s="422" t="n"/>
      <c r="BP29" s="421" t="n"/>
      <c r="BQ29" s="405" t="n"/>
      <c r="BR29" s="407" t="inlineStr">
        <is>
          <t>NI</t>
        </is>
      </c>
      <c r="BS29" s="407" t="inlineStr">
        <is>
          <t>NI</t>
        </is>
      </c>
      <c r="BT29" s="407" t="inlineStr">
        <is>
          <t>NI</t>
        </is>
      </c>
      <c r="BU29" s="407" t="inlineStr">
        <is>
          <t>NI</t>
        </is>
      </c>
      <c r="BV29" s="407" t="inlineStr">
        <is>
          <t>NI</t>
        </is>
      </c>
      <c r="BW29" s="413" t="inlineStr">
        <is>
          <t>NST</t>
        </is>
      </c>
      <c r="BX29" s="405" t="n"/>
      <c r="BY29" s="405" t="n"/>
      <c r="BZ29" s="428" t="n"/>
      <c r="CA29" s="420" t="n"/>
      <c r="CB29" s="428" t="n"/>
      <c r="CC29" s="428" t="n"/>
      <c r="CD29" s="440" t="n"/>
      <c r="CE29" s="405" t="n"/>
      <c r="CF29" s="405" t="n"/>
      <c r="CG29" s="423" t="inlineStr">
        <is>
          <t>U</t>
        </is>
      </c>
      <c r="CH29" s="423" t="inlineStr">
        <is>
          <t>U</t>
        </is>
      </c>
      <c r="CI29" s="423" t="inlineStr">
        <is>
          <t>U</t>
        </is>
      </c>
      <c r="CJ29" s="423" t="inlineStr">
        <is>
          <t>U</t>
        </is>
      </c>
      <c r="CK29" s="423" t="inlineStr">
        <is>
          <t>U</t>
        </is>
      </c>
      <c r="CL29" s="405" t="n"/>
      <c r="CM29" s="405" t="n"/>
      <c r="CN29" s="422" t="n"/>
      <c r="CO29" s="422" t="n"/>
      <c r="CP29" s="422" t="n"/>
      <c r="CQ29" s="422" t="n"/>
      <c r="CR29" s="456" t="n"/>
      <c r="CS29" s="430" t="n"/>
      <c r="CT29" s="405" t="n"/>
      <c r="CU29" s="428" t="n"/>
      <c r="CV29" s="420" t="n"/>
      <c r="CW29" s="420" t="n"/>
      <c r="CX29" s="420" t="n"/>
      <c r="CY29" s="432" t="n"/>
      <c r="CZ29" s="405" t="n"/>
      <c r="DA29" s="405" t="n"/>
      <c r="DB29" s="428" t="n"/>
      <c r="DC29" s="428" t="n"/>
      <c r="DD29" s="428" t="n"/>
      <c r="DE29" s="428" t="n"/>
      <c r="DF29" s="405" t="n"/>
      <c r="DG29" s="405" t="n"/>
      <c r="DH29" s="407" t="inlineStr">
        <is>
          <t>NI</t>
        </is>
      </c>
      <c r="DI29" s="407" t="inlineStr">
        <is>
          <t>NI</t>
        </is>
      </c>
      <c r="DJ29" s="407" t="inlineStr">
        <is>
          <t>NI</t>
        </is>
      </c>
      <c r="DK29" s="407" t="inlineStr">
        <is>
          <t>NI</t>
        </is>
      </c>
      <c r="DL29" s="407" t="inlineStr">
        <is>
          <t>NI</t>
        </is>
      </c>
      <c r="DM29" s="413" t="inlineStr">
        <is>
          <t>NST</t>
        </is>
      </c>
      <c r="DN29" s="405" t="n"/>
      <c r="DO29" s="405" t="n"/>
      <c r="DP29" s="428" t="n"/>
      <c r="DQ29" s="427" t="n"/>
      <c r="DR29" s="427" t="n"/>
      <c r="DS29" s="427" t="n"/>
      <c r="DT29" s="432" t="n"/>
      <c r="DU29" s="405" t="n"/>
      <c r="DV29" s="430" t="n"/>
      <c r="DW29" s="428" t="n"/>
      <c r="DX29" s="427" t="n"/>
      <c r="DY29" s="427" t="n"/>
      <c r="DZ29" s="427" t="n"/>
      <c r="EA29" s="457" t="n"/>
      <c r="EB29" s="405" t="n"/>
      <c r="EC29" s="405" t="n"/>
      <c r="ED29" s="428" t="n"/>
      <c r="EE29" s="420" t="n"/>
      <c r="EF29" s="420" t="n"/>
      <c r="EG29" s="420" t="n"/>
      <c r="EH29" s="432" t="n"/>
      <c r="EI29" s="405" t="n"/>
      <c r="EJ29" s="405" t="n"/>
      <c r="EK29" s="423" t="inlineStr">
        <is>
          <t>U</t>
        </is>
      </c>
      <c r="EL29" s="423" t="inlineStr">
        <is>
          <t>U</t>
        </is>
      </c>
      <c r="EM29" s="423" t="inlineStr">
        <is>
          <t>U</t>
        </is>
      </c>
      <c r="EN29" s="423" t="inlineStr">
        <is>
          <t>U</t>
        </is>
      </c>
      <c r="EO29" s="423" t="inlineStr">
        <is>
          <t>U</t>
        </is>
      </c>
      <c r="EP29" s="405" t="n"/>
      <c r="EQ29" s="405" t="n"/>
      <c r="ER29" s="428" t="n"/>
      <c r="ES29" s="428" t="n"/>
      <c r="ET29" s="428" t="n"/>
      <c r="EU29" s="426" t="n"/>
      <c r="EV29" s="432" t="n"/>
      <c r="EW29" s="405" t="n"/>
      <c r="EX29" s="407" t="inlineStr">
        <is>
          <t>NI</t>
        </is>
      </c>
      <c r="EY29" s="407" t="inlineStr">
        <is>
          <t>NI</t>
        </is>
      </c>
      <c r="EZ29" s="407" t="inlineStr">
        <is>
          <t>NI</t>
        </is>
      </c>
      <c r="FA29" s="407" t="inlineStr">
        <is>
          <t>NI</t>
        </is>
      </c>
      <c r="FB29" s="407" t="inlineStr">
        <is>
          <t>NI</t>
        </is>
      </c>
      <c r="FC29" s="413" t="inlineStr">
        <is>
          <t>NST</t>
        </is>
      </c>
      <c r="FD29" s="405" t="n"/>
      <c r="FE29" s="405" t="n"/>
      <c r="FF29" s="428" t="n"/>
      <c r="FG29" s="431" t="n"/>
      <c r="FH29" s="425" t="n"/>
      <c r="FI29" s="425" t="n"/>
      <c r="FJ29" s="440" t="n"/>
      <c r="FK29" s="405" t="n"/>
      <c r="FL29" s="405" t="n"/>
      <c r="FM29" s="422" t="n"/>
      <c r="FN29" s="422" t="n"/>
      <c r="FO29" s="422" t="n"/>
      <c r="FP29" s="426" t="n"/>
      <c r="FQ29" s="421" t="n"/>
      <c r="FR29" s="405" t="n"/>
      <c r="FS29" s="405" t="n"/>
      <c r="FT29" s="423" t="inlineStr">
        <is>
          <t>U</t>
        </is>
      </c>
      <c r="FU29" s="423" t="inlineStr">
        <is>
          <t>U</t>
        </is>
      </c>
      <c r="FV29" s="423" t="inlineStr">
        <is>
          <t>U</t>
        </is>
      </c>
      <c r="FW29" s="429" t="n"/>
      <c r="FX29" s="430" t="n"/>
      <c r="FY29" s="430" t="n"/>
      <c r="FZ29" s="405" t="n"/>
      <c r="GA29" s="423" t="inlineStr">
        <is>
          <t>U</t>
        </is>
      </c>
      <c r="GB29" s="423" t="inlineStr">
        <is>
          <t>U</t>
        </is>
      </c>
      <c r="GC29" s="423" t="inlineStr">
        <is>
          <t>U</t>
        </is>
      </c>
      <c r="GD29" s="429" t="n"/>
      <c r="GE29" s="429" t="n"/>
      <c r="GF29" s="455" t="n"/>
      <c r="GG29" s="422" t="n"/>
      <c r="GH29" s="429" t="n"/>
      <c r="GI29" s="429" t="n"/>
      <c r="GJ29" s="429" t="n"/>
      <c r="GK29" s="429" t="n"/>
      <c r="GL29" s="429" t="n"/>
      <c r="GM29" s="429" t="n"/>
      <c r="GN29" s="429" t="n"/>
      <c r="GO29" s="429" t="n"/>
      <c r="GP29" s="429" t="n"/>
      <c r="GQ29" s="429" t="n"/>
      <c r="GR29" s="429" t="n"/>
      <c r="GS29" s="429" t="n"/>
      <c r="GT29" s="429" t="n"/>
      <c r="GU29" s="429" t="n"/>
      <c r="GV29" s="429" t="n"/>
      <c r="GW29" s="429" t="n"/>
      <c r="GX29" s="429" t="n"/>
      <c r="GY29" s="429" t="n"/>
      <c r="GZ29" s="429" t="n"/>
      <c r="HA29" s="429" t="n"/>
      <c r="HB29" s="429" t="n"/>
      <c r="HC29" s="429" t="n"/>
      <c r="HD29" s="429" t="n"/>
      <c r="HE29" s="429" t="n"/>
      <c r="HF29" s="429" t="n"/>
      <c r="HG29" s="429" t="n"/>
      <c r="HH29" s="429" t="n"/>
      <c r="HI29" s="429" t="n"/>
      <c r="HJ29" s="429" t="n"/>
      <c r="HK29" s="429" t="n"/>
      <c r="HL29" s="429" t="n"/>
      <c r="HM29" s="429" t="n"/>
      <c r="HN29" s="429" t="n"/>
      <c r="HO29" s="429" t="n"/>
      <c r="HP29" s="429" t="n"/>
      <c r="HQ29" s="429" t="n"/>
      <c r="HR29" s="429" t="n"/>
      <c r="HS29" s="429" t="n"/>
      <c r="HT29" s="429" t="n"/>
      <c r="HU29" s="429" t="n"/>
      <c r="HV29" s="429" t="n"/>
      <c r="HW29" s="429" t="n"/>
      <c r="HX29" s="429" t="n"/>
      <c r="HY29" s="429" t="n"/>
      <c r="HZ29" s="429" t="n"/>
      <c r="IA29" s="429" t="n"/>
      <c r="IB29" s="429" t="n"/>
      <c r="IC29" s="429" t="n"/>
      <c r="ID29" s="429" t="n"/>
      <c r="IE29" s="429" t="n"/>
      <c r="IF29" s="429" t="n"/>
      <c r="IG29" s="429" t="n"/>
      <c r="IH29" s="429" t="n"/>
      <c r="II29" s="429" t="n"/>
      <c r="IJ29" s="429" t="n"/>
      <c r="IK29" s="429" t="n"/>
      <c r="IL29" s="429" t="n"/>
      <c r="IM29" s="429" t="n"/>
      <c r="IN29" s="429" t="n"/>
      <c r="IO29" s="429" t="n"/>
      <c r="IP29" s="429" t="n"/>
      <c r="IQ29" s="429" t="n"/>
      <c r="IR29" s="429" t="n"/>
      <c r="IS29" s="429" t="n"/>
      <c r="IT29" s="429" t="n"/>
      <c r="IU29" s="429" t="n"/>
      <c r="IV29" s="429" t="n"/>
      <c r="IW29" s="429" t="n"/>
      <c r="IX29" s="429" t="n"/>
      <c r="IY29" s="429" t="n"/>
      <c r="IZ29" s="429" t="n"/>
      <c r="JA29" s="429" t="n"/>
      <c r="JB29" s="429" t="n"/>
      <c r="JC29" s="429" t="n"/>
      <c r="JD29" s="429" t="n"/>
      <c r="JE29" s="429" t="n"/>
      <c r="JF29" s="429" t="n"/>
      <c r="JG29" s="429" t="n"/>
      <c r="JH29" s="429" t="n"/>
      <c r="JI29" s="429" t="n"/>
      <c r="JJ29" s="429" t="n"/>
      <c r="JK29" s="429" t="n"/>
      <c r="JL29" s="429" t="n"/>
      <c r="JM29" s="429" t="n"/>
      <c r="JN29" s="429" t="n"/>
      <c r="JO29" s="429" t="n"/>
      <c r="JP29" s="429" t="n"/>
      <c r="JQ29" s="429" t="n"/>
      <c r="JR29" s="429" t="n"/>
      <c r="JS29" s="429" t="n"/>
      <c r="JT29" s="429" t="n"/>
      <c r="JU29" s="429" t="n"/>
      <c r="JV29" s="429" t="n"/>
      <c r="JW29" s="429" t="n"/>
      <c r="JX29" s="429" t="n"/>
      <c r="JY29" s="429" t="n"/>
      <c r="JZ29" s="429" t="n"/>
      <c r="KA29" s="429" t="n"/>
      <c r="KB29" s="429" t="n"/>
      <c r="KC29" s="429" t="n"/>
      <c r="KD29" s="429" t="n"/>
      <c r="KE29" s="429" t="n"/>
      <c r="KF29" s="429" t="n"/>
      <c r="KG29" s="429" t="n"/>
      <c r="KH29" s="429" t="n"/>
      <c r="KI29" s="429" t="n"/>
      <c r="KJ29" s="429" t="n"/>
      <c r="KK29" s="429" t="n"/>
      <c r="KL29" s="429" t="n"/>
      <c r="KM29" s="429" t="n"/>
      <c r="KN29" s="429" t="n"/>
      <c r="KO29" s="429" t="n"/>
      <c r="KP29" s="429" t="n"/>
    </row>
    <row r="30" ht="26" customHeight="1" thickBot="1">
      <c r="B30" s="402" t="inlineStr">
        <is>
          <t>Zeller</t>
        </is>
      </c>
      <c r="C30" s="420" t="n"/>
      <c r="D30" s="456" t="n"/>
      <c r="E30" s="432" t="n"/>
      <c r="F30" s="405" t="n"/>
      <c r="G30" s="405" t="n"/>
      <c r="H30" s="428" t="n"/>
      <c r="I30" s="420" t="n"/>
      <c r="J30" s="420" t="n"/>
      <c r="K30" s="432" t="n"/>
      <c r="L30" s="432" t="n"/>
      <c r="M30" s="405" t="n"/>
      <c r="N30" s="405" t="n"/>
      <c r="O30" s="423" t="inlineStr">
        <is>
          <t>U</t>
        </is>
      </c>
      <c r="P30" s="423" t="inlineStr">
        <is>
          <t>U</t>
        </is>
      </c>
      <c r="Q30" s="423" t="inlineStr">
        <is>
          <t>U</t>
        </is>
      </c>
      <c r="R30" s="423" t="inlineStr">
        <is>
          <t>U</t>
        </is>
      </c>
      <c r="S30" s="423" t="inlineStr">
        <is>
          <t>U</t>
        </is>
      </c>
      <c r="T30" s="405" t="n"/>
      <c r="U30" s="405" t="n"/>
      <c r="V30" s="415" t="inlineStr">
        <is>
          <t>FI</t>
        </is>
      </c>
      <c r="W30" s="415" t="inlineStr">
        <is>
          <t>FI</t>
        </is>
      </c>
      <c r="X30" s="415" t="inlineStr">
        <is>
          <t>FI</t>
        </is>
      </c>
      <c r="Y30" s="415" t="inlineStr">
        <is>
          <t>FI</t>
        </is>
      </c>
      <c r="Z30" s="415" t="inlineStr">
        <is>
          <t>FI</t>
        </is>
      </c>
      <c r="AA30" s="405" t="n"/>
      <c r="AB30" s="405" t="n"/>
      <c r="AC30" s="428" t="n"/>
      <c r="AD30" s="431" t="n"/>
      <c r="AE30" s="431" t="n"/>
      <c r="AF30" s="440" t="n"/>
      <c r="AG30" s="424" t="n"/>
      <c r="AH30" s="405" t="n"/>
      <c r="AI30" s="407" t="inlineStr">
        <is>
          <t>NI</t>
        </is>
      </c>
      <c r="AJ30" s="407" t="inlineStr">
        <is>
          <t>NI</t>
        </is>
      </c>
      <c r="AK30" s="407" t="inlineStr">
        <is>
          <t>NI</t>
        </is>
      </c>
      <c r="AL30" s="407" t="inlineStr">
        <is>
          <t>NI</t>
        </is>
      </c>
      <c r="AM30" s="407" t="inlineStr">
        <is>
          <t>NI</t>
        </is>
      </c>
      <c r="AN30" s="413" t="inlineStr">
        <is>
          <t>NST</t>
        </is>
      </c>
      <c r="AO30" s="405" t="n"/>
      <c r="AP30" s="405" t="n"/>
      <c r="AQ30" s="409" t="inlineStr">
        <is>
          <t>SI</t>
        </is>
      </c>
      <c r="AR30" s="409" t="inlineStr">
        <is>
          <t>SI</t>
        </is>
      </c>
      <c r="AS30" s="409" t="inlineStr">
        <is>
          <t>SI</t>
        </is>
      </c>
      <c r="AT30" s="409" t="inlineStr">
        <is>
          <t>SI</t>
        </is>
      </c>
      <c r="AU30" s="409" t="inlineStr">
        <is>
          <t>SI</t>
        </is>
      </c>
      <c r="AV30" s="405" t="n"/>
      <c r="AW30" s="405" t="n"/>
      <c r="AX30" s="428" t="n"/>
      <c r="AY30" s="420" t="n"/>
      <c r="AZ30" s="420" t="n"/>
      <c r="BA30" s="432" t="n"/>
      <c r="BB30" s="432" t="n"/>
      <c r="BC30" s="405" t="n"/>
      <c r="BD30" s="405" t="n"/>
      <c r="BE30" s="422" t="n"/>
      <c r="BF30" s="422" t="n"/>
      <c r="BG30" s="422" t="n"/>
      <c r="BH30" s="421" t="n"/>
      <c r="BI30" s="421" t="n"/>
      <c r="BJ30" s="405" t="n"/>
      <c r="BK30" s="405" t="n"/>
      <c r="BL30" s="428" t="n"/>
      <c r="BM30" s="420" t="n"/>
      <c r="BN30" s="420" t="n"/>
      <c r="BO30" s="420" t="n"/>
      <c r="BP30" s="432" t="n"/>
      <c r="BQ30" s="405" t="n"/>
      <c r="BR30" s="405" t="n"/>
      <c r="BS30" s="423" t="inlineStr">
        <is>
          <t>U</t>
        </is>
      </c>
      <c r="BT30" s="423" t="inlineStr">
        <is>
          <t>U</t>
        </is>
      </c>
      <c r="BU30" s="423" t="inlineStr">
        <is>
          <t>U</t>
        </is>
      </c>
      <c r="BV30" s="423" t="inlineStr">
        <is>
          <t>U</t>
        </is>
      </c>
      <c r="BW30" s="423" t="inlineStr">
        <is>
          <t>U</t>
        </is>
      </c>
      <c r="BX30" s="405" t="n"/>
      <c r="BY30" s="405" t="n"/>
      <c r="BZ30" s="423" t="inlineStr">
        <is>
          <t>U</t>
        </is>
      </c>
      <c r="CA30" s="423" t="inlineStr">
        <is>
          <t>U</t>
        </is>
      </c>
      <c r="CB30" s="423" t="inlineStr">
        <is>
          <t>U</t>
        </is>
      </c>
      <c r="CC30" s="423" t="inlineStr">
        <is>
          <t>U</t>
        </is>
      </c>
      <c r="CD30" s="423" t="inlineStr">
        <is>
          <t>U</t>
        </is>
      </c>
      <c r="CE30" s="405" t="n"/>
      <c r="CF30" s="405" t="n"/>
      <c r="CG30" s="428" t="n"/>
      <c r="CH30" s="420" t="n"/>
      <c r="CI30" s="420" t="n"/>
      <c r="CJ30" s="420" t="n"/>
      <c r="CK30" s="432" t="n"/>
      <c r="CL30" s="405" t="n"/>
      <c r="CM30" s="405" t="n"/>
      <c r="CN30" s="428" t="n"/>
      <c r="CO30" s="417" t="inlineStr">
        <is>
          <t>Fobi</t>
        </is>
      </c>
      <c r="CP30" s="417" t="inlineStr">
        <is>
          <t>Fobi</t>
        </is>
      </c>
      <c r="CQ30" s="417" t="inlineStr">
        <is>
          <t>Fobi</t>
        </is>
      </c>
      <c r="CR30" s="432" t="n"/>
      <c r="CS30" s="430" t="n"/>
      <c r="CT30" s="405" t="n"/>
      <c r="CU30" s="428" t="n"/>
      <c r="CV30" s="420" t="n"/>
      <c r="CW30" s="420" t="n"/>
      <c r="CX30" s="420" t="n"/>
      <c r="CY30" s="432" t="n"/>
      <c r="CZ30" s="405" t="n"/>
      <c r="DA30" s="405" t="n"/>
      <c r="DB30" s="428" t="n"/>
      <c r="DC30" s="428" t="n"/>
      <c r="DD30" s="428" t="n"/>
      <c r="DE30" s="428" t="n"/>
      <c r="DF30" s="405" t="n"/>
      <c r="DG30" s="405" t="n"/>
      <c r="DH30" s="405" t="n"/>
      <c r="DI30" s="428" t="n"/>
      <c r="DJ30" s="420" t="n"/>
      <c r="DK30" s="420" t="n"/>
      <c r="DL30" s="420" t="n"/>
      <c r="DM30" s="432" t="n"/>
      <c r="DN30" s="405" t="n"/>
      <c r="DO30" s="407" t="inlineStr">
        <is>
          <t>NI</t>
        </is>
      </c>
      <c r="DP30" s="407" t="inlineStr">
        <is>
          <t>NI</t>
        </is>
      </c>
      <c r="DQ30" s="407" t="inlineStr">
        <is>
          <t>NI</t>
        </is>
      </c>
      <c r="DR30" s="407" t="inlineStr">
        <is>
          <t>NI</t>
        </is>
      </c>
      <c r="DS30" s="407" t="inlineStr">
        <is>
          <t>NI</t>
        </is>
      </c>
      <c r="DT30" s="413" t="inlineStr">
        <is>
          <t>NST</t>
        </is>
      </c>
      <c r="DU30" s="405" t="n"/>
      <c r="DV30" s="430" t="n"/>
      <c r="DW30" s="428" t="n"/>
      <c r="DX30" s="427" t="n"/>
      <c r="DY30" s="427" t="n"/>
      <c r="DZ30" s="427" t="n"/>
      <c r="EA30" s="457" t="n"/>
      <c r="EB30" s="405" t="n"/>
      <c r="EC30" s="405" t="n"/>
      <c r="ED30" s="428" t="n"/>
      <c r="EE30" s="431" t="n"/>
      <c r="EF30" s="431" t="n"/>
      <c r="EG30" s="431" t="n"/>
      <c r="EH30" s="440" t="n"/>
      <c r="EI30" s="405" t="n"/>
      <c r="EJ30" s="405" t="n"/>
      <c r="EK30" s="428" t="n"/>
      <c r="EL30" s="427" t="n"/>
      <c r="EM30" s="427" t="n"/>
      <c r="EN30" s="426" t="n"/>
      <c r="EO30" s="432" t="n"/>
      <c r="EP30" s="405" t="n"/>
      <c r="EQ30" s="405" t="n"/>
      <c r="ER30" s="428" t="n"/>
      <c r="ES30" s="420" t="n"/>
      <c r="ET30" s="420" t="n"/>
      <c r="EU30" s="420" t="n"/>
      <c r="EV30" s="432" t="n"/>
      <c r="EW30" s="405" t="n"/>
      <c r="EX30" s="405" t="n"/>
      <c r="EY30" s="428" t="n"/>
      <c r="EZ30" s="420" t="n"/>
      <c r="FA30" s="420" t="n"/>
      <c r="FB30" s="426" t="n"/>
      <c r="FC30" s="432" t="n"/>
      <c r="FD30" s="405" t="n"/>
      <c r="FE30" s="405" t="n"/>
      <c r="FF30" s="428" t="n"/>
      <c r="FG30" s="420" t="n"/>
      <c r="FH30" s="420" t="n"/>
      <c r="FI30" s="420" t="n"/>
      <c r="FJ30" s="432" t="n"/>
      <c r="FK30" s="405" t="n"/>
      <c r="FL30" s="407" t="inlineStr">
        <is>
          <t>NI</t>
        </is>
      </c>
      <c r="FM30" s="407" t="inlineStr">
        <is>
          <t>NI</t>
        </is>
      </c>
      <c r="FN30" s="407" t="inlineStr">
        <is>
          <t>NI</t>
        </is>
      </c>
      <c r="FO30" s="407" t="inlineStr">
        <is>
          <t>NI</t>
        </is>
      </c>
      <c r="FP30" s="407" t="inlineStr">
        <is>
          <t>NI</t>
        </is>
      </c>
      <c r="FQ30" s="413" t="inlineStr">
        <is>
          <t>NST</t>
        </is>
      </c>
      <c r="FR30" s="405" t="n"/>
      <c r="FS30" s="405" t="n"/>
      <c r="FT30" s="428" t="n"/>
      <c r="FU30" s="431" t="n"/>
      <c r="FV30" s="431" t="n"/>
      <c r="FW30" s="429" t="n"/>
      <c r="FX30" s="430" t="n"/>
      <c r="FY30" s="430" t="n"/>
      <c r="FZ30" s="405" t="n"/>
      <c r="GA30" s="428" t="n"/>
      <c r="GB30" s="431" t="n"/>
      <c r="GC30" s="431" t="n"/>
      <c r="GD30" s="429" t="n"/>
      <c r="GE30" s="429" t="n"/>
      <c r="GF30" s="455" t="n"/>
      <c r="GG30" s="429" t="n"/>
      <c r="GH30" s="429" t="n"/>
      <c r="GI30" s="429" t="n"/>
      <c r="GJ30" s="429" t="n"/>
      <c r="GK30" s="429" t="n"/>
      <c r="GL30" s="429" t="n"/>
      <c r="GM30" s="429" t="n"/>
      <c r="GN30" s="429" t="n"/>
      <c r="GO30" s="429" t="n"/>
      <c r="GP30" s="429" t="n"/>
      <c r="GQ30" s="429" t="n"/>
      <c r="GR30" s="429" t="n"/>
      <c r="GS30" s="429" t="n"/>
      <c r="GT30" s="429" t="n"/>
      <c r="GU30" s="429" t="n"/>
      <c r="GV30" s="429" t="n"/>
      <c r="GW30" s="429" t="n"/>
      <c r="GX30" s="429" t="n"/>
      <c r="GY30" s="429" t="n"/>
      <c r="GZ30" s="429" t="n"/>
      <c r="HA30" s="429" t="n"/>
      <c r="HB30" s="429" t="n"/>
      <c r="HC30" s="429" t="n"/>
      <c r="HD30" s="429" t="n"/>
      <c r="HE30" s="429" t="n"/>
      <c r="HF30" s="429" t="n"/>
      <c r="HG30" s="429" t="n"/>
      <c r="HH30" s="429" t="n"/>
      <c r="HI30" s="429" t="n"/>
      <c r="HJ30" s="429" t="n"/>
      <c r="HK30" s="429" t="n"/>
      <c r="HL30" s="429" t="n"/>
      <c r="HM30" s="429" t="n"/>
      <c r="HN30" s="429" t="n"/>
      <c r="HO30" s="429" t="n"/>
      <c r="HP30" s="429" t="n"/>
      <c r="HQ30" s="429" t="n"/>
      <c r="HR30" s="429" t="n"/>
      <c r="HS30" s="429" t="n"/>
      <c r="HT30" s="429" t="n"/>
      <c r="HU30" s="429" t="n"/>
      <c r="HV30" s="429" t="n"/>
      <c r="HW30" s="429" t="n"/>
      <c r="HX30" s="429" t="n"/>
      <c r="HY30" s="429" t="n"/>
      <c r="HZ30" s="429" t="n"/>
      <c r="IA30" s="429" t="n"/>
      <c r="IB30" s="429" t="n"/>
      <c r="IC30" s="429" t="n"/>
      <c r="ID30" s="429" t="n"/>
      <c r="IE30" s="429" t="n"/>
      <c r="IF30" s="429" t="n"/>
      <c r="IG30" s="429" t="n"/>
      <c r="IH30" s="429" t="n"/>
      <c r="II30" s="429" t="n"/>
      <c r="IJ30" s="429" t="n"/>
      <c r="IK30" s="429" t="n"/>
      <c r="IL30" s="429" t="n"/>
      <c r="IM30" s="429" t="n"/>
      <c r="IN30" s="429" t="n"/>
      <c r="IO30" s="429" t="n"/>
      <c r="IP30" s="429" t="n"/>
      <c r="IQ30" s="429" t="n"/>
      <c r="IR30" s="429" t="n"/>
      <c r="IS30" s="429" t="n"/>
      <c r="IT30" s="429" t="n"/>
      <c r="IU30" s="429" t="n"/>
      <c r="IV30" s="429" t="n"/>
      <c r="IW30" s="429" t="n"/>
      <c r="IX30" s="429" t="n"/>
      <c r="IY30" s="429" t="n"/>
      <c r="IZ30" s="429" t="n"/>
      <c r="JA30" s="429" t="n"/>
      <c r="JB30" s="429" t="n"/>
      <c r="JC30" s="429" t="n"/>
      <c r="JD30" s="429" t="n"/>
      <c r="JE30" s="429" t="n"/>
      <c r="JF30" s="429" t="n"/>
      <c r="JG30" s="429" t="n"/>
      <c r="JH30" s="429" t="n"/>
      <c r="JI30" s="429" t="n"/>
      <c r="JJ30" s="429" t="n"/>
      <c r="JK30" s="429" t="n"/>
      <c r="JL30" s="429" t="n"/>
      <c r="JM30" s="429" t="n"/>
      <c r="JN30" s="429" t="n"/>
      <c r="JO30" s="429" t="n"/>
      <c r="JP30" s="429" t="n"/>
      <c r="JQ30" s="429" t="n"/>
      <c r="JR30" s="429" t="n"/>
      <c r="JS30" s="429" t="n"/>
      <c r="JT30" s="429" t="n"/>
      <c r="JU30" s="429" t="n"/>
      <c r="JV30" s="429" t="n"/>
      <c r="JW30" s="429" t="n"/>
      <c r="JX30" s="429" t="n"/>
      <c r="JY30" s="429" t="n"/>
      <c r="JZ30" s="429" t="n"/>
      <c r="KA30" s="429" t="n"/>
      <c r="KB30" s="429" t="n"/>
      <c r="KC30" s="429" t="n"/>
      <c r="KD30" s="429" t="n"/>
      <c r="KE30" s="429" t="n"/>
      <c r="KF30" s="429" t="n"/>
      <c r="KG30" s="429" t="n"/>
      <c r="KH30" s="429" t="n"/>
      <c r="KI30" s="429" t="n"/>
      <c r="KJ30" s="429" t="n"/>
      <c r="KK30" s="429" t="n"/>
      <c r="KL30" s="429" t="n"/>
      <c r="KM30" s="429" t="n"/>
      <c r="KN30" s="429" t="n"/>
      <c r="KO30" s="429" t="n"/>
      <c r="KP30" s="429" t="n"/>
    </row>
    <row r="31" ht="26" customHeight="1" thickBot="1">
      <c r="B31" s="402" t="inlineStr">
        <is>
          <t>Behrendt</t>
        </is>
      </c>
      <c r="C31" s="420" t="n"/>
      <c r="D31" s="432" t="n"/>
      <c r="E31" s="432" t="n"/>
      <c r="F31" s="405" t="n"/>
      <c r="G31" s="405" t="n"/>
      <c r="H31" s="428" t="n"/>
      <c r="I31" s="420" t="n"/>
      <c r="J31" s="420" t="n"/>
      <c r="K31" s="432" t="n"/>
      <c r="L31" s="432" t="n"/>
      <c r="M31" s="405" t="n"/>
      <c r="N31" s="407" t="inlineStr">
        <is>
          <t>NI</t>
        </is>
      </c>
      <c r="O31" s="407" t="inlineStr">
        <is>
          <t>NI</t>
        </is>
      </c>
      <c r="P31" s="407" t="inlineStr">
        <is>
          <t>NI</t>
        </is>
      </c>
      <c r="Q31" s="407" t="inlineStr">
        <is>
          <t>NI</t>
        </is>
      </c>
      <c r="R31" s="407" t="inlineStr">
        <is>
          <t>NI</t>
        </is>
      </c>
      <c r="S31" s="413" t="inlineStr">
        <is>
          <t>NST</t>
        </is>
      </c>
      <c r="T31" s="405" t="n"/>
      <c r="U31" s="405" t="n"/>
      <c r="V31" s="423" t="inlineStr">
        <is>
          <t>U</t>
        </is>
      </c>
      <c r="W31" s="423" t="inlineStr">
        <is>
          <t>U</t>
        </is>
      </c>
      <c r="X31" s="423" t="inlineStr">
        <is>
          <t>U</t>
        </is>
      </c>
      <c r="Y31" s="423" t="inlineStr">
        <is>
          <t>U</t>
        </is>
      </c>
      <c r="Z31" s="423" t="inlineStr">
        <is>
          <t>U</t>
        </is>
      </c>
      <c r="AA31" s="405" t="n"/>
      <c r="AB31" s="405" t="n"/>
      <c r="AC31" s="423" t="inlineStr">
        <is>
          <t>U</t>
        </is>
      </c>
      <c r="AD31" s="423" t="inlineStr">
        <is>
          <t>U</t>
        </is>
      </c>
      <c r="AE31" s="423" t="inlineStr">
        <is>
          <t>U</t>
        </is>
      </c>
      <c r="AF31" s="423" t="inlineStr">
        <is>
          <t>U</t>
        </is>
      </c>
      <c r="AG31" s="423" t="inlineStr">
        <is>
          <t>U</t>
        </is>
      </c>
      <c r="AH31" s="405" t="n"/>
      <c r="AI31" s="405" t="n"/>
      <c r="AJ31" s="423" t="inlineStr">
        <is>
          <t>U</t>
        </is>
      </c>
      <c r="AK31" s="423" t="inlineStr">
        <is>
          <t>U</t>
        </is>
      </c>
      <c r="AL31" s="423" t="inlineStr">
        <is>
          <t>U</t>
        </is>
      </c>
      <c r="AM31" s="423" t="inlineStr">
        <is>
          <t>U</t>
        </is>
      </c>
      <c r="AN31" s="423" t="inlineStr">
        <is>
          <t>U</t>
        </is>
      </c>
      <c r="AO31" s="405" t="n"/>
      <c r="AP31" s="405" t="n"/>
      <c r="AQ31" s="423" t="inlineStr">
        <is>
          <t>U</t>
        </is>
      </c>
      <c r="AR31" s="423" t="inlineStr">
        <is>
          <t>U</t>
        </is>
      </c>
      <c r="AS31" s="420" t="n"/>
      <c r="AT31" s="432" t="n"/>
      <c r="AU31" s="432" t="n"/>
      <c r="AV31" s="405" t="n"/>
      <c r="AW31" s="407" t="inlineStr">
        <is>
          <t>NI</t>
        </is>
      </c>
      <c r="AX31" s="407" t="inlineStr">
        <is>
          <t>NI</t>
        </is>
      </c>
      <c r="AY31" s="407" t="inlineStr">
        <is>
          <t>NI</t>
        </is>
      </c>
      <c r="AZ31" s="407" t="inlineStr">
        <is>
          <t>NI</t>
        </is>
      </c>
      <c r="BA31" s="407" t="inlineStr">
        <is>
          <t>NI</t>
        </is>
      </c>
      <c r="BB31" s="413" t="inlineStr">
        <is>
          <t>NST</t>
        </is>
      </c>
      <c r="BC31" s="405" t="n"/>
      <c r="BD31" s="405" t="n"/>
      <c r="BE31" s="428" t="n"/>
      <c r="BF31" s="420" t="n"/>
      <c r="BG31" s="420" t="n"/>
      <c r="BH31" s="432" t="n"/>
      <c r="BI31" s="432" t="n"/>
      <c r="BJ31" s="405" t="n"/>
      <c r="BK31" s="405" t="n"/>
      <c r="BL31" s="428" t="n"/>
      <c r="BM31" s="420" t="n"/>
      <c r="BN31" s="420" t="n"/>
      <c r="BO31" s="420" t="n"/>
      <c r="BP31" s="432" t="n"/>
      <c r="BQ31" s="405" t="n"/>
      <c r="BR31" s="405" t="n"/>
      <c r="BS31" s="428" t="n"/>
      <c r="BT31" s="420" t="n"/>
      <c r="BU31" s="420" t="n"/>
      <c r="BV31" s="420" t="n"/>
      <c r="BW31" s="432" t="n"/>
      <c r="BX31" s="405" t="n"/>
      <c r="BY31" s="407" t="inlineStr">
        <is>
          <t>NI</t>
        </is>
      </c>
      <c r="BZ31" s="407" t="inlineStr">
        <is>
          <t>NI</t>
        </is>
      </c>
      <c r="CA31" s="407" t="inlineStr">
        <is>
          <t>NI</t>
        </is>
      </c>
      <c r="CB31" s="407" t="inlineStr">
        <is>
          <t>NI</t>
        </is>
      </c>
      <c r="CC31" s="407" t="inlineStr">
        <is>
          <t>NI</t>
        </is>
      </c>
      <c r="CD31" s="413" t="inlineStr">
        <is>
          <t>NST</t>
        </is>
      </c>
      <c r="CE31" s="405" t="n"/>
      <c r="CF31" s="405" t="n"/>
      <c r="CG31" s="428" t="n"/>
      <c r="CH31" s="420" t="n"/>
      <c r="CI31" s="420" t="n"/>
      <c r="CJ31" s="420" t="n"/>
      <c r="CK31" s="432" t="n"/>
      <c r="CL31" s="405" t="n"/>
      <c r="CM31" s="405" t="n"/>
      <c r="CN31" s="428" t="n"/>
      <c r="CO31" s="417" t="inlineStr">
        <is>
          <t>Fobi</t>
        </is>
      </c>
      <c r="CP31" s="417" t="inlineStr">
        <is>
          <t>Fobi</t>
        </is>
      </c>
      <c r="CQ31" s="417" t="inlineStr">
        <is>
          <t>Fobi</t>
        </is>
      </c>
      <c r="CR31" s="432" t="n"/>
      <c r="CS31" s="430" t="n"/>
      <c r="CT31" s="405" t="n"/>
      <c r="CU31" s="428" t="n"/>
      <c r="CV31" s="420" t="n"/>
      <c r="CW31" s="420" t="n"/>
      <c r="CX31" s="420" t="n"/>
      <c r="CY31" s="432" t="n"/>
      <c r="CZ31" s="405" t="n"/>
      <c r="DA31" s="407" t="inlineStr">
        <is>
          <t>NI</t>
        </is>
      </c>
      <c r="DB31" s="407" t="inlineStr">
        <is>
          <t>NI</t>
        </is>
      </c>
      <c r="DC31" s="407" t="inlineStr">
        <is>
          <t>NI</t>
        </is>
      </c>
      <c r="DD31" s="407" t="inlineStr">
        <is>
          <t>NI</t>
        </is>
      </c>
      <c r="DE31" s="407" t="inlineStr">
        <is>
          <t>NI</t>
        </is>
      </c>
      <c r="DF31" s="413" t="inlineStr">
        <is>
          <t>NST</t>
        </is>
      </c>
      <c r="DG31" s="405" t="n"/>
      <c r="DH31" s="405" t="n"/>
      <c r="DI31" s="428" t="n"/>
      <c r="DJ31" s="420" t="n"/>
      <c r="DK31" s="420" t="n"/>
      <c r="DL31" s="420" t="n"/>
      <c r="DM31" s="432" t="n"/>
      <c r="DN31" s="405" t="n"/>
      <c r="DO31" s="405" t="n"/>
      <c r="DP31" s="428" t="n"/>
      <c r="DQ31" s="420" t="n"/>
      <c r="DR31" s="420" t="n"/>
      <c r="DS31" s="420" t="n"/>
      <c r="DT31" s="432" t="n"/>
      <c r="DU31" s="405" t="n"/>
      <c r="DV31" s="430" t="n"/>
      <c r="DW31" s="428" t="n"/>
      <c r="DX31" s="426" t="n"/>
      <c r="DY31" s="420" t="n"/>
      <c r="DZ31" s="420" t="n"/>
      <c r="EA31" s="432" t="n"/>
      <c r="EB31" s="405" t="n"/>
      <c r="EC31" s="405" t="n"/>
      <c r="ED31" s="428" t="n"/>
      <c r="EE31" s="442" t="n"/>
      <c r="EF31" s="420" t="n"/>
      <c r="EG31" s="420" t="n"/>
      <c r="EH31" s="432" t="n"/>
      <c r="EI31" s="405" t="n"/>
      <c r="EJ31" s="405" t="n"/>
      <c r="EK31" s="428" t="n"/>
      <c r="EL31" s="420" t="n"/>
      <c r="EM31" s="420" t="n"/>
      <c r="EN31" s="420" t="n"/>
      <c r="EO31" s="432" t="n"/>
      <c r="EP31" s="405" t="n"/>
      <c r="EQ31" s="407" t="inlineStr">
        <is>
          <t>NI</t>
        </is>
      </c>
      <c r="ER31" s="407" t="inlineStr">
        <is>
          <t>NI</t>
        </is>
      </c>
      <c r="ES31" s="407" t="inlineStr">
        <is>
          <t>NI</t>
        </is>
      </c>
      <c r="ET31" s="407" t="inlineStr">
        <is>
          <t>NI</t>
        </is>
      </c>
      <c r="EU31" s="407" t="inlineStr">
        <is>
          <t>NI</t>
        </is>
      </c>
      <c r="EV31" s="413" t="inlineStr">
        <is>
          <t>NST</t>
        </is>
      </c>
      <c r="EW31" s="405" t="n"/>
      <c r="EX31" s="405" t="n"/>
      <c r="EY31" s="428" t="n"/>
      <c r="EZ31" s="428" t="n"/>
      <c r="FA31" s="420" t="n"/>
      <c r="FB31" s="420" t="n"/>
      <c r="FC31" s="432" t="n"/>
      <c r="FD31" s="405" t="n"/>
      <c r="FE31" s="405" t="n"/>
      <c r="FF31" s="428" t="n"/>
      <c r="FG31" s="420" t="n"/>
      <c r="FH31" s="420" t="n"/>
      <c r="FI31" s="420" t="n"/>
      <c r="FJ31" s="432" t="n"/>
      <c r="FK31" s="405" t="n"/>
      <c r="FL31" s="405" t="n"/>
      <c r="FM31" s="428" t="n"/>
      <c r="FN31" s="420" t="n"/>
      <c r="FO31" s="420" t="n"/>
      <c r="FP31" s="420" t="n"/>
      <c r="FQ31" s="432" t="n"/>
      <c r="FR31" s="405" t="n"/>
      <c r="FS31" s="405" t="n"/>
      <c r="FT31" s="428" t="n"/>
      <c r="FU31" s="431" t="n"/>
      <c r="FV31" s="431" t="n"/>
      <c r="FW31" s="429" t="n"/>
      <c r="FX31" s="430" t="n"/>
      <c r="FY31" s="430" t="n"/>
      <c r="FZ31" s="405" t="n"/>
      <c r="GA31" s="428" t="n"/>
      <c r="GB31" s="431" t="n"/>
      <c r="GC31" s="431" t="n"/>
      <c r="GD31" s="429" t="n"/>
      <c r="GE31" s="429" t="n"/>
      <c r="GF31" s="455" t="n"/>
      <c r="GG31" s="429" t="n"/>
      <c r="GH31" s="429" t="n"/>
      <c r="GI31" s="429" t="n"/>
      <c r="GJ31" s="429" t="n"/>
      <c r="GK31" s="429" t="n"/>
      <c r="GL31" s="429" t="n"/>
      <c r="GM31" s="429" t="n"/>
      <c r="GN31" s="429" t="n"/>
      <c r="GO31" s="429" t="n"/>
      <c r="GP31" s="429" t="n"/>
      <c r="GQ31" s="429" t="n"/>
      <c r="GR31" s="429" t="n"/>
      <c r="GS31" s="429" t="n"/>
      <c r="GT31" s="429" t="n"/>
      <c r="GU31" s="429" t="n"/>
      <c r="GV31" s="429" t="n"/>
      <c r="GW31" s="429" t="n"/>
      <c r="GX31" s="429" t="n"/>
      <c r="GY31" s="429" t="n"/>
      <c r="GZ31" s="429" t="n"/>
      <c r="HA31" s="429" t="n"/>
      <c r="HB31" s="429" t="n"/>
      <c r="HC31" s="429" t="n"/>
      <c r="HD31" s="429" t="n"/>
      <c r="HE31" s="429" t="n"/>
      <c r="HF31" s="429" t="n"/>
      <c r="HG31" s="429" t="n"/>
      <c r="HH31" s="429" t="n"/>
      <c r="HI31" s="429" t="n"/>
      <c r="HJ31" s="429" t="n"/>
      <c r="HK31" s="429" t="n"/>
      <c r="HL31" s="429" t="n"/>
      <c r="HM31" s="429" t="n"/>
      <c r="HN31" s="429" t="n"/>
      <c r="HO31" s="429" t="n"/>
      <c r="HP31" s="429" t="n"/>
      <c r="HQ31" s="429" t="n"/>
      <c r="HR31" s="429" t="n"/>
      <c r="HS31" s="429" t="n"/>
      <c r="HT31" s="429" t="n"/>
      <c r="HU31" s="429" t="n"/>
      <c r="HV31" s="429" t="n"/>
      <c r="HW31" s="429" t="n"/>
      <c r="HX31" s="429" t="n"/>
      <c r="HY31" s="429" t="n"/>
      <c r="HZ31" s="429" t="n"/>
      <c r="IA31" s="429" t="n"/>
      <c r="IB31" s="429" t="n"/>
      <c r="IC31" s="429" t="n"/>
      <c r="ID31" s="429" t="n"/>
      <c r="IE31" s="429" t="n"/>
      <c r="IF31" s="429" t="n"/>
      <c r="IG31" s="429" t="n"/>
      <c r="IH31" s="429" t="n"/>
      <c r="II31" s="429" t="n"/>
      <c r="IJ31" s="429" t="n"/>
      <c r="IK31" s="429" t="n"/>
      <c r="IL31" s="429" t="n"/>
      <c r="IM31" s="429" t="n"/>
      <c r="IN31" s="429" t="n"/>
      <c r="IO31" s="429" t="n"/>
      <c r="IP31" s="429" t="n"/>
      <c r="IQ31" s="429" t="n"/>
      <c r="IR31" s="429" t="n"/>
      <c r="IS31" s="429" t="n"/>
      <c r="IT31" s="429" t="n"/>
      <c r="IU31" s="429" t="n"/>
      <c r="IV31" s="429" t="n"/>
      <c r="IW31" s="429" t="n"/>
      <c r="IX31" s="429" t="n"/>
      <c r="IY31" s="429" t="n"/>
      <c r="IZ31" s="429" t="n"/>
      <c r="JA31" s="429" t="n"/>
      <c r="JB31" s="429" t="n"/>
      <c r="JC31" s="429" t="n"/>
      <c r="JD31" s="429" t="n"/>
      <c r="JE31" s="429" t="n"/>
      <c r="JF31" s="429" t="n"/>
      <c r="JG31" s="429" t="n"/>
      <c r="JH31" s="429" t="n"/>
      <c r="JI31" s="429" t="n"/>
      <c r="JJ31" s="429" t="n"/>
      <c r="JK31" s="429" t="n"/>
      <c r="JL31" s="429" t="n"/>
      <c r="JM31" s="429" t="n"/>
      <c r="JN31" s="429" t="n"/>
      <c r="JO31" s="429" t="n"/>
      <c r="JP31" s="429" t="n"/>
      <c r="JQ31" s="429" t="n"/>
      <c r="JR31" s="429" t="n"/>
      <c r="JS31" s="429" t="n"/>
      <c r="JT31" s="429" t="n"/>
      <c r="JU31" s="429" t="n"/>
      <c r="JV31" s="429" t="n"/>
      <c r="JW31" s="429" t="n"/>
      <c r="JX31" s="429" t="n"/>
      <c r="JY31" s="429" t="n"/>
      <c r="JZ31" s="429" t="n"/>
      <c r="KA31" s="429" t="n"/>
      <c r="KB31" s="429" t="n"/>
      <c r="KC31" s="429" t="n"/>
      <c r="KD31" s="429" t="n"/>
      <c r="KE31" s="429" t="n"/>
      <c r="KF31" s="429" t="n"/>
      <c r="KG31" s="429" t="n"/>
      <c r="KH31" s="429" t="n"/>
      <c r="KI31" s="429" t="n"/>
      <c r="KJ31" s="429" t="n"/>
      <c r="KK31" s="429" t="n"/>
      <c r="KL31" s="429" t="n"/>
      <c r="KM31" s="429" t="n"/>
      <c r="KN31" s="429" t="n"/>
      <c r="KO31" s="429" t="n"/>
      <c r="KP31" s="429" t="n"/>
    </row>
    <row r="32" ht="26" customHeight="1" thickBot="1">
      <c r="B32" s="402" t="inlineStr">
        <is>
          <t>Krempl</t>
        </is>
      </c>
      <c r="C32" s="428" t="n"/>
      <c r="D32" s="421" t="n"/>
      <c r="E32" s="421" t="n"/>
      <c r="F32" s="405" t="n"/>
      <c r="G32" s="405" t="n"/>
      <c r="H32" s="428" t="n"/>
      <c r="I32" s="422" t="n"/>
      <c r="J32" s="422" t="n"/>
      <c r="K32" s="417" t="inlineStr">
        <is>
          <t>Fobi</t>
        </is>
      </c>
      <c r="L32" s="408" t="inlineStr">
        <is>
          <t>GT</t>
        </is>
      </c>
      <c r="M32" s="405" t="n"/>
      <c r="N32" s="405" t="n"/>
      <c r="O32" s="428" t="n"/>
      <c r="P32" s="422" t="n"/>
      <c r="Q32" s="422" t="n"/>
      <c r="R32" s="421" t="n"/>
      <c r="S32" s="421" t="n"/>
      <c r="T32" s="405" t="n"/>
      <c r="U32" s="405" t="n"/>
      <c r="V32" s="428" t="n"/>
      <c r="W32" s="422" t="n"/>
      <c r="X32" s="422" t="n"/>
      <c r="Y32" s="421" t="n"/>
      <c r="Z32" s="421" t="n"/>
      <c r="AA32" s="405" t="n"/>
      <c r="AB32" s="405" t="n"/>
      <c r="AC32" s="428" t="n"/>
      <c r="AD32" s="428" t="n"/>
      <c r="AE32" s="420" t="n"/>
      <c r="AF32" s="448" t="n"/>
      <c r="AG32" s="405" t="n"/>
      <c r="AH32" s="405" t="n"/>
      <c r="AI32" s="405" t="n"/>
      <c r="AJ32" s="423" t="inlineStr">
        <is>
          <t>U</t>
        </is>
      </c>
      <c r="AK32" s="423" t="inlineStr">
        <is>
          <t>U</t>
        </is>
      </c>
      <c r="AL32" s="423" t="inlineStr">
        <is>
          <t>U</t>
        </is>
      </c>
      <c r="AM32" s="423" t="inlineStr">
        <is>
          <t>U</t>
        </is>
      </c>
      <c r="AN32" s="423" t="inlineStr">
        <is>
          <t>U</t>
        </is>
      </c>
      <c r="AO32" s="405" t="n"/>
      <c r="AP32" s="405" t="n"/>
      <c r="AQ32" s="423" t="inlineStr">
        <is>
          <t>U</t>
        </is>
      </c>
      <c r="AR32" s="423" t="inlineStr">
        <is>
          <t>U</t>
        </is>
      </c>
      <c r="AS32" s="423" t="inlineStr">
        <is>
          <t>U</t>
        </is>
      </c>
      <c r="AT32" s="423" t="inlineStr">
        <is>
          <t>U</t>
        </is>
      </c>
      <c r="AU32" s="423" t="inlineStr">
        <is>
          <t>U</t>
        </is>
      </c>
      <c r="AV32" s="405" t="n"/>
      <c r="AW32" s="405" t="n"/>
      <c r="AX32" s="423" t="inlineStr">
        <is>
          <t>U</t>
        </is>
      </c>
      <c r="AY32" s="423" t="inlineStr">
        <is>
          <t>U</t>
        </is>
      </c>
      <c r="AZ32" s="423" t="inlineStr">
        <is>
          <t>U</t>
        </is>
      </c>
      <c r="BA32" s="423" t="inlineStr">
        <is>
          <t>U</t>
        </is>
      </c>
      <c r="BB32" s="423" t="inlineStr">
        <is>
          <t>U</t>
        </is>
      </c>
      <c r="BC32" s="405" t="n"/>
      <c r="BD32" s="405" t="n"/>
      <c r="BE32" s="428" t="n"/>
      <c r="BF32" s="420" t="n"/>
      <c r="BG32" s="428" t="n"/>
      <c r="BH32" s="405" t="n"/>
      <c r="BI32" s="432" t="n"/>
      <c r="BJ32" s="405" t="n"/>
      <c r="BK32" s="405" t="n"/>
      <c r="BL32" s="428" t="n"/>
      <c r="BM32" s="420" t="n"/>
      <c r="BN32" s="420" t="n"/>
      <c r="BO32" s="428" t="n"/>
      <c r="BP32" s="405" t="n"/>
      <c r="BQ32" s="405" t="n"/>
      <c r="BR32" s="405" t="n"/>
      <c r="BS32" s="428" t="n"/>
      <c r="BT32" s="420" t="n"/>
      <c r="BU32" s="428" t="n"/>
      <c r="BV32" s="428" t="n"/>
      <c r="BW32" s="432" t="n"/>
      <c r="BX32" s="405" t="n"/>
      <c r="BY32" s="405" t="n"/>
      <c r="BZ32" s="428" t="n"/>
      <c r="CA32" s="420" t="n"/>
      <c r="CB32" s="420" t="n"/>
      <c r="CC32" s="428" t="n"/>
      <c r="CD32" s="405" t="n"/>
      <c r="CE32" s="405" t="n"/>
      <c r="CF32" s="405" t="n"/>
      <c r="CG32" s="428" t="n"/>
      <c r="CH32" s="420" t="n"/>
      <c r="CI32" s="420" t="n"/>
      <c r="CJ32" s="428" t="n"/>
      <c r="CK32" s="405" t="n"/>
      <c r="CL32" s="405" t="n"/>
      <c r="CM32" s="405" t="n"/>
      <c r="CN32" s="428" t="n"/>
      <c r="CO32" s="428" t="n"/>
      <c r="CP32" s="420" t="n"/>
      <c r="CQ32" s="426" t="n"/>
      <c r="CR32" s="405" t="n"/>
      <c r="CS32" s="430" t="n"/>
      <c r="CT32" s="405" t="n"/>
      <c r="CU32" s="428" t="n"/>
      <c r="CV32" s="420" t="n"/>
      <c r="CW32" s="428" t="n"/>
      <c r="CX32" s="428" t="n"/>
      <c r="CY32" s="432" t="n"/>
      <c r="CZ32" s="405" t="n"/>
      <c r="DA32" s="405" t="n"/>
      <c r="DB32" s="428" t="n"/>
      <c r="DC32" s="428" t="n"/>
      <c r="DD32" s="428" t="n"/>
      <c r="DE32" s="428" t="n"/>
      <c r="DF32" s="405" t="n"/>
      <c r="DG32" s="405" t="n"/>
      <c r="DH32" s="405" t="n"/>
      <c r="DI32" s="428" t="n"/>
      <c r="DJ32" s="431" t="n"/>
      <c r="DK32" s="431" t="n"/>
      <c r="DL32" s="431" t="n"/>
      <c r="DM32" s="440" t="n"/>
      <c r="DN32" s="405" t="n"/>
      <c r="DO32" s="405" t="n"/>
      <c r="DP32" s="428" t="n"/>
      <c r="DQ32" s="431" t="n"/>
      <c r="DR32" s="426" t="n"/>
      <c r="DS32" s="420" t="n"/>
      <c r="DT32" s="432" t="n"/>
      <c r="DU32" s="405" t="n"/>
      <c r="DV32" s="430" t="n"/>
      <c r="DW32" s="428" t="n"/>
      <c r="DX32" s="420" t="n"/>
      <c r="DY32" s="420" t="n"/>
      <c r="DZ32" s="428" t="n"/>
      <c r="EA32" s="432" t="n"/>
      <c r="EB32" s="405" t="n"/>
      <c r="EC32" s="405" t="n"/>
      <c r="ED32" s="428" t="n"/>
      <c r="EE32" s="442" t="n"/>
      <c r="EF32" s="420" t="n"/>
      <c r="EG32" s="426" t="n"/>
      <c r="EH32" s="432" t="n"/>
      <c r="EI32" s="405" t="n"/>
      <c r="EJ32" s="405" t="n"/>
      <c r="EK32" s="428" t="n"/>
      <c r="EL32" s="420" t="n"/>
      <c r="EM32" s="420" t="n"/>
      <c r="EN32" s="426" t="n"/>
      <c r="EO32" s="405" t="n"/>
      <c r="EP32" s="405" t="n"/>
      <c r="EQ32" s="405" t="n"/>
      <c r="ER32" s="428" t="n"/>
      <c r="ES32" s="420" t="n"/>
      <c r="ET32" s="420" t="n"/>
      <c r="EU32" s="428" t="n"/>
      <c r="EV32" s="405" t="n"/>
      <c r="EW32" s="405" t="n"/>
      <c r="EX32" s="405" t="n"/>
      <c r="EY32" s="428" t="n"/>
      <c r="EZ32" s="420" t="n"/>
      <c r="FA32" s="420" t="n"/>
      <c r="FB32" s="417" t="inlineStr">
        <is>
          <t>Fobi</t>
        </is>
      </c>
      <c r="FC32" s="405" t="n"/>
      <c r="FD32" s="405" t="n"/>
      <c r="FE32" s="405" t="n"/>
      <c r="FF32" s="428" t="n"/>
      <c r="FG32" s="420" t="n"/>
      <c r="FH32" s="420" t="n"/>
      <c r="FI32" s="428" t="n"/>
      <c r="FJ32" s="432" t="n"/>
      <c r="FK32" s="405" t="n"/>
      <c r="FL32" s="405" t="n"/>
      <c r="FM32" s="428" t="n"/>
      <c r="FN32" s="431" t="n"/>
      <c r="FO32" s="431" t="n"/>
      <c r="FP32" s="431" t="n"/>
      <c r="FQ32" s="432" t="n"/>
      <c r="FR32" s="405" t="n"/>
      <c r="FS32" s="405" t="n"/>
      <c r="FT32" s="423" t="inlineStr">
        <is>
          <t>U</t>
        </is>
      </c>
      <c r="FU32" s="423" t="inlineStr">
        <is>
          <t>U</t>
        </is>
      </c>
      <c r="FV32" s="423" t="inlineStr">
        <is>
          <t>U</t>
        </is>
      </c>
      <c r="FW32" s="429" t="n"/>
      <c r="FX32" s="430" t="n"/>
      <c r="FY32" s="430" t="n"/>
      <c r="FZ32" s="405" t="n"/>
      <c r="GA32" s="423" t="inlineStr">
        <is>
          <t>U</t>
        </is>
      </c>
      <c r="GB32" s="423" t="inlineStr">
        <is>
          <t>U</t>
        </is>
      </c>
      <c r="GC32" s="423" t="inlineStr">
        <is>
          <t>U</t>
        </is>
      </c>
      <c r="GD32" s="429" t="n"/>
      <c r="GE32" s="429" t="n"/>
      <c r="GF32" s="455" t="n"/>
      <c r="GG32" s="422" t="n"/>
      <c r="GH32" s="429" t="n"/>
      <c r="GI32" s="429" t="n"/>
      <c r="GJ32" s="429" t="n"/>
      <c r="GK32" s="429" t="n"/>
      <c r="GL32" s="429" t="n"/>
      <c r="GM32" s="429" t="n"/>
      <c r="GN32" s="429" t="n"/>
      <c r="GO32" s="429" t="n"/>
      <c r="GP32" s="429" t="n"/>
      <c r="GQ32" s="429" t="n"/>
      <c r="GR32" s="429" t="n"/>
      <c r="GS32" s="429" t="n"/>
      <c r="GT32" s="429" t="n"/>
      <c r="GU32" s="429" t="n"/>
      <c r="GV32" s="429" t="n"/>
      <c r="GW32" s="429" t="n"/>
      <c r="GX32" s="429" t="n"/>
      <c r="GY32" s="429" t="n"/>
      <c r="GZ32" s="429" t="n"/>
      <c r="HA32" s="429" t="n"/>
      <c r="HB32" s="429" t="n"/>
      <c r="HC32" s="429" t="n"/>
      <c r="HD32" s="429" t="n"/>
      <c r="HE32" s="429" t="n"/>
      <c r="HF32" s="429" t="n"/>
      <c r="HG32" s="429" t="n"/>
      <c r="HH32" s="429" t="n"/>
      <c r="HI32" s="429" t="n"/>
      <c r="HJ32" s="429" t="n"/>
      <c r="HK32" s="429" t="n"/>
      <c r="HL32" s="429" t="n"/>
      <c r="HM32" s="429" t="n"/>
      <c r="HN32" s="429" t="n"/>
      <c r="HO32" s="429" t="n"/>
      <c r="HP32" s="429" t="n"/>
      <c r="HQ32" s="429" t="n"/>
      <c r="HR32" s="429" t="n"/>
      <c r="HS32" s="429" t="n"/>
      <c r="HT32" s="429" t="n"/>
      <c r="HU32" s="429" t="n"/>
      <c r="HV32" s="429" t="n"/>
      <c r="HW32" s="429" t="n"/>
      <c r="HX32" s="429" t="n"/>
      <c r="HY32" s="429" t="n"/>
      <c r="HZ32" s="429" t="n"/>
      <c r="IA32" s="429" t="n"/>
      <c r="IB32" s="429" t="n"/>
      <c r="IC32" s="429" t="n"/>
      <c r="ID32" s="429" t="n"/>
      <c r="IE32" s="429" t="n"/>
      <c r="IF32" s="429" t="n"/>
      <c r="IG32" s="429" t="n"/>
      <c r="IH32" s="429" t="n"/>
      <c r="II32" s="429" t="n"/>
      <c r="IJ32" s="429" t="n"/>
      <c r="IK32" s="429" t="n"/>
      <c r="IL32" s="429" t="n"/>
      <c r="IM32" s="429" t="n"/>
      <c r="IN32" s="429" t="n"/>
      <c r="IO32" s="429" t="n"/>
      <c r="IP32" s="429" t="n"/>
      <c r="IQ32" s="429" t="n"/>
      <c r="IR32" s="429" t="n"/>
      <c r="IS32" s="429" t="n"/>
      <c r="IT32" s="429" t="n"/>
      <c r="IU32" s="429" t="n"/>
      <c r="IV32" s="429" t="n"/>
      <c r="IW32" s="429" t="n"/>
      <c r="IX32" s="429" t="n"/>
      <c r="IY32" s="429" t="n"/>
      <c r="IZ32" s="429" t="n"/>
      <c r="JA32" s="429" t="n"/>
      <c r="JB32" s="429" t="n"/>
      <c r="JC32" s="429" t="n"/>
      <c r="JD32" s="429" t="n"/>
      <c r="JE32" s="429" t="n"/>
      <c r="JF32" s="429" t="n"/>
      <c r="JG32" s="429" t="n"/>
      <c r="JH32" s="429" t="n"/>
      <c r="JI32" s="429" t="n"/>
      <c r="JJ32" s="429" t="n"/>
      <c r="JK32" s="429" t="n"/>
      <c r="JL32" s="429" t="n"/>
      <c r="JM32" s="429" t="n"/>
      <c r="JN32" s="429" t="n"/>
      <c r="JO32" s="429" t="n"/>
      <c r="JP32" s="429" t="n"/>
      <c r="JQ32" s="429" t="n"/>
      <c r="JR32" s="429" t="n"/>
      <c r="JS32" s="429" t="n"/>
      <c r="JT32" s="429" t="n"/>
      <c r="JU32" s="429" t="n"/>
      <c r="JV32" s="429" t="n"/>
      <c r="JW32" s="429" t="n"/>
      <c r="JX32" s="429" t="n"/>
      <c r="JY32" s="429" t="n"/>
      <c r="JZ32" s="429" t="n"/>
      <c r="KA32" s="429" t="n"/>
      <c r="KB32" s="429" t="n"/>
      <c r="KC32" s="429" t="n"/>
      <c r="KD32" s="429" t="n"/>
      <c r="KE32" s="429" t="n"/>
      <c r="KF32" s="429" t="n"/>
      <c r="KG32" s="429" t="n"/>
      <c r="KH32" s="429" t="n"/>
      <c r="KI32" s="429" t="n"/>
      <c r="KJ32" s="429" t="n"/>
      <c r="KK32" s="429" t="n"/>
      <c r="KL32" s="429" t="n"/>
      <c r="KM32" s="429" t="n"/>
      <c r="KN32" s="429" t="n"/>
      <c r="KO32" s="429" t="n"/>
      <c r="KP32" s="429" t="n"/>
    </row>
    <row r="33" ht="26" customHeight="1" thickBot="1">
      <c r="B33" s="402" t="inlineStr">
        <is>
          <t>Putschler</t>
        </is>
      </c>
      <c r="C33" s="420" t="n"/>
      <c r="D33" s="432" t="n"/>
      <c r="E33" s="432" t="n"/>
      <c r="F33" s="405" t="n"/>
      <c r="G33" s="405" t="n"/>
      <c r="H33" s="428" t="n"/>
      <c r="I33" s="420" t="n"/>
      <c r="J33" s="449" t="inlineStr">
        <is>
          <t>KT</t>
        </is>
      </c>
      <c r="K33" s="432" t="n"/>
      <c r="L33" s="432" t="n"/>
      <c r="M33" s="405" t="n"/>
      <c r="N33" s="405" t="n"/>
      <c r="O33" s="428" t="n"/>
      <c r="P33" s="420" t="n"/>
      <c r="Q33" s="420" t="n"/>
      <c r="R33" s="432" t="n"/>
      <c r="S33" s="432" t="n"/>
      <c r="T33" s="405" t="n"/>
      <c r="U33" s="405" t="n"/>
      <c r="V33" s="428" t="n"/>
      <c r="W33" s="420" t="n"/>
      <c r="X33" s="420" t="n"/>
      <c r="Y33" s="432" t="n"/>
      <c r="Z33" s="432" t="n"/>
      <c r="AA33" s="405" t="n"/>
      <c r="AB33" s="405" t="n"/>
      <c r="AC33" s="428" t="n"/>
      <c r="AD33" s="425" t="n"/>
      <c r="AE33" s="425" t="n"/>
      <c r="AF33" s="440" t="n"/>
      <c r="AG33" s="440" t="n"/>
      <c r="AH33" s="405" t="n"/>
      <c r="AI33" s="405" t="n"/>
      <c r="AJ33" s="428" t="n"/>
      <c r="AK33" s="420" t="n"/>
      <c r="AL33" s="425" t="n"/>
      <c r="AM33" s="448" t="n"/>
      <c r="AN33" s="448" t="n"/>
      <c r="AO33" s="405" t="n"/>
      <c r="AP33" s="405" t="n"/>
      <c r="AQ33" s="423" t="inlineStr">
        <is>
          <t>U</t>
        </is>
      </c>
      <c r="AR33" s="423" t="inlineStr">
        <is>
          <t>U</t>
        </is>
      </c>
      <c r="AS33" s="423" t="inlineStr">
        <is>
          <t>U</t>
        </is>
      </c>
      <c r="AT33" s="423" t="inlineStr">
        <is>
          <t>U</t>
        </is>
      </c>
      <c r="AU33" s="423" t="inlineStr">
        <is>
          <t>U</t>
        </is>
      </c>
      <c r="AV33" s="405" t="n"/>
      <c r="AW33" s="405" t="n"/>
      <c r="AX33" s="428" t="n"/>
      <c r="AY33" s="420" t="n"/>
      <c r="AZ33" s="420" t="n"/>
      <c r="BA33" s="432" t="n"/>
      <c r="BB33" s="432" t="n"/>
      <c r="BC33" s="405" t="n"/>
      <c r="BD33" s="405" t="n"/>
      <c r="BE33" s="428" t="n"/>
      <c r="BF33" s="420" t="n"/>
      <c r="BG33" s="420" t="n"/>
      <c r="BH33" s="432" t="n"/>
      <c r="BI33" s="408" t="inlineStr">
        <is>
          <t>GT</t>
        </is>
      </c>
      <c r="BJ33" s="405" t="n"/>
      <c r="BK33" s="405" t="n"/>
      <c r="BL33" s="428" t="n"/>
      <c r="BM33" s="420" t="n"/>
      <c r="BN33" s="420" t="n"/>
      <c r="BO33" s="420" t="n"/>
      <c r="BP33" s="424" t="n"/>
      <c r="BQ33" s="405" t="n"/>
      <c r="BR33" s="405" t="n"/>
      <c r="BS33" s="428" t="n"/>
      <c r="BT33" s="431" t="n"/>
      <c r="BU33" s="431" t="n"/>
      <c r="BV33" s="431" t="n"/>
      <c r="BW33" s="440" t="n"/>
      <c r="BX33" s="405" t="n"/>
      <c r="BY33" s="405" t="n"/>
      <c r="BZ33" s="428" t="n"/>
      <c r="CA33" s="431" t="n"/>
      <c r="CB33" s="431" t="n"/>
      <c r="CC33" s="431" t="n"/>
      <c r="CD33" s="440" t="n"/>
      <c r="CE33" s="405" t="n"/>
      <c r="CF33" s="405" t="n"/>
      <c r="CG33" s="423" t="inlineStr">
        <is>
          <t>U</t>
        </is>
      </c>
      <c r="CH33" s="423" t="inlineStr">
        <is>
          <t>U</t>
        </is>
      </c>
      <c r="CI33" s="423" t="inlineStr">
        <is>
          <t>U</t>
        </is>
      </c>
      <c r="CJ33" s="423" t="inlineStr">
        <is>
          <t>U</t>
        </is>
      </c>
      <c r="CK33" s="423" t="inlineStr">
        <is>
          <t>U</t>
        </is>
      </c>
      <c r="CL33" s="405" t="n"/>
      <c r="CM33" s="405" t="n"/>
      <c r="CN33" s="428" t="n"/>
      <c r="CO33" s="420" t="n"/>
      <c r="CP33" s="420" t="n"/>
      <c r="CQ33" s="420" t="n"/>
      <c r="CR33" s="405" t="n"/>
      <c r="CS33" s="430" t="n"/>
      <c r="CT33" s="405" t="n"/>
      <c r="CU33" s="423" t="inlineStr">
        <is>
          <t>U</t>
        </is>
      </c>
      <c r="CV33" s="423" t="inlineStr">
        <is>
          <t>U</t>
        </is>
      </c>
      <c r="CW33" s="423" t="inlineStr">
        <is>
          <t>U</t>
        </is>
      </c>
      <c r="CX33" s="423" t="inlineStr">
        <is>
          <t>U</t>
        </is>
      </c>
      <c r="CY33" s="423" t="inlineStr">
        <is>
          <t>U</t>
        </is>
      </c>
      <c r="CZ33" s="405" t="n"/>
      <c r="DA33" s="405" t="n"/>
      <c r="DB33" s="428" t="n"/>
      <c r="DC33" s="428" t="n"/>
      <c r="DD33" s="428" t="n"/>
      <c r="DE33" s="428" t="n"/>
      <c r="DF33" s="405" t="n"/>
      <c r="DG33" s="405" t="n"/>
      <c r="DH33" s="405" t="n"/>
      <c r="DI33" s="428" t="n"/>
      <c r="DJ33" s="420" t="n"/>
      <c r="DK33" s="420" t="n"/>
      <c r="DL33" s="420" t="n"/>
      <c r="DM33" s="432" t="n"/>
      <c r="DN33" s="405" t="n"/>
      <c r="DO33" s="405" t="n"/>
      <c r="DP33" s="428" t="n"/>
      <c r="DQ33" s="420" t="n"/>
      <c r="DR33" s="420" t="n"/>
      <c r="DS33" s="420" t="n"/>
      <c r="DT33" s="432" t="n"/>
      <c r="DU33" s="405" t="n"/>
      <c r="DV33" s="430" t="n"/>
      <c r="DW33" s="428" t="n"/>
      <c r="DX33" s="420" t="n"/>
      <c r="DY33" s="420" t="n"/>
      <c r="DZ33" s="420" t="n"/>
      <c r="EA33" s="432" t="n"/>
      <c r="EB33" s="405" t="n"/>
      <c r="EC33" s="405" t="n"/>
      <c r="ED33" s="428" t="n"/>
      <c r="EE33" s="420" t="n"/>
      <c r="EF33" s="420" t="n"/>
      <c r="EG33" s="426" t="n"/>
      <c r="EH33" s="432" t="n"/>
      <c r="EI33" s="405" t="n"/>
      <c r="EJ33" s="405" t="n"/>
      <c r="EK33" s="428" t="n"/>
      <c r="EL33" s="420" t="n"/>
      <c r="EM33" s="420" t="n"/>
      <c r="EN33" s="420" t="n"/>
      <c r="EO33" s="432" t="n"/>
      <c r="EP33" s="405" t="n"/>
      <c r="EQ33" s="405" t="n"/>
      <c r="ER33" s="428" t="n"/>
      <c r="ES33" s="420" t="n"/>
      <c r="ET33" s="420" t="n"/>
      <c r="EU33" s="426" t="n"/>
      <c r="EV33" s="432" t="n"/>
      <c r="EW33" s="405" t="n"/>
      <c r="EX33" s="405" t="n"/>
      <c r="EY33" s="428" t="n"/>
      <c r="EZ33" s="420" t="n"/>
      <c r="FA33" s="420" t="n"/>
      <c r="FB33" s="426" t="n"/>
      <c r="FC33" s="432" t="n"/>
      <c r="FD33" s="405" t="n"/>
      <c r="FE33" s="405" t="n"/>
      <c r="FF33" s="428" t="n"/>
      <c r="FG33" s="428" t="n"/>
      <c r="FH33" s="428" t="n"/>
      <c r="FI33" s="428" t="n"/>
      <c r="FJ33" s="440" t="n"/>
      <c r="FK33" s="405" t="n"/>
      <c r="FL33" s="405" t="n"/>
      <c r="FM33" s="428" t="n"/>
      <c r="FN33" s="431" t="n"/>
      <c r="FO33" s="431" t="n"/>
      <c r="FP33" s="431" t="n"/>
      <c r="FQ33" s="440" t="n"/>
      <c r="FR33" s="405" t="n"/>
      <c r="FS33" s="405" t="n"/>
      <c r="FT33" s="423" t="inlineStr">
        <is>
          <t>U</t>
        </is>
      </c>
      <c r="FU33" s="423" t="inlineStr">
        <is>
          <t>U</t>
        </is>
      </c>
      <c r="FV33" s="423" t="inlineStr">
        <is>
          <t>U</t>
        </is>
      </c>
      <c r="FW33" s="429" t="n"/>
      <c r="FX33" s="430" t="n"/>
      <c r="FY33" s="430" t="n"/>
      <c r="FZ33" s="405" t="n"/>
      <c r="GA33" s="423" t="inlineStr">
        <is>
          <t>U</t>
        </is>
      </c>
      <c r="GB33" s="423" t="inlineStr">
        <is>
          <t>U</t>
        </is>
      </c>
      <c r="GC33" s="423" t="inlineStr">
        <is>
          <t>U</t>
        </is>
      </c>
      <c r="GD33" s="429" t="n"/>
      <c r="GE33" s="429" t="n"/>
      <c r="GF33" s="455" t="n"/>
      <c r="GG33" s="429" t="n"/>
      <c r="GH33" s="429" t="n"/>
      <c r="GI33" s="429" t="n"/>
      <c r="GJ33" s="429" t="n"/>
      <c r="GK33" s="429" t="n"/>
      <c r="GL33" s="429" t="n"/>
      <c r="GM33" s="429" t="n"/>
      <c r="GN33" s="429" t="n"/>
      <c r="GO33" s="429" t="n"/>
      <c r="GP33" s="429" t="n"/>
      <c r="GQ33" s="429" t="n"/>
      <c r="GR33" s="429" t="n"/>
      <c r="GS33" s="429" t="n"/>
      <c r="GT33" s="429" t="n"/>
      <c r="GU33" s="429" t="n"/>
      <c r="GV33" s="429" t="n"/>
      <c r="GW33" s="429" t="n"/>
      <c r="GX33" s="429" t="n"/>
      <c r="GY33" s="429" t="n"/>
      <c r="GZ33" s="429" t="n"/>
      <c r="HA33" s="429" t="n"/>
      <c r="HB33" s="429" t="n"/>
      <c r="HC33" s="429" t="n"/>
      <c r="HD33" s="429" t="n"/>
      <c r="HE33" s="429" t="n"/>
      <c r="HF33" s="429" t="n"/>
      <c r="HG33" s="429" t="n"/>
      <c r="HH33" s="429" t="n"/>
      <c r="HI33" s="429" t="n"/>
      <c r="HJ33" s="429" t="n"/>
      <c r="HK33" s="429" t="n"/>
      <c r="HL33" s="429" t="n"/>
      <c r="HM33" s="429" t="n"/>
      <c r="HN33" s="429" t="n"/>
      <c r="HO33" s="429" t="n"/>
      <c r="HP33" s="429" t="n"/>
      <c r="HQ33" s="429" t="n"/>
      <c r="HR33" s="429" t="n"/>
      <c r="HS33" s="429" t="n"/>
      <c r="HT33" s="429" t="n"/>
      <c r="HU33" s="429" t="n"/>
      <c r="HV33" s="429" t="n"/>
      <c r="HW33" s="429" t="n"/>
      <c r="HX33" s="429" t="n"/>
      <c r="HY33" s="429" t="n"/>
      <c r="HZ33" s="429" t="n"/>
      <c r="IA33" s="429" t="n"/>
      <c r="IB33" s="429" t="n"/>
      <c r="IC33" s="429" t="n"/>
      <c r="ID33" s="429" t="n"/>
      <c r="IE33" s="429" t="n"/>
      <c r="IF33" s="429" t="n"/>
      <c r="IG33" s="429" t="n"/>
      <c r="IH33" s="429" t="n"/>
      <c r="II33" s="429" t="n"/>
      <c r="IJ33" s="429" t="n"/>
      <c r="IK33" s="429" t="n"/>
      <c r="IL33" s="429" t="n"/>
      <c r="IM33" s="429" t="n"/>
      <c r="IN33" s="429" t="n"/>
      <c r="IO33" s="429" t="n"/>
      <c r="IP33" s="429" t="n"/>
      <c r="IQ33" s="429" t="n"/>
      <c r="IR33" s="429" t="n"/>
      <c r="IS33" s="429" t="n"/>
      <c r="IT33" s="429" t="n"/>
      <c r="IU33" s="429" t="n"/>
      <c r="IV33" s="429" t="n"/>
      <c r="IW33" s="429" t="n"/>
      <c r="IX33" s="429" t="n"/>
      <c r="IY33" s="429" t="n"/>
      <c r="IZ33" s="429" t="n"/>
      <c r="JA33" s="429" t="n"/>
      <c r="JB33" s="429" t="n"/>
      <c r="JC33" s="429" t="n"/>
      <c r="JD33" s="429" t="n"/>
      <c r="JE33" s="429" t="n"/>
      <c r="JF33" s="429" t="n"/>
      <c r="JG33" s="429" t="n"/>
      <c r="JH33" s="429" t="n"/>
      <c r="JI33" s="429" t="n"/>
      <c r="JJ33" s="429" t="n"/>
      <c r="JK33" s="429" t="n"/>
      <c r="JL33" s="429" t="n"/>
      <c r="JM33" s="429" t="n"/>
      <c r="JN33" s="429" t="n"/>
      <c r="JO33" s="429" t="n"/>
      <c r="JP33" s="429" t="n"/>
      <c r="JQ33" s="429" t="n"/>
      <c r="JR33" s="429" t="n"/>
      <c r="JS33" s="429" t="n"/>
      <c r="JT33" s="429" t="n"/>
      <c r="JU33" s="429" t="n"/>
      <c r="JV33" s="429" t="n"/>
      <c r="JW33" s="429" t="n"/>
      <c r="JX33" s="429" t="n"/>
      <c r="JY33" s="429" t="n"/>
      <c r="JZ33" s="429" t="n"/>
      <c r="KA33" s="429" t="n"/>
      <c r="KB33" s="429" t="n"/>
      <c r="KC33" s="429" t="n"/>
      <c r="KD33" s="429" t="n"/>
      <c r="KE33" s="429" t="n"/>
      <c r="KF33" s="429" t="n"/>
      <c r="KG33" s="429" t="n"/>
      <c r="KH33" s="429" t="n"/>
      <c r="KI33" s="429" t="n"/>
      <c r="KJ33" s="429" t="n"/>
      <c r="KK33" s="429" t="n"/>
      <c r="KL33" s="429" t="n"/>
      <c r="KM33" s="429" t="n"/>
      <c r="KN33" s="429" t="n"/>
      <c r="KO33" s="429" t="n"/>
      <c r="KP33" s="429" t="n"/>
    </row>
    <row r="34" ht="26" customHeight="1" thickTop="1">
      <c r="B34" s="402" t="inlineStr">
        <is>
          <t>Kunz</t>
        </is>
      </c>
      <c r="C34" s="420" t="n"/>
      <c r="D34" s="432" t="n"/>
      <c r="E34" s="432" t="n"/>
      <c r="F34" s="405" t="n"/>
      <c r="G34" s="405" t="n"/>
      <c r="H34" s="428" t="n"/>
      <c r="I34" s="420" t="n"/>
      <c r="J34" s="420" t="n"/>
      <c r="K34" s="432" t="n"/>
      <c r="L34" s="432" t="n"/>
      <c r="M34" s="405" t="n"/>
      <c r="N34" s="405" t="n"/>
      <c r="O34" s="428" t="n"/>
      <c r="P34" s="420" t="n"/>
      <c r="Q34" s="420" t="n"/>
      <c r="R34" s="432" t="n"/>
      <c r="S34" s="432" t="n"/>
      <c r="T34" s="405" t="n"/>
      <c r="U34" s="405" t="n"/>
      <c r="V34" s="428" t="n"/>
      <c r="W34" s="420" t="n"/>
      <c r="X34" s="420" t="n"/>
      <c r="Y34" s="432" t="n"/>
      <c r="Z34" s="432" t="n"/>
      <c r="AA34" s="405" t="n"/>
      <c r="AB34" s="405" t="n"/>
      <c r="AC34" s="428" t="n"/>
      <c r="AD34" s="420" t="n"/>
      <c r="AE34" s="420" t="n"/>
      <c r="AF34" s="432" t="n"/>
      <c r="AG34" s="432" t="n"/>
      <c r="AH34" s="405" t="n"/>
      <c r="AI34" s="405" t="n"/>
      <c r="AJ34" s="428" t="n"/>
      <c r="AK34" s="420" t="n"/>
      <c r="AL34" s="420" t="n"/>
      <c r="AM34" s="432" t="n"/>
      <c r="AN34" s="432" t="n"/>
      <c r="AO34" s="405" t="n"/>
      <c r="AP34" s="405" t="n"/>
      <c r="AQ34" s="428" t="n"/>
      <c r="AR34" s="420" t="n"/>
      <c r="AS34" s="420" t="n"/>
      <c r="AT34" s="432" t="n"/>
      <c r="AU34" s="432" t="n"/>
      <c r="AV34" s="405" t="n"/>
      <c r="AW34" s="405" t="n"/>
      <c r="AX34" s="428" t="n"/>
      <c r="AY34" s="420" t="n"/>
      <c r="AZ34" s="420" t="n"/>
      <c r="BA34" s="432" t="n"/>
      <c r="BB34" s="432" t="n"/>
      <c r="BC34" s="405" t="n"/>
      <c r="BD34" s="405" t="n"/>
      <c r="BE34" s="428" t="n"/>
      <c r="BF34" s="420" t="n"/>
      <c r="BG34" s="420" t="n"/>
      <c r="BH34" s="432" t="n"/>
      <c r="BI34" s="432" t="n"/>
      <c r="BJ34" s="405" t="n"/>
      <c r="BK34" s="405" t="n"/>
      <c r="BL34" s="428" t="n"/>
      <c r="BM34" s="420" t="n"/>
      <c r="BN34" s="420" t="n"/>
      <c r="BO34" s="420" t="n"/>
      <c r="BP34" s="432" t="n"/>
      <c r="BQ34" s="405" t="n"/>
      <c r="BR34" s="405" t="n"/>
      <c r="BS34" s="428" t="n"/>
      <c r="BT34" s="420" t="n"/>
      <c r="BU34" s="420" t="n"/>
      <c r="BV34" s="420" t="n"/>
      <c r="BW34" s="432" t="n"/>
      <c r="BX34" s="405" t="n"/>
      <c r="BY34" s="405" t="n"/>
      <c r="BZ34" s="428" t="n"/>
      <c r="CA34" s="420" t="n"/>
      <c r="CB34" s="420" t="n"/>
      <c r="CC34" s="420" t="n"/>
      <c r="CD34" s="432" t="n"/>
      <c r="CE34" s="405" t="n"/>
      <c r="CF34" s="405" t="n"/>
      <c r="CG34" s="428" t="n"/>
      <c r="CH34" s="420" t="n"/>
      <c r="CI34" s="420" t="n"/>
      <c r="CJ34" s="420" t="n"/>
      <c r="CK34" s="432" t="n"/>
      <c r="CL34" s="405" t="n"/>
      <c r="CM34" s="405" t="n"/>
      <c r="CN34" s="428" t="n"/>
      <c r="CO34" s="420" t="n"/>
      <c r="CP34" s="420" t="n"/>
      <c r="CQ34" s="420" t="n"/>
      <c r="CR34" s="432" t="n"/>
      <c r="CS34" s="430" t="n"/>
      <c r="CT34" s="405" t="n"/>
      <c r="CU34" s="428" t="n"/>
      <c r="CV34" s="420" t="n"/>
      <c r="CW34" s="420" t="n"/>
      <c r="CX34" s="420" t="n"/>
      <c r="CY34" s="432" t="n"/>
      <c r="CZ34" s="405" t="n"/>
      <c r="DA34" s="405" t="n"/>
      <c r="DB34" s="428" t="n"/>
      <c r="DC34" s="420" t="n"/>
      <c r="DD34" s="420" t="n"/>
      <c r="DE34" s="420" t="n"/>
      <c r="DF34" s="432" t="n"/>
      <c r="DG34" s="405" t="n"/>
      <c r="DH34" s="405" t="n"/>
      <c r="DI34" s="428" t="n"/>
      <c r="DJ34" s="420" t="n"/>
      <c r="DK34" s="420" t="n"/>
      <c r="DL34" s="420" t="n"/>
      <c r="DM34" s="432" t="n"/>
      <c r="DN34" s="405" t="n"/>
      <c r="DO34" s="405" t="n"/>
      <c r="DP34" s="428" t="n"/>
      <c r="DQ34" s="420" t="n"/>
      <c r="DR34" s="420" t="n"/>
      <c r="DS34" s="420" t="n"/>
      <c r="DT34" s="432" t="n"/>
      <c r="DU34" s="405" t="n"/>
      <c r="DV34" s="430" t="n"/>
      <c r="DW34" s="428" t="n"/>
      <c r="DX34" s="420" t="n"/>
      <c r="DY34" s="420" t="n"/>
      <c r="DZ34" s="420" t="n"/>
      <c r="EA34" s="432" t="n"/>
      <c r="EB34" s="405" t="n"/>
      <c r="EC34" s="405" t="n"/>
      <c r="ED34" s="428" t="n"/>
      <c r="EE34" s="420" t="n"/>
      <c r="EF34" s="420" t="n"/>
      <c r="EG34" s="420" t="n"/>
      <c r="EH34" s="432" t="n"/>
      <c r="EI34" s="405" t="n"/>
      <c r="EJ34" s="405" t="n"/>
      <c r="EK34" s="428" t="n"/>
      <c r="EL34" s="420" t="n"/>
      <c r="EM34" s="420" t="n"/>
      <c r="EN34" s="420" t="n"/>
      <c r="EO34" s="432" t="n"/>
      <c r="EP34" s="405" t="n"/>
      <c r="EQ34" s="405" t="n"/>
      <c r="ER34" s="428" t="n"/>
      <c r="ES34" s="420" t="n"/>
      <c r="ET34" s="420" t="n"/>
      <c r="EU34" s="420" t="n"/>
      <c r="EV34" s="432" t="n"/>
      <c r="EW34" s="405" t="n"/>
      <c r="EX34" s="405" t="n"/>
      <c r="EY34" s="428" t="n"/>
      <c r="EZ34" s="420" t="n"/>
      <c r="FA34" s="420" t="n"/>
      <c r="FB34" s="420" t="n"/>
      <c r="FC34" s="432" t="n"/>
      <c r="FD34" s="405" t="n"/>
      <c r="FE34" s="405" t="n"/>
      <c r="FF34" s="428" t="n"/>
      <c r="FG34" s="420" t="n"/>
      <c r="FH34" s="420" t="n"/>
      <c r="FI34" s="420" t="n"/>
      <c r="FJ34" s="432" t="n"/>
      <c r="FK34" s="405" t="n"/>
      <c r="FL34" s="405" t="n"/>
      <c r="FM34" s="428" t="n"/>
      <c r="FN34" s="420" t="n"/>
      <c r="FO34" s="420" t="n"/>
      <c r="FP34" s="420" t="n"/>
      <c r="FQ34" s="432" t="n"/>
      <c r="FR34" s="405" t="n"/>
      <c r="FS34" s="405" t="n"/>
      <c r="FT34" s="428" t="n"/>
      <c r="FU34" s="420" t="n"/>
      <c r="FV34" s="420" t="n"/>
      <c r="FW34" s="429" t="n"/>
      <c r="FX34" s="430" t="n"/>
      <c r="FY34" s="430" t="n"/>
      <c r="FZ34" s="405" t="n"/>
      <c r="GA34" s="428" t="n"/>
      <c r="GB34" s="420" t="n"/>
      <c r="GC34" s="420" t="n"/>
      <c r="GD34" s="429" t="n"/>
      <c r="GE34" s="429" t="n"/>
      <c r="GF34" s="455" t="n"/>
      <c r="GG34" s="429" t="n"/>
      <c r="GH34" s="429" t="n"/>
      <c r="GI34" s="429" t="n"/>
      <c r="GJ34" s="429" t="n"/>
      <c r="GK34" s="429" t="n"/>
      <c r="GL34" s="429" t="n"/>
      <c r="GM34" s="429" t="n"/>
      <c r="GN34" s="429" t="n"/>
      <c r="GO34" s="429" t="n"/>
      <c r="GP34" s="429" t="n"/>
      <c r="GQ34" s="429" t="n"/>
      <c r="GR34" s="429" t="n"/>
      <c r="GS34" s="429" t="n"/>
      <c r="GT34" s="429" t="n"/>
      <c r="GU34" s="429" t="n"/>
      <c r="GV34" s="429" t="n"/>
      <c r="GW34" s="429" t="n"/>
      <c r="GX34" s="429" t="n"/>
      <c r="GY34" s="429" t="n"/>
      <c r="GZ34" s="429" t="n"/>
      <c r="HA34" s="429" t="n"/>
      <c r="HB34" s="429" t="n"/>
      <c r="HC34" s="429" t="n"/>
      <c r="HD34" s="429" t="n"/>
      <c r="HE34" s="429" t="n"/>
      <c r="HF34" s="429" t="n"/>
      <c r="HG34" s="429" t="n"/>
      <c r="HH34" s="429" t="n"/>
      <c r="HI34" s="429" t="n"/>
      <c r="HJ34" s="429" t="n"/>
      <c r="HK34" s="429" t="n"/>
      <c r="HL34" s="429" t="n"/>
      <c r="HM34" s="429" t="n"/>
      <c r="HN34" s="429" t="n"/>
      <c r="HO34" s="429" t="n"/>
      <c r="HP34" s="429" t="n"/>
      <c r="HQ34" s="429" t="n"/>
      <c r="HR34" s="429" t="n"/>
      <c r="HS34" s="429" t="n"/>
      <c r="HT34" s="429" t="n"/>
      <c r="HU34" s="429" t="n"/>
      <c r="HV34" s="429" t="n"/>
      <c r="HW34" s="429" t="n"/>
      <c r="HX34" s="429" t="n"/>
      <c r="HY34" s="429" t="n"/>
      <c r="HZ34" s="429" t="n"/>
      <c r="IA34" s="429" t="n"/>
      <c r="IB34" s="429" t="n"/>
      <c r="IC34" s="429" t="n"/>
      <c r="ID34" s="429" t="n"/>
      <c r="IE34" s="429" t="n"/>
      <c r="IF34" s="429" t="n"/>
      <c r="IG34" s="429" t="n"/>
      <c r="IH34" s="429" t="n"/>
      <c r="II34" s="429" t="n"/>
      <c r="IJ34" s="429" t="n"/>
      <c r="IK34" s="429" t="n"/>
      <c r="IL34" s="429" t="n"/>
      <c r="IM34" s="429" t="n"/>
      <c r="IN34" s="429" t="n"/>
      <c r="IO34" s="429" t="n"/>
      <c r="IP34" s="429" t="n"/>
      <c r="IQ34" s="429" t="n"/>
      <c r="IR34" s="429" t="n"/>
      <c r="IS34" s="429" t="n"/>
      <c r="IT34" s="429" t="n"/>
      <c r="IU34" s="429" t="n"/>
      <c r="IV34" s="429" t="n"/>
      <c r="IW34" s="429" t="n"/>
      <c r="IX34" s="429" t="n"/>
      <c r="IY34" s="429" t="n"/>
      <c r="IZ34" s="429" t="n"/>
      <c r="JA34" s="429" t="n"/>
      <c r="JB34" s="429" t="n"/>
      <c r="JC34" s="429" t="n"/>
      <c r="JD34" s="429" t="n"/>
      <c r="JE34" s="429" t="n"/>
      <c r="JF34" s="429" t="n"/>
      <c r="JG34" s="429" t="n"/>
      <c r="JH34" s="429" t="n"/>
      <c r="JI34" s="429" t="n"/>
      <c r="JJ34" s="429" t="n"/>
      <c r="JK34" s="429" t="n"/>
      <c r="JL34" s="429" t="n"/>
      <c r="JM34" s="429" t="n"/>
      <c r="JN34" s="429" t="n"/>
      <c r="JO34" s="429" t="n"/>
      <c r="JP34" s="429" t="n"/>
      <c r="JQ34" s="429" t="n"/>
      <c r="JR34" s="429" t="n"/>
      <c r="JS34" s="429" t="n"/>
      <c r="JT34" s="429" t="n"/>
      <c r="JU34" s="429" t="n"/>
      <c r="JV34" s="429" t="n"/>
      <c r="JW34" s="429" t="n"/>
      <c r="JX34" s="429" t="n"/>
      <c r="JY34" s="429" t="n"/>
      <c r="JZ34" s="429" t="n"/>
      <c r="KA34" s="429" t="n"/>
      <c r="KB34" s="429" t="n"/>
      <c r="KC34" s="429" t="n"/>
      <c r="KD34" s="429" t="n"/>
      <c r="KE34" s="429" t="n"/>
      <c r="KF34" s="429" t="n"/>
      <c r="KG34" s="429" t="n"/>
      <c r="KH34" s="429" t="n"/>
      <c r="KI34" s="429" t="n"/>
      <c r="KJ34" s="429" t="n"/>
      <c r="KK34" s="429" t="n"/>
      <c r="KL34" s="429" t="n"/>
      <c r="KM34" s="429" t="n"/>
      <c r="KN34" s="429" t="n"/>
      <c r="KO34" s="429" t="n"/>
      <c r="KP34" s="429" t="n"/>
    </row>
    <row r="35" ht="26" customHeight="1">
      <c r="B35" s="402" t="inlineStr">
        <is>
          <t>Schmidt</t>
        </is>
      </c>
      <c r="C35" s="420" t="n"/>
      <c r="D35" s="432" t="n"/>
      <c r="E35" s="432" t="n"/>
      <c r="F35" s="405" t="n"/>
      <c r="G35" s="405" t="n"/>
      <c r="H35" s="428" t="n"/>
      <c r="I35" s="420" t="n"/>
      <c r="J35" s="420" t="n"/>
      <c r="K35" s="432" t="n"/>
      <c r="L35" s="432" t="n"/>
      <c r="M35" s="405" t="n"/>
      <c r="N35" s="405" t="n"/>
      <c r="O35" s="428" t="n"/>
      <c r="P35" s="431" t="n"/>
      <c r="Q35" s="431" t="n"/>
      <c r="R35" s="440" t="n"/>
      <c r="S35" s="440" t="n"/>
      <c r="T35" s="405" t="n"/>
      <c r="U35" s="405" t="n"/>
      <c r="V35" s="423" t="inlineStr">
        <is>
          <t>U</t>
        </is>
      </c>
      <c r="W35" s="423" t="inlineStr">
        <is>
          <t>U</t>
        </is>
      </c>
      <c r="X35" s="423" t="inlineStr">
        <is>
          <t>U</t>
        </is>
      </c>
      <c r="Y35" s="423" t="inlineStr">
        <is>
          <t>U</t>
        </is>
      </c>
      <c r="Z35" s="423" t="inlineStr">
        <is>
          <t>U</t>
        </is>
      </c>
      <c r="AA35" s="405" t="n"/>
      <c r="AB35" s="405" t="n"/>
      <c r="AC35" s="423" t="inlineStr">
        <is>
          <t>U</t>
        </is>
      </c>
      <c r="AD35" s="423" t="inlineStr">
        <is>
          <t>U</t>
        </is>
      </c>
      <c r="AE35" s="420" t="n"/>
      <c r="AF35" s="432" t="n"/>
      <c r="AG35" s="432" t="n"/>
      <c r="AH35" s="405" t="n"/>
      <c r="AI35" s="405" t="n"/>
      <c r="AJ35" s="428" t="n"/>
      <c r="AK35" s="420" t="n"/>
      <c r="AL35" s="420" t="n"/>
      <c r="AM35" s="432" t="n"/>
      <c r="AN35" s="423" t="inlineStr">
        <is>
          <t>U</t>
        </is>
      </c>
      <c r="AO35" s="405" t="n"/>
      <c r="AP35" s="405" t="n"/>
      <c r="AQ35" s="423" t="inlineStr">
        <is>
          <t>U</t>
        </is>
      </c>
      <c r="AR35" s="425" t="n"/>
      <c r="AS35" s="431" t="n"/>
      <c r="AT35" s="440" t="n"/>
      <c r="AU35" s="440" t="n"/>
      <c r="AV35" s="405" t="n"/>
      <c r="AW35" s="405" t="n"/>
      <c r="AX35" s="428" t="n"/>
      <c r="AY35" s="431" t="n"/>
      <c r="AZ35" s="431" t="n"/>
      <c r="BA35" s="432" t="n"/>
      <c r="BB35" s="432" t="n"/>
      <c r="BC35" s="405" t="n"/>
      <c r="BD35" s="405" t="n"/>
      <c r="BE35" s="428" t="n"/>
      <c r="BF35" s="420" t="n"/>
      <c r="BG35" s="420" t="n"/>
      <c r="BH35" s="432" t="n"/>
      <c r="BI35" s="432" t="n"/>
      <c r="BJ35" s="405" t="n"/>
      <c r="BK35" s="405" t="n"/>
      <c r="BL35" s="428" t="n"/>
      <c r="BM35" s="420" t="n"/>
      <c r="BN35" s="420" t="n"/>
      <c r="BO35" s="420" t="n"/>
      <c r="BP35" s="432" t="n"/>
      <c r="BQ35" s="405" t="n"/>
      <c r="BR35" s="405" t="n"/>
      <c r="BS35" s="428" t="n"/>
      <c r="BT35" s="420" t="n"/>
      <c r="BU35" s="420" t="n"/>
      <c r="BV35" s="420" t="n"/>
      <c r="BW35" s="432" t="n"/>
      <c r="BX35" s="405" t="n"/>
      <c r="BY35" s="405" t="n"/>
      <c r="BZ35" s="428" t="n"/>
      <c r="CA35" s="420" t="n"/>
      <c r="CB35" s="420" t="n"/>
      <c r="CC35" s="428" t="n"/>
      <c r="CD35" s="440" t="n"/>
      <c r="CE35" s="405" t="n"/>
      <c r="CF35" s="405" t="n"/>
      <c r="CG35" s="423" t="inlineStr">
        <is>
          <t>U</t>
        </is>
      </c>
      <c r="CH35" s="423" t="inlineStr">
        <is>
          <t>U</t>
        </is>
      </c>
      <c r="CI35" s="423" t="inlineStr">
        <is>
          <t>U</t>
        </is>
      </c>
      <c r="CJ35" s="423" t="inlineStr">
        <is>
          <t>U</t>
        </is>
      </c>
      <c r="CK35" s="423" t="inlineStr">
        <is>
          <t>U</t>
        </is>
      </c>
      <c r="CL35" s="405" t="n"/>
      <c r="CM35" s="405" t="n"/>
      <c r="CN35" s="423" t="inlineStr">
        <is>
          <t>U</t>
        </is>
      </c>
      <c r="CO35" s="423" t="inlineStr">
        <is>
          <t>U</t>
        </is>
      </c>
      <c r="CP35" s="423" t="inlineStr">
        <is>
          <t>U</t>
        </is>
      </c>
      <c r="CQ35" s="423" t="inlineStr">
        <is>
          <t>U</t>
        </is>
      </c>
      <c r="CR35" s="423" t="inlineStr">
        <is>
          <t>U</t>
        </is>
      </c>
      <c r="CS35" s="430" t="n"/>
      <c r="CT35" s="405" t="n"/>
      <c r="CU35" s="428" t="n"/>
      <c r="CV35" s="428" t="n"/>
      <c r="CW35" s="420" t="n"/>
      <c r="CX35" s="420" t="n"/>
      <c r="CY35" s="432" t="n"/>
      <c r="CZ35" s="405" t="n"/>
      <c r="DA35" s="405" t="n"/>
      <c r="DB35" s="428" t="n"/>
      <c r="DC35" s="428" t="n"/>
      <c r="DD35" s="420" t="n"/>
      <c r="DE35" s="420" t="n"/>
      <c r="DF35" s="432" t="n"/>
      <c r="DG35" s="405" t="n"/>
      <c r="DH35" s="405" t="n"/>
      <c r="DI35" s="428" t="n"/>
      <c r="DJ35" s="428" t="n"/>
      <c r="DK35" s="420" t="n"/>
      <c r="DL35" s="423" t="inlineStr">
        <is>
          <t>U</t>
        </is>
      </c>
      <c r="DM35" s="423" t="inlineStr">
        <is>
          <t>U</t>
        </is>
      </c>
      <c r="DN35" s="405" t="n"/>
      <c r="DO35" s="405" t="n"/>
      <c r="DP35" s="428" t="n"/>
      <c r="DQ35" s="420" t="n"/>
      <c r="DR35" s="420" t="n"/>
      <c r="DS35" s="420" t="n"/>
      <c r="DT35" s="432" t="n"/>
      <c r="DU35" s="405" t="n"/>
      <c r="DV35" s="430" t="n"/>
      <c r="DW35" s="428" t="n"/>
      <c r="DX35" s="428" t="n"/>
      <c r="DY35" s="420" t="n"/>
      <c r="DZ35" s="420" t="n"/>
      <c r="EA35" s="432" t="n"/>
      <c r="EB35" s="405" t="n"/>
      <c r="EC35" s="405" t="n"/>
      <c r="ED35" s="423" t="inlineStr">
        <is>
          <t>U</t>
        </is>
      </c>
      <c r="EE35" s="428" t="n"/>
      <c r="EF35" s="420" t="n"/>
      <c r="EG35" s="420" t="n"/>
      <c r="EH35" s="432" t="n"/>
      <c r="EI35" s="405" t="n"/>
      <c r="EJ35" s="405" t="n"/>
      <c r="EK35" s="428" t="n"/>
      <c r="EL35" s="428" t="n"/>
      <c r="EM35" s="420" t="n"/>
      <c r="EN35" s="420" t="n"/>
      <c r="EO35" s="432" t="n"/>
      <c r="EP35" s="405" t="n"/>
      <c r="EQ35" s="405" t="n"/>
      <c r="ER35" s="428" t="n"/>
      <c r="ES35" s="420" t="n"/>
      <c r="ET35" s="420" t="n"/>
      <c r="EU35" s="420" t="n"/>
      <c r="EV35" s="440" t="n"/>
      <c r="EW35" s="405" t="n"/>
      <c r="EX35" s="405" t="n"/>
      <c r="EY35" s="423" t="inlineStr">
        <is>
          <t>U</t>
        </is>
      </c>
      <c r="EZ35" s="423" t="inlineStr">
        <is>
          <t>U</t>
        </is>
      </c>
      <c r="FA35" s="431" t="n"/>
      <c r="FB35" s="420" t="n"/>
      <c r="FC35" s="432" t="n"/>
      <c r="FD35" s="405" t="n"/>
      <c r="FE35" s="405" t="n"/>
      <c r="FF35" s="428" t="n"/>
      <c r="FG35" s="431" t="n"/>
      <c r="FH35" s="420" t="n"/>
      <c r="FI35" s="420" t="n"/>
      <c r="FJ35" s="440" t="n"/>
      <c r="FK35" s="405" t="n"/>
      <c r="FL35" s="405" t="n"/>
      <c r="FM35" s="428" t="n"/>
      <c r="FN35" s="428" t="n"/>
      <c r="FO35" s="420" t="n"/>
      <c r="FP35" s="420" t="n"/>
      <c r="FQ35" s="432" t="n"/>
      <c r="FR35" s="405" t="n"/>
      <c r="FS35" s="405" t="n"/>
      <c r="FT35" s="428" t="n"/>
      <c r="FU35" s="431" t="n"/>
      <c r="FV35" s="431" t="n"/>
      <c r="FW35" s="429" t="n"/>
      <c r="FX35" s="430" t="n"/>
      <c r="FY35" s="430" t="n"/>
      <c r="FZ35" s="405" t="n"/>
      <c r="GA35" s="428" t="n"/>
      <c r="GB35" s="431" t="n"/>
      <c r="GC35" s="431" t="n"/>
      <c r="GD35" s="429" t="n"/>
      <c r="GE35" s="429" t="n"/>
      <c r="GF35" s="455" t="n"/>
      <c r="GG35" s="429" t="n"/>
      <c r="GH35" s="429" t="n"/>
      <c r="GI35" s="429" t="n"/>
      <c r="GJ35" s="429" t="n"/>
      <c r="GK35" s="429" t="n"/>
      <c r="GL35" s="429" t="n"/>
      <c r="GM35" s="429" t="n"/>
      <c r="GN35" s="429" t="n"/>
      <c r="GO35" s="429" t="n"/>
      <c r="GP35" s="429" t="n"/>
      <c r="GQ35" s="429" t="n"/>
      <c r="GR35" s="429" t="n"/>
      <c r="GS35" s="429" t="n"/>
      <c r="GT35" s="429" t="n"/>
      <c r="GU35" s="429" t="n"/>
      <c r="GV35" s="429" t="n"/>
      <c r="GW35" s="429" t="n"/>
      <c r="GX35" s="429" t="n"/>
      <c r="GY35" s="429" t="n"/>
      <c r="GZ35" s="429" t="n"/>
      <c r="HA35" s="429" t="n"/>
      <c r="HB35" s="429" t="n"/>
      <c r="HC35" s="429" t="n"/>
      <c r="HD35" s="429" t="n"/>
      <c r="HE35" s="429" t="n"/>
      <c r="HF35" s="429" t="n"/>
      <c r="HG35" s="429" t="n"/>
      <c r="HH35" s="429" t="n"/>
      <c r="HI35" s="429" t="n"/>
      <c r="HJ35" s="429" t="n"/>
      <c r="HK35" s="429" t="n"/>
      <c r="HL35" s="429" t="n"/>
      <c r="HM35" s="429" t="n"/>
      <c r="HN35" s="429" t="n"/>
      <c r="HO35" s="429" t="n"/>
      <c r="HP35" s="429" t="n"/>
      <c r="HQ35" s="429" t="n"/>
      <c r="HR35" s="429" t="n"/>
      <c r="HS35" s="429" t="n"/>
      <c r="HT35" s="429" t="n"/>
      <c r="HU35" s="429" t="n"/>
      <c r="HV35" s="429" t="n"/>
      <c r="HW35" s="429" t="n"/>
      <c r="HX35" s="429" t="n"/>
      <c r="HY35" s="429" t="n"/>
      <c r="HZ35" s="429" t="n"/>
      <c r="IA35" s="429" t="n"/>
      <c r="IB35" s="429" t="n"/>
      <c r="IC35" s="429" t="n"/>
      <c r="ID35" s="429" t="n"/>
      <c r="IE35" s="429" t="n"/>
      <c r="IF35" s="429" t="n"/>
      <c r="IG35" s="429" t="n"/>
      <c r="IH35" s="429" t="n"/>
      <c r="II35" s="429" t="n"/>
      <c r="IJ35" s="429" t="n"/>
      <c r="IK35" s="429" t="n"/>
      <c r="IL35" s="429" t="n"/>
      <c r="IM35" s="429" t="n"/>
      <c r="IN35" s="429" t="n"/>
      <c r="IO35" s="429" t="n"/>
      <c r="IP35" s="429" t="n"/>
      <c r="IQ35" s="429" t="n"/>
      <c r="IR35" s="429" t="n"/>
      <c r="IS35" s="429" t="n"/>
      <c r="IT35" s="429" t="n"/>
      <c r="IU35" s="429" t="n"/>
      <c r="IV35" s="429" t="n"/>
      <c r="IW35" s="429" t="n"/>
      <c r="IX35" s="429" t="n"/>
      <c r="IY35" s="429" t="n"/>
      <c r="IZ35" s="429" t="n"/>
      <c r="JA35" s="429" t="n"/>
      <c r="JB35" s="429" t="n"/>
      <c r="JC35" s="429" t="n"/>
      <c r="JD35" s="429" t="n"/>
      <c r="JE35" s="429" t="n"/>
      <c r="JF35" s="429" t="n"/>
      <c r="JG35" s="429" t="n"/>
      <c r="JH35" s="429" t="n"/>
      <c r="JI35" s="429" t="n"/>
      <c r="JJ35" s="429" t="n"/>
      <c r="JK35" s="429" t="n"/>
      <c r="JL35" s="429" t="n"/>
      <c r="JM35" s="429" t="n"/>
      <c r="JN35" s="429" t="n"/>
      <c r="JO35" s="429" t="n"/>
      <c r="JP35" s="429" t="n"/>
      <c r="JQ35" s="429" t="n"/>
      <c r="JR35" s="429" t="n"/>
      <c r="JS35" s="429" t="n"/>
      <c r="JT35" s="429" t="n"/>
      <c r="JU35" s="429" t="n"/>
      <c r="JV35" s="429" t="n"/>
      <c r="JW35" s="429" t="n"/>
      <c r="JX35" s="429" t="n"/>
      <c r="JY35" s="429" t="n"/>
      <c r="JZ35" s="429" t="n"/>
      <c r="KA35" s="429" t="n"/>
      <c r="KB35" s="429" t="n"/>
      <c r="KC35" s="429" t="n"/>
      <c r="KD35" s="429" t="n"/>
      <c r="KE35" s="429" t="n"/>
      <c r="KF35" s="429" t="n"/>
      <c r="KG35" s="429" t="n"/>
      <c r="KH35" s="429" t="n"/>
      <c r="KI35" s="429" t="n"/>
      <c r="KJ35" s="429" t="n"/>
      <c r="KK35" s="429" t="n"/>
      <c r="KL35" s="429" t="n"/>
      <c r="KM35" s="429" t="n"/>
      <c r="KN35" s="429" t="n"/>
      <c r="KO35" s="429" t="n"/>
      <c r="KP35" s="429" t="n"/>
    </row>
    <row r="36" ht="26" customHeight="1" thickBot="1">
      <c r="B36" s="402" t="inlineStr">
        <is>
          <t>Radimersky</t>
        </is>
      </c>
      <c r="C36" s="420" t="n"/>
      <c r="D36" s="405" t="n"/>
      <c r="E36" s="405" t="n"/>
      <c r="F36" s="405" t="n"/>
      <c r="G36" s="405" t="n"/>
      <c r="H36" s="428" t="n"/>
      <c r="I36" s="420" t="n"/>
      <c r="J36" s="420" t="n"/>
      <c r="K36" s="405" t="n"/>
      <c r="L36" s="405" t="n"/>
      <c r="M36" s="405" t="n"/>
      <c r="N36" s="405" t="n"/>
      <c r="O36" s="428" t="n"/>
      <c r="P36" s="420" t="n"/>
      <c r="Q36" s="420" t="n"/>
      <c r="R36" s="432" t="n"/>
      <c r="S36" s="432" t="n"/>
      <c r="T36" s="405" t="n"/>
      <c r="U36" s="405" t="n"/>
      <c r="V36" s="428" t="n"/>
      <c r="W36" s="420" t="n"/>
      <c r="X36" s="420" t="n"/>
      <c r="Y36" s="405" t="n"/>
      <c r="Z36" s="405" t="n"/>
      <c r="AA36" s="405" t="n"/>
      <c r="AB36" s="405" t="n"/>
      <c r="AC36" s="428" t="n"/>
      <c r="AD36" s="428" t="n"/>
      <c r="AE36" s="428" t="n"/>
      <c r="AF36" s="421" t="n"/>
      <c r="AG36" s="423" t="inlineStr">
        <is>
          <t>U</t>
        </is>
      </c>
      <c r="AH36" s="405" t="n"/>
      <c r="AI36" s="405" t="n"/>
      <c r="AJ36" s="428" t="n"/>
      <c r="AK36" s="422" t="n"/>
      <c r="AL36" s="422" t="n"/>
      <c r="AM36" s="421" t="n"/>
      <c r="AN36" s="421" t="n"/>
      <c r="AO36" s="405" t="n"/>
      <c r="AP36" s="405" t="n"/>
      <c r="AQ36" s="428" t="n"/>
      <c r="AR36" s="422" t="n"/>
      <c r="AS36" s="422" t="n"/>
      <c r="AT36" s="421" t="n"/>
      <c r="AU36" s="421" t="n"/>
      <c r="AV36" s="405" t="n"/>
      <c r="AW36" s="405" t="n"/>
      <c r="AX36" s="423" t="inlineStr">
        <is>
          <t>U</t>
        </is>
      </c>
      <c r="AY36" s="423" t="inlineStr">
        <is>
          <t>U</t>
        </is>
      </c>
      <c r="AZ36" s="423" t="inlineStr">
        <is>
          <t>U</t>
        </is>
      </c>
      <c r="BA36" s="423" t="inlineStr">
        <is>
          <t>U</t>
        </is>
      </c>
      <c r="BB36" s="423" t="inlineStr">
        <is>
          <t>U</t>
        </is>
      </c>
      <c r="BC36" s="405" t="n"/>
      <c r="BD36" s="405" t="n"/>
      <c r="BE36" s="423" t="inlineStr">
        <is>
          <t>U</t>
        </is>
      </c>
      <c r="BF36" s="423" t="inlineStr">
        <is>
          <t>U</t>
        </is>
      </c>
      <c r="BG36" s="423" t="inlineStr">
        <is>
          <t>U</t>
        </is>
      </c>
      <c r="BH36" s="423" t="inlineStr">
        <is>
          <t>U</t>
        </is>
      </c>
      <c r="BI36" s="423" t="inlineStr">
        <is>
          <t>U</t>
        </is>
      </c>
      <c r="BJ36" s="405" t="n"/>
      <c r="BK36" s="405" t="n"/>
      <c r="BL36" s="423" t="inlineStr">
        <is>
          <t>U</t>
        </is>
      </c>
      <c r="BM36" s="423" t="inlineStr">
        <is>
          <t>U</t>
        </is>
      </c>
      <c r="BN36" s="423" t="inlineStr">
        <is>
          <t>U</t>
        </is>
      </c>
      <c r="BO36" s="423" t="inlineStr">
        <is>
          <t>U</t>
        </is>
      </c>
      <c r="BP36" s="423" t="inlineStr">
        <is>
          <t>U</t>
        </is>
      </c>
      <c r="BQ36" s="405" t="n"/>
      <c r="BR36" s="405" t="n"/>
      <c r="BS36" s="423" t="inlineStr">
        <is>
          <t>U</t>
        </is>
      </c>
      <c r="BT36" s="423" t="inlineStr">
        <is>
          <t>U</t>
        </is>
      </c>
      <c r="BU36" s="423" t="inlineStr">
        <is>
          <t>U</t>
        </is>
      </c>
      <c r="BV36" s="423" t="inlineStr">
        <is>
          <t>U</t>
        </is>
      </c>
      <c r="BW36" s="423" t="inlineStr">
        <is>
          <t>U</t>
        </is>
      </c>
      <c r="BX36" s="405" t="n"/>
      <c r="BY36" s="405" t="n"/>
      <c r="BZ36" s="428" t="n"/>
      <c r="CA36" s="428" t="n"/>
      <c r="CB36" s="420" t="n"/>
      <c r="CC36" s="420" t="n"/>
      <c r="CD36" s="432" t="n"/>
      <c r="CE36" s="405" t="n"/>
      <c r="CF36" s="405" t="n"/>
      <c r="CG36" s="428" t="n"/>
      <c r="CH36" s="428" t="n"/>
      <c r="CI36" s="428" t="n"/>
      <c r="CJ36" s="420" t="n"/>
      <c r="CK36" s="432" t="n"/>
      <c r="CL36" s="405" t="n"/>
      <c r="CM36" s="405" t="n"/>
      <c r="CN36" s="428" t="n"/>
      <c r="CO36" s="428" t="n"/>
      <c r="CP36" s="420" t="n"/>
      <c r="CQ36" s="420" t="n"/>
      <c r="CR36" s="432" t="n"/>
      <c r="CS36" s="430" t="n"/>
      <c r="CT36" s="405" t="n"/>
      <c r="CU36" s="428" t="n"/>
      <c r="CV36" s="428" t="n"/>
      <c r="CW36" s="420" t="n"/>
      <c r="CX36" s="420" t="n"/>
      <c r="CY36" s="432" t="n"/>
      <c r="CZ36" s="405" t="n"/>
      <c r="DA36" s="405" t="n"/>
      <c r="DB36" s="428" t="n"/>
      <c r="DC36" s="428" t="n"/>
      <c r="DD36" s="420" t="n"/>
      <c r="DE36" s="420" t="n"/>
      <c r="DF36" s="432" t="n"/>
      <c r="DG36" s="405" t="n"/>
      <c r="DH36" s="405" t="n"/>
      <c r="DI36" s="428" t="n"/>
      <c r="DJ36" s="431" t="n"/>
      <c r="DK36" s="431" t="n"/>
      <c r="DL36" s="431" t="n"/>
      <c r="DM36" s="440" t="n"/>
      <c r="DN36" s="405" t="n"/>
      <c r="DO36" s="405" t="n"/>
      <c r="DP36" s="423" t="inlineStr">
        <is>
          <t>U</t>
        </is>
      </c>
      <c r="DQ36" s="423" t="inlineStr">
        <is>
          <t>U</t>
        </is>
      </c>
      <c r="DR36" s="423" t="inlineStr">
        <is>
          <t>U</t>
        </is>
      </c>
      <c r="DS36" s="423" t="inlineStr">
        <is>
          <t>U</t>
        </is>
      </c>
      <c r="DT36" s="423" t="inlineStr">
        <is>
          <t>U</t>
        </is>
      </c>
      <c r="DU36" s="405" t="n"/>
      <c r="DV36" s="430" t="n"/>
      <c r="DW36" s="428" t="n"/>
      <c r="DX36" s="428" t="n"/>
      <c r="DY36" s="420" t="n"/>
      <c r="DZ36" s="420" t="n"/>
      <c r="EA36" s="432" t="n"/>
      <c r="EB36" s="405" t="n"/>
      <c r="EC36" s="405" t="n"/>
      <c r="ED36" s="428" t="n"/>
      <c r="EE36" s="428" t="n"/>
      <c r="EF36" s="420" t="n"/>
      <c r="EG36" s="420" t="n"/>
      <c r="EH36" s="432" t="n"/>
      <c r="EI36" s="405" t="n"/>
      <c r="EJ36" s="405" t="n"/>
      <c r="EK36" s="428" t="n"/>
      <c r="EL36" s="428" t="n"/>
      <c r="EM36" s="420" t="n"/>
      <c r="EN36" s="420" t="n"/>
      <c r="EO36" s="432" t="n"/>
      <c r="EP36" s="405" t="n"/>
      <c r="EQ36" s="405" t="n"/>
      <c r="ER36" s="428" t="n"/>
      <c r="ES36" s="428" t="n"/>
      <c r="ET36" s="428" t="n"/>
      <c r="EU36" s="428" t="n"/>
      <c r="EV36" s="432" t="n"/>
      <c r="EW36" s="405" t="n"/>
      <c r="EX36" s="405" t="n"/>
      <c r="EY36" s="428" t="n"/>
      <c r="EZ36" s="428" t="n"/>
      <c r="FA36" s="420" t="n"/>
      <c r="FB36" s="420" t="n"/>
      <c r="FC36" s="432" t="n"/>
      <c r="FD36" s="405" t="n"/>
      <c r="FE36" s="405" t="n"/>
      <c r="FF36" s="428" t="n"/>
      <c r="FG36" s="428" t="n"/>
      <c r="FH36" s="420" t="n"/>
      <c r="FI36" s="420" t="n"/>
      <c r="FJ36" s="432" t="n"/>
      <c r="FK36" s="405" t="n"/>
      <c r="FL36" s="405" t="n"/>
      <c r="FM36" s="428" t="n"/>
      <c r="FN36" s="428" t="n"/>
      <c r="FO36" s="420" t="n"/>
      <c r="FP36" s="420" t="n"/>
      <c r="FQ36" s="432" t="n"/>
      <c r="FR36" s="405" t="n"/>
      <c r="FS36" s="405" t="n"/>
      <c r="FT36" s="428" t="n"/>
      <c r="FU36" s="428" t="n"/>
      <c r="FV36" s="431" t="n"/>
      <c r="FW36" s="429" t="n"/>
      <c r="FX36" s="430" t="n"/>
      <c r="FY36" s="430" t="n"/>
      <c r="FZ36" s="405" t="n"/>
      <c r="GA36" s="428" t="n"/>
      <c r="GB36" s="428" t="n"/>
      <c r="GC36" s="431" t="n"/>
      <c r="GD36" s="429" t="n"/>
      <c r="GE36" s="429" t="n"/>
      <c r="GF36" s="455" t="n"/>
      <c r="GG36" s="429" t="n"/>
      <c r="GH36" s="429" t="n"/>
      <c r="GI36" s="429" t="n"/>
      <c r="GJ36" s="429" t="n"/>
      <c r="GK36" s="429" t="n"/>
      <c r="GL36" s="429" t="n"/>
      <c r="GM36" s="429" t="n"/>
      <c r="GN36" s="429" t="n"/>
      <c r="GO36" s="429" t="n"/>
      <c r="GP36" s="429" t="n"/>
      <c r="GQ36" s="429" t="n"/>
      <c r="GR36" s="429" t="n"/>
      <c r="GS36" s="429" t="n"/>
      <c r="GT36" s="429" t="n"/>
      <c r="GU36" s="429" t="n"/>
      <c r="GV36" s="429" t="n"/>
      <c r="GW36" s="429" t="n"/>
      <c r="GX36" s="429" t="n"/>
      <c r="GY36" s="429" t="n"/>
      <c r="GZ36" s="429" t="n"/>
      <c r="HA36" s="429" t="n"/>
      <c r="HB36" s="429" t="n"/>
      <c r="HC36" s="429" t="n"/>
      <c r="HD36" s="429" t="n"/>
      <c r="HE36" s="429" t="n"/>
      <c r="HF36" s="429" t="n"/>
      <c r="HG36" s="429" t="n"/>
      <c r="HH36" s="429" t="n"/>
      <c r="HI36" s="429" t="n"/>
      <c r="HJ36" s="429" t="n"/>
      <c r="HK36" s="429" t="n"/>
      <c r="HL36" s="429" t="n"/>
      <c r="HM36" s="429" t="n"/>
      <c r="HN36" s="429" t="n"/>
      <c r="HO36" s="429" t="n"/>
      <c r="HP36" s="429" t="n"/>
      <c r="HQ36" s="429" t="n"/>
      <c r="HR36" s="429" t="n"/>
      <c r="HS36" s="429" t="n"/>
      <c r="HT36" s="429" t="n"/>
      <c r="HU36" s="429" t="n"/>
      <c r="HV36" s="429" t="n"/>
      <c r="HW36" s="429" t="n"/>
      <c r="HX36" s="429" t="n"/>
      <c r="HY36" s="429" t="n"/>
      <c r="HZ36" s="429" t="n"/>
      <c r="IA36" s="429" t="n"/>
      <c r="IB36" s="429" t="n"/>
      <c r="IC36" s="429" t="n"/>
      <c r="ID36" s="429" t="n"/>
      <c r="IE36" s="429" t="n"/>
      <c r="IF36" s="429" t="n"/>
      <c r="IG36" s="429" t="n"/>
      <c r="IH36" s="429" t="n"/>
      <c r="II36" s="429" t="n"/>
      <c r="IJ36" s="429" t="n"/>
      <c r="IK36" s="429" t="n"/>
      <c r="IL36" s="429" t="n"/>
      <c r="IM36" s="429" t="n"/>
      <c r="IN36" s="429" t="n"/>
      <c r="IO36" s="429" t="n"/>
      <c r="IP36" s="429" t="n"/>
      <c r="IQ36" s="429" t="n"/>
      <c r="IR36" s="429" t="n"/>
      <c r="IS36" s="429" t="n"/>
      <c r="IT36" s="429" t="n"/>
      <c r="IU36" s="429" t="n"/>
      <c r="IV36" s="429" t="n"/>
      <c r="IW36" s="429" t="n"/>
      <c r="IX36" s="429" t="n"/>
      <c r="IY36" s="429" t="n"/>
      <c r="IZ36" s="429" t="n"/>
      <c r="JA36" s="429" t="n"/>
      <c r="JB36" s="429" t="n"/>
      <c r="JC36" s="429" t="n"/>
      <c r="JD36" s="429" t="n"/>
      <c r="JE36" s="429" t="n"/>
      <c r="JF36" s="429" t="n"/>
      <c r="JG36" s="429" t="n"/>
      <c r="JH36" s="429" t="n"/>
      <c r="JI36" s="429" t="n"/>
      <c r="JJ36" s="429" t="n"/>
      <c r="JK36" s="429" t="n"/>
      <c r="JL36" s="429" t="n"/>
      <c r="JM36" s="429" t="n"/>
      <c r="JN36" s="429" t="n"/>
      <c r="JO36" s="429" t="n"/>
      <c r="JP36" s="429" t="n"/>
      <c r="JQ36" s="429" t="n"/>
      <c r="JR36" s="429" t="n"/>
      <c r="JS36" s="429" t="n"/>
      <c r="JT36" s="429" t="n"/>
      <c r="JU36" s="429" t="n"/>
      <c r="JV36" s="429" t="n"/>
      <c r="JW36" s="429" t="n"/>
      <c r="JX36" s="429" t="n"/>
      <c r="JY36" s="429" t="n"/>
      <c r="JZ36" s="429" t="n"/>
      <c r="KA36" s="429" t="n"/>
      <c r="KB36" s="429" t="n"/>
      <c r="KC36" s="429" t="n"/>
      <c r="KD36" s="429" t="n"/>
      <c r="KE36" s="429" t="n"/>
      <c r="KF36" s="429" t="n"/>
      <c r="KG36" s="429" t="n"/>
      <c r="KH36" s="429" t="n"/>
      <c r="KI36" s="429" t="n"/>
      <c r="KJ36" s="429" t="n"/>
      <c r="KK36" s="429" t="n"/>
      <c r="KL36" s="429" t="n"/>
      <c r="KM36" s="429" t="n"/>
      <c r="KN36" s="429" t="n"/>
      <c r="KO36" s="429" t="n"/>
      <c r="KP36" s="429" t="n"/>
    </row>
    <row r="37" ht="28" customHeight="1" thickBot="1">
      <c r="A37" s="458" t="n"/>
      <c r="B37" s="389" t="n"/>
      <c r="C37" s="450" t="n"/>
      <c r="D37" s="450" t="n"/>
      <c r="E37" s="450" t="n"/>
      <c r="F37" s="450" t="n"/>
      <c r="G37" s="450" t="n"/>
      <c r="H37" s="450" t="n"/>
      <c r="I37" s="450" t="n"/>
      <c r="J37" s="450" t="n"/>
      <c r="K37" s="450" t="n"/>
      <c r="L37" s="450" t="n"/>
      <c r="M37" s="450" t="n"/>
      <c r="N37" s="450" t="n"/>
      <c r="O37" s="390" t="inlineStr">
        <is>
          <t>Jan</t>
        </is>
      </c>
      <c r="P37" s="387" t="n"/>
      <c r="Q37" s="387" t="n"/>
      <c r="R37" s="387" t="n"/>
      <c r="S37" s="391">
        <f>C2+1</f>
        <v/>
      </c>
      <c r="T37" s="387" t="n"/>
      <c r="U37" s="387" t="n"/>
      <c r="V37" s="387" t="n"/>
      <c r="W37" s="450" t="n"/>
      <c r="X37" s="450" t="n"/>
      <c r="Y37" s="450" t="n"/>
      <c r="Z37" s="450" t="n"/>
      <c r="AA37" s="450" t="n"/>
      <c r="AB37" s="450" t="n"/>
      <c r="AC37" s="450" t="n"/>
      <c r="AD37" s="450" t="n"/>
      <c r="AE37" s="450" t="n"/>
      <c r="AF37" s="450" t="n"/>
      <c r="AG37" s="450" t="n"/>
      <c r="AH37" s="450" t="n"/>
      <c r="AI37" s="450" t="n"/>
      <c r="AJ37" s="450" t="n"/>
      <c r="AK37" s="450" t="n"/>
      <c r="AL37" s="450" t="n"/>
      <c r="AM37" s="450" t="n"/>
      <c r="AN37" s="450" t="n"/>
      <c r="AO37" s="450" t="n"/>
      <c r="AP37" s="450" t="n"/>
      <c r="AQ37" s="450" t="n"/>
      <c r="AR37" s="450" t="n"/>
      <c r="AS37" s="450" t="n"/>
      <c r="AT37" s="393" t="inlineStr">
        <is>
          <t>Feb</t>
        </is>
      </c>
      <c r="AU37" s="387" t="n"/>
      <c r="AV37" s="387" t="n"/>
      <c r="AW37" s="387" t="n"/>
      <c r="AX37" s="391">
        <f>C2+1</f>
        <v/>
      </c>
      <c r="AY37" s="387" t="n"/>
      <c r="AZ37" s="387" t="n"/>
      <c r="BA37" s="387" t="n"/>
      <c r="BB37" s="450" t="n"/>
      <c r="BC37" s="450" t="n"/>
      <c r="BD37" s="450" t="n"/>
      <c r="BE37" s="450" t="n"/>
      <c r="BF37" s="450" t="n"/>
      <c r="BG37" s="450" t="n"/>
      <c r="BH37" s="450" t="n"/>
      <c r="BI37" s="450" t="n"/>
      <c r="BJ37" s="387" t="n"/>
      <c r="BK37" s="387" t="n"/>
      <c r="BL37" s="387" t="n"/>
      <c r="BM37" s="387" t="n"/>
      <c r="BN37" s="387" t="n"/>
      <c r="BO37" s="387" t="n"/>
      <c r="BP37" s="387" t="n"/>
      <c r="BQ37" s="387" t="n"/>
      <c r="BR37" s="387" t="n"/>
      <c r="BS37" s="387" t="n"/>
      <c r="BT37" s="387" t="n"/>
      <c r="BU37" s="387" t="n"/>
      <c r="BV37" s="387" t="n"/>
      <c r="BW37" s="387" t="n"/>
      <c r="BX37" s="387" t="n"/>
      <c r="BY37" s="387" t="n"/>
      <c r="BZ37" s="387" t="n"/>
      <c r="CA37" s="387" t="n"/>
      <c r="CB37" s="387" t="n"/>
      <c r="CC37" s="387" t="n"/>
      <c r="CD37" s="387" t="n"/>
      <c r="CE37" s="387" t="n"/>
      <c r="CF37" s="387" t="n"/>
      <c r="CG37" s="387" t="n"/>
      <c r="CH37" s="387" t="n"/>
      <c r="CI37" s="387" t="n"/>
      <c r="CJ37" s="387" t="n"/>
      <c r="CK37" s="387" t="n"/>
      <c r="CL37" s="387" t="n"/>
      <c r="CM37" s="387" t="n"/>
      <c r="CN37" s="387" t="n"/>
      <c r="CO37" s="387" t="n"/>
      <c r="CP37" s="459" t="n"/>
      <c r="CQ37" s="459" t="n"/>
      <c r="CR37" s="459" t="n"/>
      <c r="CS37" s="459" t="n"/>
      <c r="CT37" s="459" t="n"/>
      <c r="CU37" s="459" t="n"/>
      <c r="CV37" s="459" t="n"/>
      <c r="CW37" s="459" t="n"/>
      <c r="CX37" s="459" t="n"/>
      <c r="CY37" s="459" t="n"/>
      <c r="CZ37" s="459" t="n"/>
      <c r="DA37" s="459" t="n"/>
      <c r="DB37" s="459" t="n"/>
      <c r="DC37" s="459" t="n"/>
      <c r="DD37" s="459" t="n"/>
      <c r="DE37" s="459" t="n"/>
      <c r="DF37" s="459" t="n"/>
      <c r="DG37" s="459" t="n"/>
      <c r="DH37" s="459" t="n"/>
      <c r="DI37" s="459" t="n"/>
      <c r="DJ37" s="459" t="n"/>
      <c r="DK37" s="459" t="n"/>
      <c r="DL37" s="459" t="n"/>
      <c r="DM37" s="387" t="n"/>
      <c r="DN37" s="387" t="n"/>
      <c r="DO37" s="387" t="n"/>
      <c r="DP37" s="387" t="n"/>
      <c r="DQ37" s="387" t="n"/>
      <c r="DR37" s="387" t="n"/>
      <c r="DS37" s="387" t="n"/>
      <c r="DT37" s="387" t="n"/>
      <c r="DU37" s="387" t="n"/>
      <c r="DV37" s="387" t="n"/>
      <c r="DW37" s="387" t="n"/>
      <c r="DX37" s="387" t="n"/>
      <c r="DY37" s="387" t="n"/>
      <c r="DZ37" s="387" t="n"/>
      <c r="EA37" s="387" t="n"/>
      <c r="EB37" s="387" t="n"/>
      <c r="EC37" s="387" t="n"/>
      <c r="ED37" s="387" t="n"/>
      <c r="EE37" s="387" t="n"/>
      <c r="EF37" s="387" t="n"/>
      <c r="EG37" s="387" t="n"/>
      <c r="EH37" s="387" t="n"/>
      <c r="EI37" s="387" t="n"/>
      <c r="EJ37" s="387" t="n"/>
      <c r="EK37" s="387" t="n"/>
      <c r="EL37" s="387" t="n"/>
      <c r="EM37" s="387" t="n"/>
      <c r="EN37" s="387" t="n"/>
      <c r="EO37" s="387" t="n"/>
      <c r="EP37" s="387" t="n"/>
      <c r="EQ37" s="387" t="n"/>
      <c r="ER37" s="387" t="n"/>
      <c r="ES37" s="387" t="n"/>
      <c r="ET37" s="387" t="n"/>
      <c r="EU37" s="387" t="n"/>
      <c r="EV37" s="387" t="n"/>
      <c r="EW37" s="387" t="n"/>
      <c r="EX37" s="387" t="n"/>
      <c r="EY37" s="387" t="n"/>
      <c r="EZ37" s="387" t="n"/>
      <c r="FA37" s="387" t="n"/>
      <c r="FB37" s="387" t="n"/>
      <c r="FC37" s="387" t="n"/>
      <c r="FD37" s="387" t="n"/>
      <c r="FE37" s="387" t="n"/>
      <c r="FF37" s="387" t="n"/>
      <c r="FG37" s="387" t="n"/>
      <c r="FH37" s="387" t="n"/>
      <c r="FI37" s="387" t="n"/>
      <c r="FJ37" s="460" t="n"/>
      <c r="FK37" s="459" t="n"/>
      <c r="FL37" s="459" t="n"/>
      <c r="FM37" s="390" t="inlineStr">
        <is>
          <t> </t>
        </is>
      </c>
      <c r="FN37" s="459" t="n"/>
      <c r="FO37" s="459" t="n"/>
      <c r="FP37" s="460" t="n"/>
      <c r="FQ37" s="460" t="n"/>
      <c r="FR37" s="459" t="n"/>
      <c r="FS37" s="461" t="n"/>
      <c r="FT37" s="461" t="n"/>
      <c r="FU37" s="462" t="n"/>
      <c r="FV37" s="462" t="n"/>
      <c r="FW37" s="460" t="n"/>
      <c r="FX37" s="460" t="n"/>
      <c r="FY37" s="460" t="n"/>
      <c r="FZ37" s="463" t="n"/>
      <c r="GA37" s="463" t="n"/>
      <c r="GB37" s="463" t="n"/>
      <c r="GC37" s="463" t="n"/>
      <c r="GD37" s="460" t="n"/>
      <c r="GE37" s="387" t="n"/>
      <c r="GF37" s="387" t="n"/>
      <c r="GG37" s="387" t="n"/>
      <c r="GH37" s="387" t="n"/>
      <c r="GI37" s="387" t="n"/>
      <c r="GJ37" s="387" t="n"/>
      <c r="GK37" s="387" t="n"/>
      <c r="GL37" s="387" t="n"/>
      <c r="GM37" s="387" t="n"/>
      <c r="GN37" s="387" t="n"/>
      <c r="GO37" s="387" t="n"/>
      <c r="GP37" s="387" t="n"/>
      <c r="GQ37" s="387" t="n"/>
      <c r="GR37" s="387" t="n"/>
      <c r="GS37" s="387" t="n"/>
      <c r="GT37" s="387" t="n"/>
      <c r="GU37" s="387" t="n"/>
      <c r="GV37" s="387" t="n"/>
      <c r="GW37" s="387" t="n"/>
      <c r="GX37" s="387" t="n"/>
      <c r="GY37" s="387" t="n"/>
      <c r="GZ37" s="387" t="n"/>
      <c r="HA37" s="387" t="n"/>
      <c r="HB37" s="387" t="n"/>
      <c r="HC37" s="387" t="n"/>
      <c r="HD37" s="387" t="n"/>
      <c r="HE37" s="387" t="n"/>
      <c r="HF37" s="387" t="n"/>
      <c r="HG37" s="387" t="n"/>
      <c r="HH37" s="387" t="n"/>
      <c r="HI37" s="387" t="n"/>
      <c r="HJ37" s="387" t="n"/>
      <c r="HK37" s="387" t="n"/>
      <c r="HL37" s="387" t="n"/>
      <c r="HM37" s="387" t="n"/>
      <c r="HN37" s="387" t="n"/>
      <c r="HO37" s="387" t="n"/>
      <c r="HP37" s="387" t="n"/>
      <c r="HQ37" s="387" t="n"/>
      <c r="HR37" s="387" t="n"/>
      <c r="HS37" s="387" t="n"/>
      <c r="HT37" s="387" t="n"/>
      <c r="HU37" s="387" t="n"/>
      <c r="HV37" s="387" t="n"/>
      <c r="HW37" s="387" t="n"/>
      <c r="HX37" s="387" t="n"/>
      <c r="HY37" s="387" t="n"/>
      <c r="HZ37" s="387" t="n"/>
      <c r="IA37" s="387" t="n"/>
      <c r="IB37" s="387" t="n"/>
      <c r="IC37" s="387" t="n"/>
      <c r="ID37" s="387" t="n"/>
      <c r="IE37" s="387" t="n"/>
      <c r="IF37" s="387" t="n"/>
      <c r="IG37" s="387" t="n"/>
      <c r="IH37" s="387" t="n"/>
      <c r="II37" s="387" t="n"/>
      <c r="IJ37" s="387" t="n"/>
      <c r="IK37" s="387" t="n"/>
      <c r="IL37" s="387" t="n"/>
      <c r="IM37" s="387" t="n"/>
      <c r="IN37" s="387" t="n"/>
      <c r="IO37" s="387" t="n"/>
      <c r="IP37" s="387" t="n"/>
      <c r="IQ37" s="387" t="n"/>
      <c r="IR37" s="387" t="n"/>
      <c r="IS37" s="387" t="n"/>
      <c r="IT37" s="387" t="n"/>
      <c r="IU37" s="387" t="n"/>
      <c r="IV37" s="387" t="n"/>
      <c r="IW37" s="387" t="n"/>
      <c r="IX37" s="387" t="n"/>
      <c r="IY37" s="387" t="n"/>
      <c r="IZ37" s="387" t="n"/>
      <c r="JA37" s="387" t="n"/>
      <c r="JB37" s="387" t="n"/>
      <c r="JC37" s="387" t="n"/>
      <c r="JD37" s="387" t="n"/>
      <c r="JE37" s="387" t="n"/>
      <c r="JF37" s="387" t="n"/>
      <c r="JG37" s="387" t="n"/>
      <c r="JH37" s="387" t="n"/>
      <c r="JI37" s="387" t="n"/>
      <c r="JJ37" s="387" t="n"/>
      <c r="JK37" s="387" t="n"/>
      <c r="JL37" s="387" t="n"/>
      <c r="JM37" s="387" t="n"/>
      <c r="JN37" s="387" t="n"/>
      <c r="JO37" s="387" t="n"/>
      <c r="JP37" s="387" t="n"/>
      <c r="JQ37" s="387" t="n"/>
      <c r="JR37" s="387" t="n"/>
      <c r="JS37" s="387" t="n"/>
      <c r="JT37" s="387" t="n"/>
      <c r="JU37" s="387" t="n"/>
      <c r="JV37" s="387" t="n"/>
      <c r="JW37" s="387" t="n"/>
      <c r="JX37" s="387" t="n"/>
      <c r="JY37" s="387" t="n"/>
      <c r="JZ37" s="387" t="n"/>
      <c r="KA37" s="387" t="n"/>
      <c r="KB37" s="387" t="n"/>
      <c r="KC37" s="387" t="n"/>
      <c r="KD37" s="387" t="n"/>
      <c r="KE37" s="387" t="n"/>
      <c r="KF37" s="387" t="n"/>
      <c r="KG37" s="387" t="n"/>
      <c r="KH37" s="387" t="n"/>
      <c r="KI37" s="387" t="n"/>
      <c r="KJ37" s="387" t="n"/>
      <c r="KK37" s="387" t="n"/>
      <c r="KL37" s="387" t="n"/>
      <c r="KM37" s="387" t="n"/>
      <c r="KN37" s="387" t="n"/>
      <c r="KO37" s="387" t="n"/>
      <c r="KP37" s="387" t="n"/>
    </row>
    <row r="38" ht="16" customFormat="1" customHeight="1" s="77">
      <c r="A38" s="464" t="n"/>
      <c r="B38" s="396" t="n"/>
      <c r="C38" s="395" t="inlineStr">
        <is>
          <t>Weihnachtsferien</t>
        </is>
      </c>
      <c r="D38" s="394" t="n"/>
      <c r="E38" s="394" t="n"/>
      <c r="F38" s="394" t="n"/>
      <c r="G38" s="394" t="n"/>
      <c r="H38" s="394" t="n"/>
      <c r="I38" s="394" t="n"/>
      <c r="J38" s="394" t="n"/>
      <c r="K38" s="394" t="n"/>
      <c r="L38" s="394" t="n"/>
      <c r="M38" s="396" t="n"/>
      <c r="N38" s="396" t="n"/>
      <c r="O38" s="396" t="n"/>
      <c r="P38" s="396" t="n"/>
      <c r="Q38" s="396" t="n"/>
      <c r="R38" s="396" t="n"/>
      <c r="S38" s="396" t="n"/>
      <c r="T38" s="396" t="n"/>
      <c r="U38" s="396" t="n"/>
      <c r="V38" s="396" t="n"/>
      <c r="W38" s="396" t="n"/>
      <c r="X38" s="396" t="n"/>
      <c r="Y38" s="396" t="n"/>
      <c r="Z38" s="396" t="n"/>
      <c r="AA38" s="396" t="n"/>
      <c r="AB38" s="396" t="n"/>
      <c r="AC38" s="396" t="n"/>
      <c r="AD38" s="396" t="n"/>
      <c r="AE38" s="396" t="n"/>
      <c r="AF38" s="396" t="n"/>
      <c r="AG38" s="396" t="n"/>
      <c r="AH38" s="396" t="n"/>
      <c r="AI38" s="396" t="n"/>
      <c r="AJ38" s="396" t="n"/>
      <c r="AK38" s="396" t="n"/>
      <c r="AL38" s="396" t="n"/>
      <c r="AM38" s="396" t="n"/>
      <c r="AN38" s="396" t="n"/>
      <c r="AO38" s="396" t="n"/>
      <c r="AP38" s="396" t="n"/>
      <c r="AQ38" s="396" t="n"/>
      <c r="AR38" s="396" t="n"/>
      <c r="AS38" s="396" t="n"/>
      <c r="AT38" s="396" t="n"/>
      <c r="AU38" s="396" t="n"/>
      <c r="AV38" s="396" t="n"/>
      <c r="AW38" s="396" t="n"/>
      <c r="AX38" s="396" t="n"/>
      <c r="AY38" s="396" t="n"/>
      <c r="AZ38" s="396" t="n"/>
      <c r="BA38" s="396" t="n"/>
      <c r="BB38" s="396" t="n"/>
      <c r="BC38" s="396" t="n"/>
      <c r="BD38" s="396" t="n"/>
      <c r="BE38" s="396" t="n"/>
      <c r="BF38" s="396" t="n"/>
      <c r="BG38" s="396" t="n"/>
      <c r="BH38" s="396" t="n"/>
      <c r="BI38" s="396" t="n"/>
      <c r="BJ38" s="394" t="n"/>
      <c r="BK38" s="394" t="n"/>
      <c r="BL38" s="394" t="n"/>
      <c r="BM38" s="394" t="n"/>
      <c r="BN38" s="394" t="n"/>
      <c r="BO38" s="394" t="n"/>
      <c r="BP38" s="394" t="n"/>
      <c r="BQ38" s="394" t="n"/>
      <c r="BR38" s="394" t="n"/>
      <c r="BS38" s="394" t="n"/>
      <c r="BT38" s="394" t="n"/>
      <c r="BU38" s="394" t="n"/>
      <c r="BV38" s="394" t="n"/>
      <c r="BW38" s="394" t="n"/>
      <c r="BX38" s="394" t="n"/>
      <c r="BY38" s="394" t="n"/>
      <c r="BZ38" s="394" t="n"/>
      <c r="CA38" s="394" t="n"/>
      <c r="CB38" s="394" t="n"/>
      <c r="CC38" s="394" t="n"/>
      <c r="CD38" s="394" t="n"/>
      <c r="CE38" s="394" t="n"/>
      <c r="CF38" s="394" t="n"/>
      <c r="CG38" s="394" t="n"/>
      <c r="CH38" s="394" t="n"/>
      <c r="CI38" s="394" t="n"/>
      <c r="CJ38" s="394" t="n"/>
      <c r="CK38" s="394" t="n"/>
      <c r="CL38" s="394" t="n"/>
      <c r="CM38" s="394" t="n"/>
      <c r="CN38" s="394" t="n"/>
      <c r="CO38" s="394" t="n"/>
      <c r="CP38" s="394" t="n"/>
      <c r="CQ38" s="394" t="n"/>
      <c r="CR38" s="394" t="n"/>
      <c r="CS38" s="394" t="n"/>
      <c r="CT38" s="394" t="n"/>
      <c r="CU38" s="394" t="n"/>
      <c r="CV38" s="452" t="n"/>
      <c r="CW38" s="394" t="n"/>
      <c r="CX38" s="394" t="n"/>
      <c r="CY38" s="394" t="n"/>
      <c r="CZ38" s="394" t="n"/>
      <c r="DA38" s="394" t="n"/>
      <c r="DB38" s="394" t="n"/>
      <c r="DC38" s="394" t="n"/>
      <c r="DD38" s="394" t="n"/>
      <c r="DE38" s="394" t="n"/>
      <c r="DF38" s="394" t="n"/>
      <c r="DG38" s="394" t="n"/>
      <c r="DH38" s="394" t="n"/>
      <c r="DI38" s="394" t="n"/>
      <c r="DJ38" s="394" t="n"/>
      <c r="DK38" s="394" t="n"/>
      <c r="DL38" s="394" t="n"/>
      <c r="DM38" s="394" t="n"/>
      <c r="DN38" s="394" t="n"/>
      <c r="DO38" s="394" t="n"/>
      <c r="DP38" s="394" t="n"/>
      <c r="DQ38" s="394" t="n"/>
      <c r="DR38" s="394" t="n"/>
      <c r="DS38" s="394" t="n"/>
      <c r="DT38" s="394" t="n"/>
      <c r="DU38" s="394" t="n"/>
      <c r="DV38" s="394" t="n"/>
      <c r="DW38" s="394" t="n"/>
      <c r="DX38" s="394" t="n"/>
      <c r="DY38" s="394" t="n"/>
      <c r="DZ38" s="394" t="n"/>
      <c r="EA38" s="394" t="n"/>
      <c r="EB38" s="394" t="n"/>
      <c r="EC38" s="394" t="n"/>
      <c r="ED38" s="394" t="n"/>
      <c r="EE38" s="394" t="n"/>
      <c r="EF38" s="394" t="n"/>
      <c r="EG38" s="394" t="n"/>
      <c r="EH38" s="394" t="n"/>
      <c r="EI38" s="394" t="n"/>
      <c r="EJ38" s="394" t="n"/>
      <c r="EK38" s="394" t="n"/>
      <c r="EL38" s="394" t="n"/>
      <c r="EM38" s="394" t="n"/>
      <c r="EN38" s="394" t="n"/>
      <c r="EO38" s="394" t="n"/>
      <c r="EP38" s="394" t="n"/>
      <c r="EQ38" s="394" t="n"/>
      <c r="ER38" s="394" t="n"/>
      <c r="ES38" s="394" t="n"/>
      <c r="ET38" s="394" t="n"/>
      <c r="EU38" s="394" t="n"/>
      <c r="EV38" s="394" t="n"/>
      <c r="EW38" s="394" t="n"/>
      <c r="EX38" s="394" t="n"/>
      <c r="EY38" s="394" t="n"/>
      <c r="EZ38" s="465" t="n"/>
      <c r="FA38" s="465" t="n"/>
      <c r="FB38" s="394" t="n"/>
      <c r="FC38" s="394" t="n"/>
      <c r="FD38" s="394" t="n"/>
      <c r="FE38" s="394" t="n"/>
      <c r="FF38" s="394" t="n"/>
      <c r="FG38" s="394" t="n"/>
      <c r="FH38" s="394" t="n"/>
      <c r="FI38" s="394" t="n"/>
      <c r="FJ38" s="394" t="n"/>
      <c r="FK38" s="394" t="n"/>
      <c r="FL38" s="394" t="n"/>
      <c r="FM38" s="394" t="n"/>
      <c r="FN38" s="394" t="n"/>
      <c r="FO38" s="394" t="n"/>
      <c r="FP38" s="394" t="n"/>
      <c r="FQ38" s="394" t="n"/>
      <c r="FR38" s="394" t="n"/>
      <c r="FS38" s="394" t="n"/>
      <c r="FT38" s="394" t="n"/>
      <c r="FU38" s="394" t="n"/>
      <c r="FV38" s="394" t="n"/>
      <c r="FW38" s="394" t="n"/>
      <c r="FX38" s="394" t="n"/>
      <c r="FY38" s="394" t="n"/>
      <c r="FZ38" s="394" t="n"/>
      <c r="GA38" s="394" t="n"/>
      <c r="GB38" s="465" t="n"/>
      <c r="GC38" s="394" t="n"/>
      <c r="GD38" s="394" t="n"/>
      <c r="GE38" s="394" t="n"/>
      <c r="GF38" s="394" t="n"/>
      <c r="GG38" s="394" t="n"/>
      <c r="GH38" s="394" t="n"/>
      <c r="GI38" s="394" t="n"/>
      <c r="GJ38" s="394" t="n"/>
      <c r="GK38" s="394" t="n"/>
      <c r="GL38" s="394" t="n"/>
      <c r="GM38" s="394" t="n"/>
      <c r="GN38" s="394" t="n"/>
      <c r="GO38" s="394" t="n"/>
      <c r="GP38" s="394" t="n"/>
      <c r="GQ38" s="394" t="n"/>
      <c r="GR38" s="394" t="n"/>
      <c r="GS38" s="394" t="n"/>
      <c r="GT38" s="394" t="n"/>
      <c r="GU38" s="394" t="n"/>
      <c r="GV38" s="394" t="n"/>
      <c r="GW38" s="394" t="n"/>
      <c r="GX38" s="394" t="n"/>
      <c r="GY38" s="394" t="n"/>
      <c r="GZ38" s="394" t="n"/>
      <c r="HA38" s="394" t="n"/>
      <c r="HB38" s="394" t="n"/>
      <c r="HC38" s="394" t="n"/>
      <c r="HD38" s="394" t="n"/>
      <c r="HE38" s="394" t="n"/>
      <c r="HF38" s="394" t="n"/>
      <c r="HG38" s="394" t="n"/>
      <c r="HH38" s="394" t="n"/>
      <c r="HI38" s="394" t="n"/>
      <c r="HJ38" s="394" t="n"/>
      <c r="HK38" s="394" t="n"/>
      <c r="HL38" s="394" t="n"/>
      <c r="HM38" s="394" t="n"/>
      <c r="HN38" s="394" t="n"/>
      <c r="HO38" s="394" t="n"/>
      <c r="HP38" s="394" t="n"/>
      <c r="HQ38" s="394" t="n"/>
      <c r="HR38" s="394" t="n"/>
      <c r="HS38" s="394" t="n"/>
      <c r="HT38" s="394" t="n"/>
      <c r="HU38" s="394" t="n"/>
      <c r="HV38" s="394" t="n"/>
      <c r="HW38" s="394" t="n"/>
      <c r="HX38" s="394" t="n"/>
      <c r="HY38" s="394" t="n"/>
      <c r="HZ38" s="394" t="n"/>
      <c r="IA38" s="394" t="n"/>
      <c r="IB38" s="394" t="n"/>
      <c r="IC38" s="394" t="n"/>
      <c r="ID38" s="394" t="n"/>
      <c r="IE38" s="394" t="n"/>
      <c r="IF38" s="394" t="n"/>
      <c r="IG38" s="394" t="n"/>
      <c r="IH38" s="394" t="n"/>
      <c r="II38" s="394" t="n"/>
      <c r="IJ38" s="394" t="n"/>
      <c r="IK38" s="394" t="n"/>
      <c r="IL38" s="394" t="n"/>
      <c r="IM38" s="394" t="n"/>
      <c r="IN38" s="394" t="n"/>
      <c r="IO38" s="394" t="n"/>
      <c r="IP38" s="394" t="n"/>
      <c r="IQ38" s="394" t="n"/>
      <c r="IR38" s="394" t="n"/>
      <c r="IS38" s="394" t="n"/>
      <c r="IT38" s="394" t="n"/>
      <c r="IU38" s="394" t="n"/>
      <c r="IV38" s="394" t="n"/>
      <c r="IW38" s="394" t="n"/>
      <c r="IX38" s="394" t="n"/>
      <c r="IY38" s="394" t="n"/>
      <c r="IZ38" s="394" t="n"/>
      <c r="JA38" s="394" t="n"/>
      <c r="JB38" s="394" t="n"/>
      <c r="JC38" s="394" t="n"/>
      <c r="JD38" s="394" t="n"/>
      <c r="JE38" s="394" t="n"/>
      <c r="JF38" s="394" t="n"/>
      <c r="JG38" s="394" t="n"/>
      <c r="JH38" s="394" t="n"/>
      <c r="JI38" s="394" t="n"/>
      <c r="JJ38" s="394" t="n"/>
      <c r="JK38" s="394" t="n"/>
      <c r="JL38" s="394" t="n"/>
      <c r="JM38" s="394" t="n"/>
      <c r="JN38" s="394" t="n"/>
      <c r="JO38" s="394" t="n"/>
      <c r="JP38" s="394" t="n"/>
      <c r="JQ38" s="394" t="n"/>
      <c r="JR38" s="394" t="n"/>
      <c r="JS38" s="394" t="n"/>
      <c r="JT38" s="394" t="n"/>
      <c r="JU38" s="394" t="n"/>
      <c r="JV38" s="394" t="n"/>
      <c r="JW38" s="394" t="n"/>
      <c r="JX38" s="394" t="n"/>
      <c r="JY38" s="394" t="n"/>
      <c r="JZ38" s="394" t="n"/>
      <c r="KA38" s="394" t="n"/>
      <c r="KB38" s="394" t="n"/>
      <c r="KC38" s="394" t="n"/>
      <c r="KD38" s="394" t="n"/>
      <c r="KE38" s="394" t="n"/>
      <c r="KF38" s="394" t="n"/>
      <c r="KG38" s="394" t="n"/>
      <c r="KH38" s="394" t="n"/>
      <c r="KI38" s="394" t="n"/>
      <c r="KJ38" s="394" t="n"/>
      <c r="KK38" s="394" t="n"/>
      <c r="KL38" s="394" t="n"/>
      <c r="KM38" s="394" t="n"/>
      <c r="KN38" s="394" t="n"/>
      <c r="KO38" s="394" t="n"/>
      <c r="KP38" s="394" t="n"/>
    </row>
    <row r="39" ht="18" customFormat="1" customHeight="1" s="77">
      <c r="A39" s="464" t="n"/>
      <c r="B39" s="397" t="n"/>
      <c r="C39" s="397" t="inlineStr">
        <is>
          <t>KW 1</t>
        </is>
      </c>
      <c r="D39" s="397" t="n"/>
      <c r="E39" s="397" t="n"/>
      <c r="F39" s="397" t="n"/>
      <c r="G39" s="397" t="inlineStr">
        <is>
          <t>KW 2</t>
        </is>
      </c>
      <c r="H39" s="397" t="n"/>
      <c r="I39" s="397" t="n"/>
      <c r="J39" s="397" t="n"/>
      <c r="K39" s="397" t="n"/>
      <c r="L39" s="397" t="n"/>
      <c r="M39" s="397" t="n"/>
      <c r="N39" s="397" t="inlineStr">
        <is>
          <t>KW 3</t>
        </is>
      </c>
      <c r="O39" s="397" t="n"/>
      <c r="P39" s="397" t="n"/>
      <c r="Q39" s="397" t="n"/>
      <c r="R39" s="397" t="n"/>
      <c r="S39" s="397" t="n"/>
      <c r="T39" s="397" t="n"/>
      <c r="U39" s="397" t="inlineStr">
        <is>
          <t>KW 4</t>
        </is>
      </c>
      <c r="V39" s="397" t="n"/>
      <c r="W39" s="397" t="n"/>
      <c r="X39" s="397" t="n"/>
      <c r="Y39" s="397" t="n"/>
      <c r="Z39" s="397" t="n"/>
      <c r="AA39" s="397" t="n"/>
      <c r="AB39" s="397" t="inlineStr">
        <is>
          <t>KW 5</t>
        </is>
      </c>
      <c r="AC39" s="397" t="n"/>
      <c r="AD39" s="397" t="n"/>
      <c r="AE39" s="397" t="n"/>
      <c r="AF39" s="397" t="n"/>
      <c r="AG39" s="397" t="n"/>
      <c r="AH39" s="397" t="n"/>
      <c r="AI39" s="397" t="inlineStr">
        <is>
          <t>KW 6</t>
        </is>
      </c>
      <c r="AJ39" s="397" t="n"/>
      <c r="AK39" s="397" t="n"/>
      <c r="AL39" s="397" t="n"/>
      <c r="AM39" s="397" t="n"/>
      <c r="AN39" s="397" t="n"/>
      <c r="AO39" s="397" t="n"/>
      <c r="AP39" s="397" t="inlineStr">
        <is>
          <t>KW 7</t>
        </is>
      </c>
      <c r="AQ39" s="397" t="n"/>
      <c r="AR39" s="397" t="n"/>
      <c r="AS39" s="397" t="n"/>
      <c r="AT39" s="397" t="n"/>
      <c r="AU39" s="397" t="n"/>
      <c r="AV39" s="397" t="n"/>
      <c r="AW39" s="397" t="inlineStr">
        <is>
          <t>KW 8</t>
        </is>
      </c>
      <c r="AX39" s="397" t="n"/>
      <c r="AY39" s="397" t="n"/>
      <c r="AZ39" s="397" t="n"/>
      <c r="BA39" s="397" t="n"/>
      <c r="BB39" s="397" t="n"/>
      <c r="BC39" s="397" t="n"/>
      <c r="BD39" s="397" t="inlineStr">
        <is>
          <t>KW 9</t>
        </is>
      </c>
      <c r="BE39" s="397" t="n"/>
      <c r="BF39" s="397" t="n"/>
      <c r="BG39" s="397" t="n"/>
      <c r="BH39" s="397" t="n"/>
      <c r="BI39" s="397" t="n"/>
      <c r="BJ39" s="397" t="n"/>
      <c r="BK39" s="397" t="n"/>
      <c r="BL39" s="397" t="n"/>
      <c r="BM39" s="397" t="n"/>
      <c r="BN39" s="397" t="n"/>
      <c r="BO39" s="397" t="n"/>
      <c r="BP39" s="397" t="n"/>
      <c r="BQ39" s="397" t="n"/>
      <c r="BR39" s="397" t="n"/>
      <c r="BS39" s="397" t="n"/>
      <c r="BT39" s="397" t="n"/>
      <c r="BU39" s="397" t="n"/>
      <c r="BV39" s="397" t="n"/>
      <c r="BW39" s="397" t="n"/>
      <c r="BX39" s="397" t="n"/>
      <c r="BY39" s="397" t="n"/>
      <c r="BZ39" s="397" t="n"/>
      <c r="CA39" s="397" t="n"/>
      <c r="CB39" s="397" t="n"/>
      <c r="CC39" s="397" t="n"/>
      <c r="CD39" s="397" t="n"/>
      <c r="CE39" s="397" t="n"/>
      <c r="CF39" s="397" t="n"/>
      <c r="CG39" s="397" t="n"/>
      <c r="CH39" s="397" t="n"/>
      <c r="CI39" s="397" t="n"/>
      <c r="CJ39" s="397" t="n"/>
      <c r="CK39" s="397" t="n"/>
      <c r="CL39" s="397" t="n"/>
      <c r="CM39" s="397" t="n"/>
      <c r="CN39" s="397" t="n"/>
      <c r="CO39" s="397" t="n"/>
      <c r="CP39" s="397" t="n"/>
      <c r="CQ39" s="397" t="n"/>
      <c r="CR39" s="397" t="n"/>
      <c r="CS39" s="397" t="n"/>
      <c r="CT39" s="397" t="n"/>
      <c r="CU39" s="397" t="n"/>
      <c r="CV39" s="397" t="n"/>
      <c r="CW39" s="397" t="n"/>
      <c r="CX39" s="397" t="n"/>
      <c r="CY39" s="397" t="n"/>
      <c r="CZ39" s="397" t="n"/>
      <c r="DA39" s="397" t="n"/>
      <c r="DB39" s="397" t="n"/>
      <c r="DC39" s="397" t="n"/>
      <c r="DD39" s="397" t="n"/>
      <c r="DE39" s="397" t="n"/>
      <c r="DF39" s="397" t="n"/>
      <c r="DG39" s="397" t="n"/>
      <c r="DH39" s="397" t="n"/>
      <c r="DI39" s="397" t="n"/>
      <c r="DJ39" s="397" t="n"/>
      <c r="DK39" s="397" t="n"/>
      <c r="DL39" s="397" t="n"/>
      <c r="DM39" s="397" t="n"/>
      <c r="DN39" s="397" t="n"/>
      <c r="DO39" s="397" t="n"/>
      <c r="DP39" s="397" t="n"/>
      <c r="DQ39" s="397" t="n"/>
      <c r="DR39" s="397" t="n"/>
      <c r="DS39" s="397" t="n"/>
      <c r="DT39" s="397" t="n"/>
      <c r="DU39" s="397" t="n"/>
      <c r="DV39" s="397" t="n"/>
      <c r="DW39" s="397" t="n"/>
      <c r="DX39" s="397" t="n"/>
      <c r="DY39" s="397" t="n"/>
      <c r="DZ39" s="397" t="n"/>
      <c r="EA39" s="397" t="n"/>
      <c r="EB39" s="397" t="n"/>
      <c r="EC39" s="397" t="n"/>
      <c r="ED39" s="397" t="n"/>
      <c r="EE39" s="397" t="n"/>
      <c r="EF39" s="397" t="n"/>
      <c r="EG39" s="397" t="n"/>
      <c r="EH39" s="397" t="n"/>
      <c r="EI39" s="397" t="n"/>
      <c r="EJ39" s="397" t="n"/>
      <c r="EK39" s="397" t="n"/>
      <c r="EL39" s="397" t="n"/>
      <c r="EM39" s="397" t="n"/>
      <c r="EN39" s="397" t="n"/>
      <c r="EO39" s="397" t="n"/>
      <c r="EP39" s="397" t="n"/>
      <c r="EQ39" s="397" t="n"/>
      <c r="ER39" s="397" t="n"/>
      <c r="ES39" s="397" t="n"/>
      <c r="ET39" s="397" t="n"/>
      <c r="EU39" s="397" t="n"/>
      <c r="EV39" s="397" t="n"/>
      <c r="EW39" s="397" t="n"/>
      <c r="EX39" s="397" t="n"/>
      <c r="EY39" s="397" t="n"/>
      <c r="EZ39" s="397" t="n"/>
      <c r="FA39" s="397" t="n"/>
      <c r="FB39" s="397" t="n"/>
      <c r="FC39" s="397" t="n"/>
      <c r="FD39" s="397" t="n"/>
      <c r="FE39" s="397" t="n"/>
      <c r="FF39" s="397" t="n"/>
      <c r="FG39" s="397" t="n"/>
      <c r="FH39" s="397" t="n"/>
      <c r="FI39" s="397" t="n"/>
      <c r="FJ39" s="397" t="n"/>
      <c r="FK39" s="397" t="n"/>
      <c r="FL39" s="397" t="n"/>
      <c r="FM39" s="397" t="n"/>
      <c r="FN39" s="397" t="n"/>
      <c r="FO39" s="397" t="n"/>
      <c r="FP39" s="397" t="n"/>
      <c r="FQ39" s="397" t="n"/>
      <c r="FR39" s="397" t="n"/>
      <c r="FS39" s="397" t="n"/>
      <c r="FT39" s="397" t="n"/>
      <c r="FU39" s="397" t="n"/>
      <c r="FV39" s="397" t="n"/>
      <c r="FW39" s="397" t="n"/>
      <c r="FX39" s="397" t="n"/>
      <c r="FY39" s="397" t="n"/>
      <c r="FZ39" s="397" t="n"/>
      <c r="GA39" s="397" t="n"/>
      <c r="GB39" s="397" t="n"/>
      <c r="GC39" s="397" t="n"/>
      <c r="GD39" s="397" t="n"/>
      <c r="GE39" s="397" t="n"/>
      <c r="GF39" s="397" t="n"/>
      <c r="GG39" s="397" t="n"/>
      <c r="GH39" s="397" t="n"/>
      <c r="GI39" s="397" t="n"/>
      <c r="GJ39" s="397" t="n"/>
      <c r="GK39" s="397" t="n"/>
      <c r="GL39" s="397" t="n"/>
      <c r="GM39" s="397" t="n"/>
      <c r="GN39" s="397" t="n"/>
      <c r="GO39" s="397" t="n"/>
      <c r="GP39" s="397" t="n"/>
      <c r="GQ39" s="397" t="n"/>
      <c r="GR39" s="397" t="n"/>
      <c r="GS39" s="397" t="n"/>
      <c r="GT39" s="397" t="n"/>
      <c r="GU39" s="397" t="n"/>
      <c r="GV39" s="397" t="n"/>
      <c r="GW39" s="397" t="n"/>
      <c r="GX39" s="397" t="n"/>
      <c r="GY39" s="397" t="n"/>
      <c r="GZ39" s="397" t="n"/>
      <c r="HA39" s="397" t="n"/>
      <c r="HB39" s="397" t="n"/>
      <c r="HC39" s="397" t="n"/>
      <c r="HD39" s="397" t="n"/>
      <c r="HE39" s="397" t="n"/>
      <c r="HF39" s="397" t="n"/>
      <c r="HG39" s="397" t="n"/>
      <c r="HH39" s="397" t="n"/>
      <c r="HI39" s="397" t="n"/>
      <c r="HJ39" s="397" t="n"/>
      <c r="HK39" s="397" t="n"/>
      <c r="HL39" s="397" t="n"/>
      <c r="HM39" s="397" t="n"/>
      <c r="HN39" s="397" t="n"/>
      <c r="HO39" s="397" t="n"/>
      <c r="HP39" s="397" t="n"/>
      <c r="HQ39" s="397" t="n"/>
      <c r="HR39" s="397" t="n"/>
      <c r="HS39" s="397" t="n"/>
      <c r="HT39" s="397" t="n"/>
      <c r="HU39" s="397" t="n"/>
      <c r="HV39" s="397" t="n"/>
      <c r="HW39" s="397" t="n"/>
      <c r="HX39" s="397" t="n"/>
      <c r="HY39" s="397" t="n"/>
      <c r="HZ39" s="397" t="n"/>
      <c r="IA39" s="397" t="n"/>
      <c r="IB39" s="397" t="n"/>
      <c r="IC39" s="397" t="n"/>
      <c r="ID39" s="397" t="n"/>
      <c r="IE39" s="397" t="n"/>
      <c r="IF39" s="397" t="n"/>
      <c r="IG39" s="397" t="n"/>
      <c r="IH39" s="397" t="n"/>
      <c r="II39" s="397" t="n"/>
      <c r="IJ39" s="397" t="n"/>
      <c r="IK39" s="397" t="n"/>
      <c r="IL39" s="397" t="n"/>
      <c r="IM39" s="397" t="n"/>
      <c r="IN39" s="397" t="n"/>
      <c r="IO39" s="397" t="n"/>
      <c r="IP39" s="397" t="n"/>
      <c r="IQ39" s="397" t="n"/>
      <c r="IR39" s="397" t="n"/>
      <c r="IS39" s="397" t="n"/>
      <c r="IT39" s="397" t="n"/>
      <c r="IU39" s="397" t="n"/>
      <c r="IV39" s="397" t="n"/>
      <c r="IW39" s="397" t="n"/>
      <c r="IX39" s="397" t="n"/>
      <c r="IY39" s="397" t="n"/>
      <c r="IZ39" s="397" t="n"/>
      <c r="JA39" s="397" t="n"/>
      <c r="JB39" s="397" t="n"/>
      <c r="JC39" s="397" t="n"/>
      <c r="JD39" s="397" t="n"/>
      <c r="JE39" s="397" t="n"/>
      <c r="JF39" s="397" t="n"/>
      <c r="JG39" s="397" t="n"/>
      <c r="JH39" s="397" t="n"/>
      <c r="JI39" s="397" t="n"/>
      <c r="JJ39" s="397" t="n"/>
      <c r="JK39" s="397" t="n"/>
      <c r="JL39" s="397" t="n"/>
      <c r="JM39" s="397" t="n"/>
      <c r="JN39" s="397" t="n"/>
      <c r="JO39" s="397" t="n"/>
      <c r="JP39" s="397" t="n"/>
      <c r="JQ39" s="397" t="n"/>
      <c r="JR39" s="397" t="n"/>
      <c r="JS39" s="397" t="n"/>
      <c r="JT39" s="397" t="n"/>
      <c r="JU39" s="397" t="n"/>
      <c r="JV39" s="397" t="n"/>
      <c r="JW39" s="397" t="n"/>
      <c r="JX39" s="397" t="n"/>
      <c r="JY39" s="397" t="n"/>
      <c r="JZ39" s="397" t="n"/>
      <c r="KA39" s="397" t="n"/>
      <c r="KB39" s="397" t="n"/>
      <c r="KC39" s="397" t="n"/>
      <c r="KD39" s="397" t="n"/>
      <c r="KE39" s="397" t="n"/>
      <c r="KF39" s="397" t="n"/>
      <c r="KG39" s="397" t="n"/>
      <c r="KH39" s="397" t="n"/>
      <c r="KI39" s="397" t="n"/>
      <c r="KJ39" s="397" t="n"/>
      <c r="KK39" s="397" t="n"/>
      <c r="KL39" s="397" t="n"/>
      <c r="KM39" s="397" t="n"/>
      <c r="KN39" s="397" t="n"/>
      <c r="KO39" s="397" t="n"/>
      <c r="KP39" s="397" t="n"/>
    </row>
    <row r="40" ht="24" customHeight="1" thickBot="1">
      <c r="A40" s="234" t="n"/>
      <c r="B40" s="398" t="n"/>
      <c r="C40" s="399" t="n">
        <v>1</v>
      </c>
      <c r="D40" s="399" t="n">
        <v>2</v>
      </c>
      <c r="E40" s="399" t="n">
        <v>3</v>
      </c>
      <c r="F40" s="399" t="n">
        <v>4</v>
      </c>
      <c r="G40" s="399" t="n">
        <v>5</v>
      </c>
      <c r="H40" s="399" t="n">
        <v>6</v>
      </c>
      <c r="I40" s="399" t="n">
        <v>7</v>
      </c>
      <c r="J40" s="399" t="n">
        <v>8</v>
      </c>
      <c r="K40" s="399" t="n">
        <v>9</v>
      </c>
      <c r="L40" s="399" t="n">
        <v>10</v>
      </c>
      <c r="M40" s="399" t="n">
        <v>11</v>
      </c>
      <c r="N40" s="399" t="n">
        <v>12</v>
      </c>
      <c r="O40" s="399" t="n">
        <v>13</v>
      </c>
      <c r="P40" s="399" t="n">
        <v>14</v>
      </c>
      <c r="Q40" s="399" t="n">
        <v>15</v>
      </c>
      <c r="R40" s="399" t="n">
        <v>16</v>
      </c>
      <c r="S40" s="399" t="n">
        <v>17</v>
      </c>
      <c r="T40" s="399" t="n">
        <v>18</v>
      </c>
      <c r="U40" s="399" t="n">
        <v>19</v>
      </c>
      <c r="V40" s="399" t="n">
        <v>20</v>
      </c>
      <c r="W40" s="399" t="n">
        <v>21</v>
      </c>
      <c r="X40" s="399" t="n">
        <v>22</v>
      </c>
      <c r="Y40" s="399" t="n">
        <v>23</v>
      </c>
      <c r="Z40" s="399" t="n">
        <v>24</v>
      </c>
      <c r="AA40" s="399" t="n">
        <v>25</v>
      </c>
      <c r="AB40" s="399" t="n">
        <v>26</v>
      </c>
      <c r="AC40" s="399" t="n">
        <v>27</v>
      </c>
      <c r="AD40" s="399" t="n">
        <v>28</v>
      </c>
      <c r="AE40" s="399" t="n">
        <v>29</v>
      </c>
      <c r="AF40" s="399" t="n">
        <v>30</v>
      </c>
      <c r="AG40" s="399" t="n">
        <v>31</v>
      </c>
      <c r="AH40" s="399" t="n">
        <v>1</v>
      </c>
      <c r="AI40" s="399" t="n">
        <v>2</v>
      </c>
      <c r="AJ40" s="399" t="n">
        <v>3</v>
      </c>
      <c r="AK40" s="399" t="n">
        <v>4</v>
      </c>
      <c r="AL40" s="399" t="n">
        <v>5</v>
      </c>
      <c r="AM40" s="399" t="n">
        <v>6</v>
      </c>
      <c r="AN40" s="399" t="n">
        <v>7</v>
      </c>
      <c r="AO40" s="399" t="n">
        <v>8</v>
      </c>
      <c r="AP40" s="399" t="n">
        <v>9</v>
      </c>
      <c r="AQ40" s="399" t="n">
        <v>10</v>
      </c>
      <c r="AR40" s="399" t="n">
        <v>11</v>
      </c>
      <c r="AS40" s="399" t="n">
        <v>12</v>
      </c>
      <c r="AT40" s="399" t="n">
        <v>13</v>
      </c>
      <c r="AU40" s="399" t="n">
        <v>14</v>
      </c>
      <c r="AV40" s="399" t="n">
        <v>15</v>
      </c>
      <c r="AW40" s="399" t="n">
        <v>16</v>
      </c>
      <c r="AX40" s="399" t="n">
        <v>17</v>
      </c>
      <c r="AY40" s="399" t="n">
        <v>18</v>
      </c>
      <c r="AZ40" s="399" t="n">
        <v>19</v>
      </c>
      <c r="BA40" s="399" t="n">
        <v>20</v>
      </c>
      <c r="BB40" s="399" t="n">
        <v>21</v>
      </c>
      <c r="BC40" s="399" t="n">
        <v>22</v>
      </c>
      <c r="BD40" s="399" t="n">
        <v>23</v>
      </c>
      <c r="BE40" s="399" t="n">
        <v>24</v>
      </c>
      <c r="BF40" s="399" t="n">
        <v>25</v>
      </c>
      <c r="BG40" s="399" t="n">
        <v>26</v>
      </c>
      <c r="BH40" s="399" t="n">
        <v>27</v>
      </c>
      <c r="BI40" s="399" t="n">
        <v>28</v>
      </c>
      <c r="BJ40" s="399" t="n"/>
      <c r="BK40" s="399" t="n"/>
      <c r="BL40" s="399" t="n"/>
      <c r="BM40" s="399" t="n"/>
      <c r="BN40" s="399" t="n"/>
      <c r="BO40" s="399" t="n"/>
      <c r="BP40" s="399" t="n"/>
      <c r="BQ40" s="399" t="n"/>
      <c r="BR40" s="399" t="n"/>
      <c r="BS40" s="399" t="n"/>
      <c r="BT40" s="399" t="n"/>
      <c r="BU40" s="399" t="n"/>
      <c r="BV40" s="399" t="n"/>
      <c r="BW40" s="399" t="n"/>
      <c r="BX40" s="399" t="n"/>
      <c r="BY40" s="399" t="n"/>
      <c r="BZ40" s="399" t="n"/>
      <c r="CA40" s="399" t="n"/>
      <c r="CB40" s="399" t="n"/>
      <c r="CC40" s="399" t="n"/>
      <c r="CD40" s="399" t="n"/>
      <c r="CE40" s="399" t="n"/>
      <c r="CF40" s="399" t="n"/>
      <c r="CG40" s="399" t="n"/>
      <c r="CH40" s="399" t="n"/>
      <c r="CI40" s="399" t="n"/>
      <c r="CJ40" s="399" t="n"/>
      <c r="CK40" s="399" t="n"/>
      <c r="CL40" s="399" t="n"/>
      <c r="CM40" s="399" t="n"/>
      <c r="CN40" s="399" t="n"/>
      <c r="CO40" s="399" t="n"/>
      <c r="CP40" s="399" t="n"/>
      <c r="CQ40" s="399" t="n"/>
      <c r="CR40" s="399" t="n"/>
      <c r="CS40" s="399" t="n"/>
      <c r="CT40" s="399" t="n"/>
      <c r="CU40" s="399" t="n"/>
      <c r="CV40" s="399" t="n"/>
      <c r="CW40" s="399" t="inlineStr">
        <is>
          <t>NI</t>
        </is>
      </c>
      <c r="CX40" s="399" t="inlineStr">
        <is>
          <t>FZC 83</t>
        </is>
      </c>
      <c r="CY40" s="399" t="n"/>
      <c r="CZ40" s="399" t="inlineStr">
        <is>
          <t>KT</t>
        </is>
      </c>
      <c r="DA40" s="399" t="n"/>
      <c r="DB40" s="399" t="n"/>
      <c r="DC40" s="399" t="n"/>
      <c r="DD40" s="399" t="n"/>
      <c r="DE40" s="399" t="n"/>
      <c r="DF40" s="399" t="n"/>
      <c r="DG40" s="399" t="n"/>
      <c r="DH40" s="399" t="n"/>
      <c r="DI40" s="399" t="n"/>
      <c r="DJ40" s="399" t="n"/>
      <c r="DK40" s="399" t="n"/>
      <c r="DL40" s="399" t="n"/>
      <c r="DM40" s="399" t="n"/>
      <c r="DN40" s="399" t="n"/>
      <c r="DO40" s="399" t="n"/>
      <c r="DP40" s="399" t="n"/>
      <c r="DQ40" s="399" t="n"/>
      <c r="DR40" s="399" t="n"/>
      <c r="DS40" s="399" t="n"/>
      <c r="DT40" s="399" t="n"/>
      <c r="DU40" s="399" t="n"/>
      <c r="DV40" s="399" t="n"/>
      <c r="DW40" s="399" t="n"/>
      <c r="DX40" s="399" t="n"/>
      <c r="DY40" s="399" t="n"/>
      <c r="DZ40" s="399" t="n"/>
      <c r="EA40" s="399" t="n"/>
      <c r="EB40" s="399" t="n"/>
      <c r="EC40" s="399" t="n"/>
      <c r="ED40" s="399" t="n"/>
      <c r="EE40" s="399" t="n"/>
      <c r="EF40" s="399" t="n"/>
      <c r="EG40" s="399" t="n"/>
      <c r="EH40" s="399" t="n"/>
      <c r="EI40" s="399" t="n"/>
      <c r="EJ40" s="399" t="n"/>
      <c r="EK40" s="399" t="n"/>
      <c r="EL40" s="399" t="n"/>
      <c r="EM40" s="399" t="n"/>
      <c r="EN40" s="399" t="n"/>
      <c r="EO40" s="399" t="n"/>
      <c r="EP40" s="399" t="n"/>
      <c r="EQ40" s="399" t="n"/>
      <c r="ER40" s="399" t="n"/>
      <c r="ES40" s="399" t="n"/>
      <c r="ET40" s="399" t="n"/>
      <c r="EU40" s="399" t="n"/>
      <c r="EV40" s="399" t="n"/>
      <c r="EW40" s="399" t="n"/>
      <c r="EX40" s="399" t="n"/>
      <c r="EY40" s="399" t="n"/>
      <c r="EZ40" s="399" t="n"/>
      <c r="FA40" s="399" t="n"/>
      <c r="FB40" s="399" t="n"/>
      <c r="FC40" s="399" t="n"/>
      <c r="FD40" s="399" t="n"/>
      <c r="FE40" s="399" t="n"/>
      <c r="FF40" s="399" t="n"/>
      <c r="FG40" s="399" t="n"/>
      <c r="FH40" s="399" t="n"/>
      <c r="FI40" s="399" t="n"/>
      <c r="FJ40" s="399" t="n"/>
      <c r="FK40" s="399" t="n"/>
      <c r="FL40" s="399" t="n"/>
      <c r="FM40" s="399" t="n"/>
      <c r="FN40" s="399" t="n"/>
      <c r="FO40" s="399" t="n"/>
      <c r="FP40" s="399" t="n"/>
      <c r="FQ40" s="399" t="n"/>
      <c r="FR40" s="399" t="n"/>
      <c r="FS40" s="399" t="n"/>
      <c r="FT40" s="399" t="n"/>
      <c r="FU40" s="399" t="n"/>
      <c r="FV40" s="399" t="n"/>
      <c r="FW40" s="399" t="n"/>
      <c r="FX40" s="399" t="n"/>
      <c r="FY40" s="399" t="n"/>
      <c r="FZ40" s="399" t="n"/>
      <c r="GA40" s="399" t="n"/>
      <c r="GB40" s="399" t="n"/>
      <c r="GC40" s="399" t="n"/>
      <c r="GD40" s="399" t="n"/>
      <c r="GE40" s="399" t="n"/>
      <c r="GF40" s="399" t="n"/>
      <c r="GG40" s="399" t="n"/>
      <c r="GH40" s="399" t="n"/>
      <c r="GI40" s="399" t="n"/>
      <c r="GJ40" s="399" t="n"/>
      <c r="GK40" s="399" t="n"/>
      <c r="GL40" s="399" t="n"/>
      <c r="GM40" s="399" t="n"/>
      <c r="GN40" s="399" t="n"/>
      <c r="GO40" s="399" t="n"/>
      <c r="GP40" s="399" t="n"/>
      <c r="GQ40" s="399" t="n"/>
      <c r="GR40" s="399" t="n"/>
      <c r="GS40" s="399" t="n"/>
      <c r="GT40" s="399" t="n"/>
      <c r="GU40" s="399" t="n"/>
      <c r="GV40" s="399" t="n"/>
      <c r="GW40" s="399" t="n"/>
      <c r="GX40" s="399" t="n"/>
      <c r="GY40" s="399" t="n"/>
      <c r="GZ40" s="399" t="n"/>
      <c r="HA40" s="399" t="n"/>
      <c r="HB40" s="399" t="n"/>
      <c r="HC40" s="399" t="n"/>
      <c r="HD40" s="399" t="n"/>
      <c r="HE40" s="399" t="n"/>
      <c r="HF40" s="399" t="n"/>
      <c r="HG40" s="399" t="n"/>
      <c r="HH40" s="399" t="n"/>
      <c r="HI40" s="399" t="n"/>
      <c r="HJ40" s="399" t="n"/>
      <c r="HK40" s="399" t="n"/>
      <c r="HL40" s="399" t="n"/>
      <c r="HM40" s="399" t="n"/>
      <c r="HN40" s="399" t="n"/>
      <c r="HO40" s="399" t="n"/>
      <c r="HP40" s="399" t="n"/>
      <c r="HQ40" s="399" t="n"/>
      <c r="HR40" s="399" t="n"/>
      <c r="HS40" s="399" t="n"/>
      <c r="HT40" s="399" t="n"/>
      <c r="HU40" s="399" t="n"/>
      <c r="HV40" s="399" t="n"/>
      <c r="HW40" s="399" t="n"/>
      <c r="HX40" s="399" t="n"/>
      <c r="HY40" s="399" t="n"/>
      <c r="HZ40" s="399" t="n"/>
      <c r="IA40" s="399" t="n"/>
      <c r="IB40" s="399" t="n"/>
      <c r="IC40" s="399" t="n"/>
      <c r="ID40" s="399" t="n"/>
      <c r="IE40" s="399" t="n"/>
      <c r="IF40" s="399" t="n"/>
      <c r="IG40" s="399" t="n"/>
      <c r="IH40" s="399" t="n"/>
      <c r="II40" s="399" t="n"/>
      <c r="IJ40" s="399" t="n"/>
      <c r="IK40" s="399" t="n"/>
      <c r="IL40" s="399" t="n"/>
      <c r="IM40" s="399" t="n"/>
      <c r="IN40" s="399" t="n"/>
      <c r="IO40" s="399" t="n"/>
      <c r="IP40" s="399" t="n"/>
      <c r="IQ40" s="399" t="n"/>
      <c r="IR40" s="399" t="n"/>
      <c r="IS40" s="399" t="n"/>
      <c r="IT40" s="399" t="n"/>
      <c r="IU40" s="399" t="n"/>
      <c r="IV40" s="399" t="n"/>
      <c r="IW40" s="399" t="n"/>
      <c r="IX40" s="399" t="n"/>
      <c r="IY40" s="399" t="n"/>
      <c r="IZ40" s="399" t="n"/>
      <c r="JA40" s="399" t="n"/>
      <c r="JB40" s="399" t="n"/>
      <c r="JC40" s="399" t="n"/>
      <c r="JD40" s="399" t="n"/>
      <c r="JE40" s="399" t="n"/>
      <c r="JF40" s="399" t="n"/>
      <c r="JG40" s="399" t="n"/>
      <c r="JH40" s="399" t="n"/>
      <c r="JI40" s="399" t="n"/>
      <c r="JJ40" s="399" t="n"/>
      <c r="JK40" s="399" t="n"/>
      <c r="JL40" s="399" t="n"/>
      <c r="JM40" s="399" t="n"/>
      <c r="JN40" s="399" t="n"/>
      <c r="JO40" s="399" t="n"/>
      <c r="JP40" s="399" t="n"/>
      <c r="JQ40" s="399" t="n"/>
      <c r="JR40" s="399" t="n"/>
      <c r="JS40" s="399" t="n"/>
      <c r="JT40" s="399" t="n"/>
      <c r="JU40" s="399" t="n"/>
      <c r="JV40" s="399" t="n"/>
      <c r="JW40" s="399" t="n"/>
      <c r="JX40" s="399" t="n"/>
      <c r="JY40" s="399" t="n"/>
      <c r="JZ40" s="399" t="n"/>
      <c r="KA40" s="399" t="n"/>
      <c r="KB40" s="399" t="n"/>
      <c r="KC40" s="399" t="n"/>
      <c r="KD40" s="399" t="n"/>
      <c r="KE40" s="399" t="n"/>
      <c r="KF40" s="399" t="n"/>
      <c r="KG40" s="399" t="n"/>
      <c r="KH40" s="399" t="n"/>
      <c r="KI40" s="399" t="n"/>
      <c r="KJ40" s="399" t="n"/>
      <c r="KK40" s="399" t="n"/>
      <c r="KL40" s="399" t="n"/>
      <c r="KM40" s="399" t="n"/>
      <c r="KN40" s="399" t="n"/>
      <c r="KO40" s="399" t="n"/>
      <c r="KP40" s="399" t="n"/>
    </row>
    <row r="41" ht="24" customHeight="1" thickBot="1" thickTop="1">
      <c r="A41" s="234" t="n"/>
      <c r="B41" s="400" t="n"/>
      <c r="C41" s="400" t="inlineStr">
        <is>
          <t>Fr</t>
        </is>
      </c>
      <c r="D41" s="401" t="inlineStr">
        <is>
          <t>Sa</t>
        </is>
      </c>
      <c r="E41" s="401" t="inlineStr">
        <is>
          <t>So</t>
        </is>
      </c>
      <c r="F41" s="400" t="inlineStr">
        <is>
          <t>Mo</t>
        </is>
      </c>
      <c r="G41" s="400" t="inlineStr">
        <is>
          <t>Di</t>
        </is>
      </c>
      <c r="H41" s="400" t="inlineStr">
        <is>
          <t>Mi</t>
        </is>
      </c>
      <c r="I41" s="400" t="inlineStr">
        <is>
          <t>Do</t>
        </is>
      </c>
      <c r="J41" s="400" t="inlineStr">
        <is>
          <t>Fr</t>
        </is>
      </c>
      <c r="K41" s="401" t="inlineStr">
        <is>
          <t>Sa</t>
        </is>
      </c>
      <c r="L41" s="401" t="inlineStr">
        <is>
          <t>So</t>
        </is>
      </c>
      <c r="M41" s="400" t="inlineStr">
        <is>
          <t>Mo</t>
        </is>
      </c>
      <c r="N41" s="400" t="inlineStr">
        <is>
          <t>Di</t>
        </is>
      </c>
      <c r="O41" s="400" t="inlineStr">
        <is>
          <t>Mi</t>
        </is>
      </c>
      <c r="P41" s="400" t="inlineStr">
        <is>
          <t>Do</t>
        </is>
      </c>
      <c r="Q41" s="400" t="inlineStr">
        <is>
          <t>Fr</t>
        </is>
      </c>
      <c r="R41" s="401" t="inlineStr">
        <is>
          <t>Sa</t>
        </is>
      </c>
      <c r="S41" s="401" t="inlineStr">
        <is>
          <t>So</t>
        </is>
      </c>
      <c r="T41" s="400" t="inlineStr">
        <is>
          <t>Mo</t>
        </is>
      </c>
      <c r="U41" s="400" t="inlineStr">
        <is>
          <t>Di</t>
        </is>
      </c>
      <c r="V41" s="400" t="inlineStr">
        <is>
          <t>Mi</t>
        </is>
      </c>
      <c r="W41" s="400" t="inlineStr">
        <is>
          <t>Do</t>
        </is>
      </c>
      <c r="X41" s="400" t="inlineStr">
        <is>
          <t>Fr</t>
        </is>
      </c>
      <c r="Y41" s="401" t="inlineStr">
        <is>
          <t>Sa</t>
        </is>
      </c>
      <c r="Z41" s="401" t="inlineStr">
        <is>
          <t>So</t>
        </is>
      </c>
      <c r="AA41" s="400" t="inlineStr">
        <is>
          <t>Mo</t>
        </is>
      </c>
      <c r="AB41" s="400" t="inlineStr">
        <is>
          <t>Di</t>
        </is>
      </c>
      <c r="AC41" s="400" t="inlineStr">
        <is>
          <t>Mi</t>
        </is>
      </c>
      <c r="AD41" s="400" t="inlineStr">
        <is>
          <t>Do</t>
        </is>
      </c>
      <c r="AE41" s="400" t="inlineStr">
        <is>
          <t>Fr</t>
        </is>
      </c>
      <c r="AF41" s="401" t="inlineStr">
        <is>
          <t>Sa</t>
        </is>
      </c>
      <c r="AG41" s="401" t="inlineStr">
        <is>
          <t>So</t>
        </is>
      </c>
      <c r="AH41" s="400" t="inlineStr">
        <is>
          <t>Mo</t>
        </is>
      </c>
      <c r="AI41" s="400" t="inlineStr">
        <is>
          <t>Di</t>
        </is>
      </c>
      <c r="AJ41" s="400" t="inlineStr">
        <is>
          <t>Mi</t>
        </is>
      </c>
      <c r="AK41" s="400" t="inlineStr">
        <is>
          <t>Do</t>
        </is>
      </c>
      <c r="AL41" s="400" t="inlineStr">
        <is>
          <t>Fr</t>
        </is>
      </c>
      <c r="AM41" s="401" t="inlineStr">
        <is>
          <t>Sa</t>
        </is>
      </c>
      <c r="AN41" s="401" t="inlineStr">
        <is>
          <t>So</t>
        </is>
      </c>
      <c r="AO41" s="400" t="inlineStr">
        <is>
          <t>Mo</t>
        </is>
      </c>
      <c r="AP41" s="400" t="inlineStr">
        <is>
          <t>Di</t>
        </is>
      </c>
      <c r="AQ41" s="400" t="inlineStr">
        <is>
          <t>Mi</t>
        </is>
      </c>
      <c r="AR41" s="400" t="inlineStr">
        <is>
          <t>Do</t>
        </is>
      </c>
      <c r="AS41" s="400" t="inlineStr">
        <is>
          <t>Fr</t>
        </is>
      </c>
      <c r="AT41" s="401" t="inlineStr">
        <is>
          <t>Sa</t>
        </is>
      </c>
      <c r="AU41" s="401" t="inlineStr">
        <is>
          <t>So</t>
        </is>
      </c>
      <c r="AV41" s="400" t="inlineStr">
        <is>
          <t>Mo</t>
        </is>
      </c>
      <c r="AW41" s="400" t="inlineStr">
        <is>
          <t>Di</t>
        </is>
      </c>
      <c r="AX41" s="400" t="inlineStr">
        <is>
          <t>Mi</t>
        </is>
      </c>
      <c r="AY41" s="400" t="inlineStr">
        <is>
          <t>Do</t>
        </is>
      </c>
      <c r="AZ41" s="400" t="inlineStr">
        <is>
          <t>Fr</t>
        </is>
      </c>
      <c r="BA41" s="401" t="inlineStr">
        <is>
          <t>Sa</t>
        </is>
      </c>
      <c r="BB41" s="401" t="inlineStr">
        <is>
          <t>So</t>
        </is>
      </c>
      <c r="BC41" s="400" t="inlineStr">
        <is>
          <t>Mo</t>
        </is>
      </c>
      <c r="BD41" s="400" t="inlineStr">
        <is>
          <t>Di</t>
        </is>
      </c>
      <c r="BE41" s="400" t="inlineStr">
        <is>
          <t>Mi</t>
        </is>
      </c>
      <c r="BF41" s="400" t="inlineStr">
        <is>
          <t>Do</t>
        </is>
      </c>
      <c r="BG41" s="400" t="inlineStr">
        <is>
          <t>Fr</t>
        </is>
      </c>
      <c r="BH41" s="401" t="inlineStr">
        <is>
          <t>Sa</t>
        </is>
      </c>
      <c r="BI41" s="401" t="inlineStr">
        <is>
          <t>So</t>
        </is>
      </c>
      <c r="BJ41" s="400" t="n"/>
      <c r="BK41" s="400" t="n"/>
      <c r="BL41" s="400" t="n"/>
      <c r="BM41" s="400" t="n"/>
      <c r="BN41" s="400" t="n"/>
      <c r="BO41" s="400" t="n"/>
      <c r="BP41" s="400" t="n"/>
      <c r="BQ41" s="400" t="n"/>
      <c r="BR41" s="400" t="n"/>
      <c r="BS41" s="400" t="n"/>
      <c r="BT41" s="400" t="n"/>
      <c r="BU41" s="400" t="n"/>
      <c r="BV41" s="400" t="n"/>
      <c r="BW41" s="400" t="n"/>
      <c r="BX41" s="400" t="n"/>
      <c r="BY41" s="400" t="n"/>
      <c r="BZ41" s="400" t="n"/>
      <c r="CA41" s="400" t="n"/>
      <c r="CB41" s="400" t="n"/>
      <c r="CC41" s="400" t="n"/>
      <c r="CD41" s="400" t="n"/>
      <c r="CE41" s="400" t="n"/>
      <c r="CF41" s="400" t="n"/>
      <c r="CG41" s="400" t="n"/>
      <c r="CH41" s="400" t="n"/>
      <c r="CI41" s="400" t="n"/>
      <c r="CJ41" s="400" t="n"/>
      <c r="CK41" s="400" t="n"/>
      <c r="CL41" s="400" t="n"/>
      <c r="CM41" s="400" t="n"/>
      <c r="CN41" s="400" t="n"/>
      <c r="CO41" s="400" t="n"/>
      <c r="CP41" s="400" t="n"/>
      <c r="CQ41" s="400" t="n"/>
      <c r="CR41" s="400" t="n"/>
      <c r="CS41" s="400" t="n"/>
      <c r="CT41" s="400" t="n"/>
      <c r="CU41" s="400" t="n"/>
      <c r="CV41" s="400" t="n"/>
      <c r="CW41" s="400" t="n"/>
      <c r="CX41" s="400" t="inlineStr">
        <is>
          <t>QM</t>
        </is>
      </c>
      <c r="CY41" s="400" t="n"/>
      <c r="CZ41" s="400" t="n"/>
      <c r="DA41" s="400" t="n"/>
      <c r="DB41" s="400" t="n"/>
      <c r="DC41" s="400" t="n"/>
      <c r="DD41" s="400" t="n"/>
      <c r="DE41" s="400" t="n"/>
      <c r="DF41" s="400" t="n"/>
      <c r="DG41" s="400" t="n"/>
      <c r="DH41" s="400" t="n"/>
      <c r="DI41" s="400" t="n"/>
      <c r="DJ41" s="400" t="n"/>
      <c r="DK41" s="400" t="n"/>
      <c r="DL41" s="400" t="n"/>
      <c r="DM41" s="400" t="n"/>
      <c r="DN41" s="400" t="n"/>
      <c r="DO41" s="400" t="n"/>
      <c r="DP41" s="400" t="n"/>
      <c r="DQ41" s="400" t="n"/>
      <c r="DR41" s="400" t="n"/>
      <c r="DS41" s="400" t="n"/>
      <c r="DT41" s="400" t="n"/>
      <c r="DU41" s="400" t="n"/>
      <c r="DV41" s="400" t="n"/>
      <c r="DW41" s="400" t="n"/>
      <c r="DX41" s="400" t="n"/>
      <c r="DY41" s="400" t="n"/>
      <c r="DZ41" s="400" t="n"/>
      <c r="EA41" s="400" t="n"/>
      <c r="EB41" s="400" t="n"/>
      <c r="EC41" s="400" t="n"/>
      <c r="ED41" s="400" t="n"/>
      <c r="EE41" s="400" t="n"/>
      <c r="EF41" s="400" t="n"/>
      <c r="EG41" s="400" t="n"/>
      <c r="EH41" s="400" t="n"/>
      <c r="EI41" s="400" t="n"/>
      <c r="EJ41" s="400" t="n"/>
      <c r="EK41" s="400" t="n"/>
      <c r="EL41" s="400" t="n"/>
      <c r="EM41" s="400" t="n"/>
      <c r="EN41" s="400" t="n"/>
      <c r="EO41" s="400" t="n"/>
      <c r="EP41" s="400" t="n"/>
      <c r="EQ41" s="400" t="n"/>
      <c r="ER41" s="400" t="n"/>
      <c r="ES41" s="400" t="n"/>
      <c r="ET41" s="400" t="n"/>
      <c r="EU41" s="400" t="n"/>
      <c r="EV41" s="400" t="n"/>
      <c r="EW41" s="400" t="n"/>
      <c r="EX41" s="400" t="n"/>
      <c r="EY41" s="400" t="n"/>
      <c r="EZ41" s="400" t="n"/>
      <c r="FA41" s="400" t="n"/>
      <c r="FB41" s="400" t="n"/>
      <c r="FC41" s="400" t="n"/>
      <c r="FD41" s="400" t="n"/>
      <c r="FE41" s="400" t="n"/>
      <c r="FF41" s="400" t="n"/>
      <c r="FG41" s="400" t="n"/>
      <c r="FH41" s="400" t="n"/>
      <c r="FI41" s="400" t="n"/>
      <c r="FJ41" s="400" t="n"/>
      <c r="FK41" s="400" t="n"/>
      <c r="FL41" s="400" t="n"/>
      <c r="FM41" s="400" t="n"/>
      <c r="FN41" s="400" t="n"/>
      <c r="FO41" s="400" t="n"/>
      <c r="FP41" s="400" t="n"/>
      <c r="FQ41" s="400" t="n"/>
      <c r="FR41" s="400" t="n"/>
      <c r="FS41" s="400" t="n"/>
      <c r="FT41" s="400" t="n"/>
      <c r="FU41" s="400" t="n"/>
      <c r="FV41" s="400" t="n"/>
      <c r="FW41" s="400" t="n"/>
      <c r="FX41" s="400" t="n"/>
      <c r="FY41" s="400" t="n"/>
      <c r="FZ41" s="400" t="n"/>
      <c r="GA41" s="400" t="n"/>
      <c r="GB41" s="400" t="n"/>
      <c r="GC41" s="400" t="n"/>
      <c r="GD41" s="400" t="n"/>
      <c r="GE41" s="400" t="n"/>
      <c r="GF41" s="400" t="n"/>
      <c r="GG41" s="400" t="n"/>
      <c r="GH41" s="400" t="n"/>
      <c r="GI41" s="400" t="n"/>
      <c r="GJ41" s="400" t="n"/>
      <c r="GK41" s="400" t="n"/>
      <c r="GL41" s="400" t="n"/>
      <c r="GM41" s="400" t="n"/>
      <c r="GN41" s="400" t="n"/>
      <c r="GO41" s="400" t="n"/>
      <c r="GP41" s="400" t="n"/>
      <c r="GQ41" s="400" t="n"/>
      <c r="GR41" s="400" t="n"/>
      <c r="GS41" s="400" t="n"/>
      <c r="GT41" s="400" t="n"/>
      <c r="GU41" s="400" t="n"/>
      <c r="GV41" s="400" t="n"/>
      <c r="GW41" s="400" t="n"/>
      <c r="GX41" s="400" t="n"/>
      <c r="GY41" s="400" t="n"/>
      <c r="GZ41" s="400" t="n"/>
      <c r="HA41" s="400" t="n"/>
      <c r="HB41" s="400" t="n"/>
      <c r="HC41" s="400" t="n"/>
      <c r="HD41" s="400" t="n"/>
      <c r="HE41" s="400" t="n"/>
      <c r="HF41" s="400" t="n"/>
      <c r="HG41" s="400" t="n"/>
      <c r="HH41" s="400" t="n"/>
      <c r="HI41" s="400" t="n"/>
      <c r="HJ41" s="400" t="n"/>
      <c r="HK41" s="400" t="n"/>
      <c r="HL41" s="400" t="n"/>
      <c r="HM41" s="400" t="n"/>
      <c r="HN41" s="400" t="n"/>
      <c r="HO41" s="400" t="n"/>
      <c r="HP41" s="400" t="n"/>
      <c r="HQ41" s="400" t="n"/>
      <c r="HR41" s="400" t="n"/>
      <c r="HS41" s="400" t="n"/>
      <c r="HT41" s="400" t="n"/>
      <c r="HU41" s="400" t="n"/>
      <c r="HV41" s="400" t="n"/>
      <c r="HW41" s="400" t="n"/>
      <c r="HX41" s="400" t="n"/>
      <c r="HY41" s="400" t="n"/>
      <c r="HZ41" s="400" t="n"/>
      <c r="IA41" s="400" t="n"/>
      <c r="IB41" s="400" t="n"/>
      <c r="IC41" s="400" t="n"/>
      <c r="ID41" s="400" t="n"/>
      <c r="IE41" s="400" t="n"/>
      <c r="IF41" s="400" t="n"/>
      <c r="IG41" s="400" t="n"/>
      <c r="IH41" s="400" t="n"/>
      <c r="II41" s="400" t="n"/>
      <c r="IJ41" s="400" t="n"/>
      <c r="IK41" s="400" t="n"/>
      <c r="IL41" s="400" t="n"/>
      <c r="IM41" s="400" t="n"/>
      <c r="IN41" s="400" t="n"/>
      <c r="IO41" s="400" t="n"/>
      <c r="IP41" s="400" t="n"/>
      <c r="IQ41" s="400" t="n"/>
      <c r="IR41" s="400" t="n"/>
      <c r="IS41" s="400" t="n"/>
      <c r="IT41" s="400" t="n"/>
      <c r="IU41" s="400" t="n"/>
      <c r="IV41" s="400" t="n"/>
      <c r="IW41" s="400" t="n"/>
      <c r="IX41" s="400" t="n"/>
      <c r="IY41" s="400" t="n"/>
      <c r="IZ41" s="400" t="n"/>
      <c r="JA41" s="400" t="n"/>
      <c r="JB41" s="400" t="n"/>
      <c r="JC41" s="400" t="n"/>
      <c r="JD41" s="400" t="n"/>
      <c r="JE41" s="400" t="n"/>
      <c r="JF41" s="400" t="n"/>
      <c r="JG41" s="400" t="n"/>
      <c r="JH41" s="400" t="n"/>
      <c r="JI41" s="400" t="n"/>
      <c r="JJ41" s="400" t="n"/>
      <c r="JK41" s="400" t="n"/>
      <c r="JL41" s="400" t="n"/>
      <c r="JM41" s="400" t="n"/>
      <c r="JN41" s="400" t="n"/>
      <c r="JO41" s="400" t="n"/>
      <c r="JP41" s="400" t="n"/>
      <c r="JQ41" s="400" t="n"/>
      <c r="JR41" s="400" t="n"/>
      <c r="JS41" s="400" t="n"/>
      <c r="JT41" s="400" t="n"/>
      <c r="JU41" s="400" t="n"/>
      <c r="JV41" s="400" t="n"/>
      <c r="JW41" s="400" t="n"/>
      <c r="JX41" s="400" t="n"/>
      <c r="JY41" s="400" t="n"/>
      <c r="JZ41" s="400" t="n"/>
      <c r="KA41" s="400" t="n"/>
      <c r="KB41" s="400" t="n"/>
      <c r="KC41" s="400" t="n"/>
      <c r="KD41" s="400" t="n"/>
      <c r="KE41" s="400" t="n"/>
      <c r="KF41" s="400" t="n"/>
      <c r="KG41" s="400" t="n"/>
      <c r="KH41" s="400" t="n"/>
      <c r="KI41" s="400" t="n"/>
      <c r="KJ41" s="400" t="n"/>
      <c r="KK41" s="400" t="n"/>
      <c r="KL41" s="400" t="n"/>
      <c r="KM41" s="400" t="n"/>
      <c r="KN41" s="400" t="n"/>
      <c r="KO41" s="400" t="n"/>
      <c r="KP41" s="400" t="n"/>
    </row>
    <row r="42" ht="26" customHeight="1" thickBot="1">
      <c r="A42" s="234" t="n"/>
      <c r="B42" s="402" t="inlineStr">
        <is>
          <t>Breig</t>
        </is>
      </c>
      <c r="C42" s="466" t="n"/>
      <c r="D42" s="405" t="n"/>
      <c r="E42" s="405" t="n"/>
      <c r="F42" s="405" t="n"/>
      <c r="G42" s="440" t="n"/>
      <c r="H42" s="406" t="n"/>
      <c r="I42" s="420" t="n"/>
      <c r="J42" s="420" t="n"/>
      <c r="K42" s="405" t="n"/>
      <c r="L42" s="405" t="n"/>
      <c r="M42" s="405" t="n"/>
      <c r="N42" s="405" t="n"/>
      <c r="O42" s="425" t="n"/>
      <c r="P42" s="428" t="n"/>
      <c r="Q42" s="420" t="n"/>
      <c r="R42" s="405" t="n"/>
      <c r="S42" s="405" t="n"/>
      <c r="T42" s="405" t="n"/>
      <c r="U42" s="405" t="n"/>
      <c r="V42" s="428" t="n"/>
      <c r="W42" s="428" t="n"/>
      <c r="X42" s="420" t="n"/>
      <c r="Y42" s="405" t="n"/>
      <c r="Z42" s="405" t="n"/>
      <c r="AA42" s="405" t="n"/>
      <c r="AB42" s="405" t="n"/>
      <c r="AC42" s="428" t="n"/>
      <c r="AD42" s="428" t="n"/>
      <c r="AE42" s="420" t="n"/>
      <c r="AF42" s="405" t="n"/>
      <c r="AG42" s="405" t="n"/>
      <c r="AH42" s="405" t="n"/>
      <c r="AI42" s="405" t="n"/>
      <c r="AJ42" s="428" t="n"/>
      <c r="AK42" s="428" t="n"/>
      <c r="AL42" s="420" t="n"/>
      <c r="AM42" s="405" t="n"/>
      <c r="AN42" s="405" t="n"/>
      <c r="AO42" s="405" t="n"/>
      <c r="AP42" s="405" t="n"/>
      <c r="AQ42" s="428" t="n"/>
      <c r="AR42" s="428" t="n"/>
      <c r="AS42" s="420" t="n"/>
      <c r="AT42" s="405" t="n"/>
      <c r="AU42" s="405" t="n"/>
      <c r="AV42" s="405" t="n"/>
      <c r="AW42" s="405" t="n"/>
      <c r="AX42" s="428" t="n"/>
      <c r="AY42" s="428" t="n"/>
      <c r="AZ42" s="420" t="n"/>
      <c r="BA42" s="405" t="n"/>
      <c r="BB42" s="405" t="n"/>
      <c r="BC42" s="405" t="n"/>
      <c r="BD42" s="405" t="n"/>
      <c r="BE42" s="428" t="n"/>
      <c r="BF42" s="428" t="n"/>
      <c r="BG42" s="420" t="n"/>
      <c r="BH42" s="405" t="n"/>
      <c r="BI42" s="405" t="n"/>
      <c r="BJ42" s="430" t="n"/>
      <c r="BK42" s="430" t="n"/>
      <c r="BL42" s="429" t="n"/>
      <c r="BM42" s="429" t="n"/>
      <c r="BN42" s="429" t="n"/>
      <c r="BO42" s="429" t="n"/>
      <c r="BP42" s="430" t="n"/>
      <c r="BQ42" s="430" t="n"/>
      <c r="BR42" s="430" t="n"/>
      <c r="BS42" s="429" t="n"/>
      <c r="BT42" s="429" t="n"/>
      <c r="BU42" s="429" t="n"/>
      <c r="BV42" s="429" t="n"/>
      <c r="BW42" s="430" t="n"/>
      <c r="BX42" s="430" t="n"/>
      <c r="BY42" s="430" t="n"/>
      <c r="BZ42" s="429" t="n"/>
      <c r="CA42" s="429" t="n"/>
      <c r="CB42" s="429" t="n"/>
      <c r="CC42" s="429" t="n"/>
      <c r="CD42" s="430" t="n"/>
      <c r="CE42" s="430" t="n"/>
      <c r="CF42" s="430" t="n"/>
      <c r="CG42" s="429" t="n"/>
      <c r="CH42" s="429" t="n"/>
      <c r="CI42" s="429" t="n"/>
      <c r="CJ42" s="429" t="n"/>
      <c r="CK42" s="430" t="n"/>
      <c r="CL42" s="430" t="n"/>
      <c r="CM42" s="430" t="n"/>
      <c r="CN42" s="429" t="n"/>
      <c r="CO42" s="429" t="n"/>
      <c r="CP42" s="429" t="n"/>
      <c r="CQ42" s="429" t="n"/>
      <c r="CR42" s="430" t="n"/>
      <c r="CS42" s="430" t="n"/>
      <c r="CT42" s="430" t="n"/>
      <c r="CU42" s="429" t="n"/>
      <c r="CV42" s="429" t="n"/>
      <c r="CW42" s="429" t="n"/>
      <c r="CX42" s="417" t="inlineStr">
        <is>
          <t>Fobi</t>
        </is>
      </c>
      <c r="CY42" s="417" t="inlineStr">
        <is>
          <t>Fobi</t>
        </is>
      </c>
      <c r="CZ42" s="430" t="n"/>
      <c r="DA42" s="430" t="n"/>
      <c r="DB42" s="429" t="n"/>
      <c r="DC42" s="429" t="n"/>
      <c r="DD42" s="429" t="n"/>
      <c r="DE42" s="429" t="n"/>
      <c r="DF42" s="430" t="n"/>
      <c r="DG42" s="430" t="n"/>
      <c r="DH42" s="430" t="n"/>
      <c r="DI42" s="429" t="n"/>
      <c r="DJ42" s="429" t="n"/>
      <c r="DK42" s="429" t="n"/>
      <c r="DL42" s="429" t="n"/>
      <c r="DM42" s="430" t="n"/>
      <c r="DN42" s="430" t="n"/>
      <c r="DO42" s="430" t="n"/>
      <c r="DP42" s="429" t="n"/>
      <c r="DQ42" s="429" t="n"/>
      <c r="DR42" s="429" t="n"/>
      <c r="DS42" s="429" t="n"/>
      <c r="DT42" s="430" t="n"/>
      <c r="DU42" s="430" t="n"/>
      <c r="DV42" s="430" t="n"/>
      <c r="DW42" s="429" t="n"/>
      <c r="DX42" s="429" t="n"/>
      <c r="DY42" s="429" t="n"/>
      <c r="DZ42" s="429" t="n"/>
      <c r="EA42" s="430" t="n"/>
      <c r="EB42" s="430" t="n"/>
      <c r="EC42" s="430" t="n"/>
      <c r="ED42" s="429" t="n"/>
      <c r="EE42" s="429" t="n"/>
      <c r="EF42" s="429" t="n"/>
      <c r="EG42" s="429" t="n"/>
      <c r="EH42" s="430" t="n"/>
      <c r="EI42" s="430" t="n"/>
      <c r="EJ42" s="430" t="n"/>
      <c r="EK42" s="429" t="n"/>
      <c r="EL42" s="429" t="n"/>
      <c r="EM42" s="429" t="n"/>
      <c r="EN42" s="429" t="n"/>
      <c r="EO42" s="430" t="n"/>
      <c r="EP42" s="430" t="n"/>
      <c r="EQ42" s="430" t="n"/>
      <c r="ER42" s="429" t="n"/>
      <c r="ES42" s="429" t="n"/>
      <c r="ET42" s="429" t="n"/>
      <c r="EU42" s="429" t="n"/>
      <c r="EV42" s="430" t="n"/>
      <c r="EW42" s="430" t="n"/>
      <c r="EX42" s="430" t="n"/>
      <c r="EY42" s="429" t="n"/>
      <c r="EZ42" s="429" t="n"/>
      <c r="FA42" s="429" t="n"/>
      <c r="FB42" s="429" t="n"/>
      <c r="FC42" s="430" t="n"/>
      <c r="FD42" s="430" t="n"/>
      <c r="FE42" s="430" t="n"/>
      <c r="FF42" s="429" t="n"/>
      <c r="FG42" s="429" t="n"/>
      <c r="FH42" s="429" t="n"/>
      <c r="FI42" s="429" t="n"/>
      <c r="FJ42" s="430" t="n"/>
      <c r="FK42" s="430" t="n"/>
      <c r="FL42" s="430" t="n"/>
      <c r="FM42" s="429" t="n"/>
      <c r="FN42" s="429" t="n"/>
      <c r="FO42" s="429" t="n"/>
      <c r="FP42" s="429" t="n"/>
      <c r="FQ42" s="430" t="n"/>
      <c r="FR42" s="430" t="n"/>
      <c r="FS42" s="430" t="n"/>
      <c r="FT42" s="429" t="n"/>
      <c r="FU42" s="429" t="n"/>
      <c r="FV42" s="429" t="n"/>
      <c r="FW42" s="429" t="n"/>
      <c r="FX42" s="430" t="n"/>
      <c r="FY42" s="430" t="n"/>
      <c r="FZ42" s="430" t="n"/>
      <c r="GA42" s="429" t="n"/>
      <c r="GB42" s="429" t="n"/>
      <c r="GC42" s="429" t="n"/>
      <c r="GD42" s="429" t="n"/>
      <c r="GE42" s="429" t="n"/>
      <c r="GF42" s="429" t="n"/>
      <c r="GG42" s="429" t="n"/>
      <c r="GH42" s="429" t="n"/>
      <c r="GI42" s="429" t="n"/>
      <c r="GJ42" s="429" t="n"/>
      <c r="GK42" s="429" t="n"/>
      <c r="GL42" s="429" t="n"/>
      <c r="GM42" s="429" t="n"/>
      <c r="GN42" s="429" t="n"/>
      <c r="GO42" s="429" t="n"/>
      <c r="GP42" s="429" t="n"/>
      <c r="GQ42" s="429" t="n"/>
      <c r="GR42" s="429" t="n"/>
      <c r="GS42" s="429" t="n"/>
      <c r="GT42" s="429" t="n"/>
      <c r="GU42" s="429" t="n"/>
      <c r="GV42" s="429" t="n"/>
      <c r="GW42" s="429" t="n"/>
      <c r="GX42" s="429" t="n"/>
      <c r="GY42" s="429" t="n"/>
      <c r="GZ42" s="429" t="n"/>
      <c r="HA42" s="429" t="n"/>
      <c r="HB42" s="429" t="n"/>
      <c r="HC42" s="429" t="n"/>
      <c r="HD42" s="429" t="n"/>
      <c r="HE42" s="429" t="n"/>
      <c r="HF42" s="429" t="n"/>
      <c r="HG42" s="429" t="n"/>
      <c r="HH42" s="429" t="n"/>
      <c r="HI42" s="429" t="n"/>
      <c r="HJ42" s="429" t="n"/>
      <c r="HK42" s="429" t="n"/>
      <c r="HL42" s="429" t="n"/>
      <c r="HM42" s="429" t="n"/>
      <c r="HN42" s="429" t="n"/>
      <c r="HO42" s="429" t="n"/>
      <c r="HP42" s="429" t="n"/>
      <c r="HQ42" s="429" t="n"/>
      <c r="HR42" s="429" t="n"/>
      <c r="HS42" s="429" t="n"/>
      <c r="HT42" s="429" t="n"/>
      <c r="HU42" s="429" t="n"/>
      <c r="HV42" s="429" t="n"/>
      <c r="HW42" s="429" t="n"/>
      <c r="HX42" s="429" t="n"/>
      <c r="HY42" s="429" t="n"/>
      <c r="HZ42" s="429" t="n"/>
      <c r="IA42" s="429" t="n"/>
      <c r="IB42" s="429" t="n"/>
      <c r="IC42" s="429" t="n"/>
      <c r="ID42" s="429" t="n"/>
      <c r="IE42" s="429" t="n"/>
      <c r="IF42" s="429" t="n"/>
      <c r="IG42" s="429" t="n"/>
      <c r="IH42" s="429" t="n"/>
      <c r="II42" s="429" t="n"/>
      <c r="IJ42" s="429" t="n"/>
      <c r="IK42" s="429" t="n"/>
      <c r="IL42" s="429" t="n"/>
      <c r="IM42" s="429" t="n"/>
      <c r="IN42" s="429" t="n"/>
      <c r="IO42" s="429" t="n"/>
      <c r="IP42" s="429" t="n"/>
      <c r="IQ42" s="429" t="n"/>
      <c r="IR42" s="429" t="n"/>
      <c r="IS42" s="429" t="n"/>
      <c r="IT42" s="429" t="n"/>
      <c r="IU42" s="429" t="n"/>
      <c r="IV42" s="429" t="n"/>
      <c r="IW42" s="429" t="n"/>
      <c r="IX42" s="429" t="n"/>
      <c r="IY42" s="429" t="n"/>
      <c r="IZ42" s="429" t="n"/>
      <c r="JA42" s="429" t="n"/>
      <c r="JB42" s="429" t="n"/>
      <c r="JC42" s="429" t="n"/>
      <c r="JD42" s="429" t="n"/>
      <c r="JE42" s="429" t="n"/>
      <c r="JF42" s="429" t="n"/>
      <c r="JG42" s="429" t="n"/>
      <c r="JH42" s="429" t="n"/>
      <c r="JI42" s="429" t="n"/>
      <c r="JJ42" s="429" t="n"/>
      <c r="JK42" s="429" t="n"/>
      <c r="JL42" s="429" t="n"/>
      <c r="JM42" s="429" t="n"/>
      <c r="JN42" s="429" t="n"/>
      <c r="JO42" s="429" t="n"/>
      <c r="JP42" s="429" t="n"/>
      <c r="JQ42" s="429" t="n"/>
      <c r="JR42" s="429" t="n"/>
      <c r="JS42" s="429" t="n"/>
      <c r="JT42" s="429" t="n"/>
      <c r="JU42" s="429" t="n"/>
      <c r="JV42" s="429" t="n"/>
      <c r="JW42" s="429" t="n"/>
      <c r="JX42" s="429" t="n"/>
      <c r="JY42" s="429" t="n"/>
      <c r="JZ42" s="429" t="n"/>
      <c r="KA42" s="429" t="n"/>
      <c r="KB42" s="429" t="n"/>
      <c r="KC42" s="429" t="n"/>
      <c r="KD42" s="429" t="n"/>
      <c r="KE42" s="429" t="n"/>
      <c r="KF42" s="429" t="n"/>
      <c r="KG42" s="429" t="n"/>
      <c r="KH42" s="429" t="n"/>
      <c r="KI42" s="429" t="n"/>
      <c r="KJ42" s="429" t="n"/>
      <c r="KK42" s="429" t="n"/>
      <c r="KL42" s="429" t="n"/>
      <c r="KM42" s="429" t="n"/>
      <c r="KN42" s="429" t="n"/>
      <c r="KO42" s="429" t="n"/>
      <c r="KP42" s="429" t="n"/>
    </row>
    <row r="43" ht="26" customHeight="1" thickBot="1">
      <c r="A43" s="234" t="n"/>
      <c r="B43" s="402" t="inlineStr">
        <is>
          <t>Siebert</t>
        </is>
      </c>
      <c r="C43" s="429" t="n"/>
      <c r="D43" s="405" t="n"/>
      <c r="E43" s="405" t="n"/>
      <c r="F43" s="423" t="inlineStr">
        <is>
          <t>U</t>
        </is>
      </c>
      <c r="G43" s="423" t="inlineStr">
        <is>
          <t>U</t>
        </is>
      </c>
      <c r="H43" s="429" t="n"/>
      <c r="I43" s="423" t="inlineStr">
        <is>
          <t>U</t>
        </is>
      </c>
      <c r="J43" s="423" t="inlineStr">
        <is>
          <t>U</t>
        </is>
      </c>
      <c r="K43" s="405" t="n"/>
      <c r="L43" s="405" t="n"/>
      <c r="M43" s="405" t="n"/>
      <c r="N43" s="405" t="n"/>
      <c r="O43" s="428" t="n"/>
      <c r="P43" s="428" t="n"/>
      <c r="Q43" s="428" t="n"/>
      <c r="R43" s="405" t="n"/>
      <c r="S43" s="405" t="n"/>
      <c r="T43" s="405" t="n"/>
      <c r="U43" s="405" t="n"/>
      <c r="V43" s="428" t="n"/>
      <c r="W43" s="428" t="n"/>
      <c r="X43" s="428" t="n"/>
      <c r="Y43" s="405" t="n"/>
      <c r="Z43" s="405" t="n"/>
      <c r="AA43" s="405" t="n"/>
      <c r="AB43" s="405" t="n"/>
      <c r="AC43" s="428" t="n"/>
      <c r="AD43" s="428" t="n"/>
      <c r="AE43" s="428" t="n"/>
      <c r="AF43" s="405" t="n"/>
      <c r="AG43" s="405" t="n"/>
      <c r="AH43" s="405" t="n"/>
      <c r="AI43" s="405" t="n"/>
      <c r="AJ43" s="428" t="n"/>
      <c r="AK43" s="428" t="n"/>
      <c r="AL43" s="428" t="n"/>
      <c r="AM43" s="405" t="n"/>
      <c r="AN43" s="405" t="n"/>
      <c r="AO43" s="405" t="n"/>
      <c r="AP43" s="405" t="n"/>
      <c r="AQ43" s="428" t="n"/>
      <c r="AR43" s="428" t="n"/>
      <c r="AS43" s="428" t="n"/>
      <c r="AT43" s="405" t="n"/>
      <c r="AU43" s="405" t="n"/>
      <c r="AV43" s="405" t="n"/>
      <c r="AW43" s="405" t="n"/>
      <c r="AX43" s="420" t="n"/>
      <c r="AY43" s="420" t="n"/>
      <c r="AZ43" s="420" t="n"/>
      <c r="BA43" s="405" t="n"/>
      <c r="BB43" s="405" t="n"/>
      <c r="BC43" s="405" t="n"/>
      <c r="BD43" s="405" t="n"/>
      <c r="BE43" s="420" t="n"/>
      <c r="BF43" s="420" t="n"/>
      <c r="BG43" s="420" t="n"/>
      <c r="BH43" s="405" t="n"/>
      <c r="BI43" s="405" t="n"/>
      <c r="BJ43" s="430" t="n"/>
      <c r="BK43" s="430" t="n"/>
      <c r="BL43" s="429" t="n"/>
      <c r="BM43" s="429" t="n"/>
      <c r="BN43" s="429" t="n"/>
      <c r="BO43" s="429" t="n"/>
      <c r="BP43" s="430" t="n"/>
      <c r="BQ43" s="430" t="n"/>
      <c r="BR43" s="430" t="n"/>
      <c r="BS43" s="429" t="n"/>
      <c r="BT43" s="429" t="n"/>
      <c r="BU43" s="429" t="n"/>
      <c r="BV43" s="429" t="n"/>
      <c r="BW43" s="430" t="n"/>
      <c r="BX43" s="430" t="n"/>
      <c r="BY43" s="430" t="n"/>
      <c r="BZ43" s="429" t="n"/>
      <c r="CA43" s="429" t="n"/>
      <c r="CB43" s="429" t="n"/>
      <c r="CC43" s="429" t="n"/>
      <c r="CD43" s="430" t="n"/>
      <c r="CE43" s="430" t="n"/>
      <c r="CF43" s="430" t="n"/>
      <c r="CG43" s="429" t="n"/>
      <c r="CH43" s="429" t="n"/>
      <c r="CI43" s="429" t="n"/>
      <c r="CJ43" s="429" t="n"/>
      <c r="CK43" s="430" t="n"/>
      <c r="CL43" s="430" t="n"/>
      <c r="CM43" s="430" t="n"/>
      <c r="CN43" s="429" t="n"/>
      <c r="CO43" s="429" t="n"/>
      <c r="CP43" s="429" t="n"/>
      <c r="CQ43" s="429" t="n"/>
      <c r="CR43" s="430" t="n"/>
      <c r="CS43" s="430" t="n"/>
      <c r="CT43" s="430" t="n"/>
      <c r="CU43" s="429" t="n"/>
      <c r="CV43" s="429" t="n"/>
      <c r="CW43" s="410" t="inlineStr">
        <is>
          <t>FII</t>
        </is>
      </c>
      <c r="CX43" s="410" t="inlineStr">
        <is>
          <t>FII</t>
        </is>
      </c>
      <c r="CY43" s="441" t="inlineStr">
        <is>
          <t>RTW- Des.</t>
        </is>
      </c>
      <c r="CZ43" s="430" t="n"/>
      <c r="DA43" s="430" t="n"/>
      <c r="DB43" s="422" t="n"/>
      <c r="DC43" s="422" t="n"/>
      <c r="DD43" s="422" t="n"/>
      <c r="DE43" s="422" t="n"/>
      <c r="DF43" s="421" t="n"/>
      <c r="DG43" s="456" t="n"/>
      <c r="DH43" s="430" t="n"/>
      <c r="DI43" s="429" t="n"/>
      <c r="DJ43" s="429" t="n"/>
      <c r="DK43" s="429" t="n"/>
      <c r="DL43" s="429" t="n"/>
      <c r="DM43" s="430" t="n"/>
      <c r="DN43" s="430" t="n"/>
      <c r="DO43" s="430" t="n"/>
      <c r="DP43" s="429" t="n"/>
      <c r="DQ43" s="429" t="n"/>
      <c r="DR43" s="429" t="n"/>
      <c r="DS43" s="429" t="n"/>
      <c r="DT43" s="430" t="n"/>
      <c r="DU43" s="430" t="n"/>
      <c r="DV43" s="430" t="n"/>
      <c r="DW43" s="429" t="n"/>
      <c r="DX43" s="429" t="n"/>
      <c r="DY43" s="429" t="n"/>
      <c r="DZ43" s="429" t="n"/>
      <c r="EA43" s="430" t="n"/>
      <c r="EB43" s="430" t="n"/>
      <c r="EC43" s="430" t="n"/>
      <c r="ED43" s="429" t="n"/>
      <c r="EE43" s="429" t="n"/>
      <c r="EF43" s="429" t="n"/>
      <c r="EG43" s="429" t="n"/>
      <c r="EH43" s="430" t="n"/>
      <c r="EI43" s="430" t="n"/>
      <c r="EJ43" s="430" t="n"/>
      <c r="EK43" s="429" t="n"/>
      <c r="EL43" s="429" t="n"/>
      <c r="EM43" s="429" t="n"/>
      <c r="EN43" s="429" t="n"/>
      <c r="EO43" s="430" t="n"/>
      <c r="EP43" s="430" t="n"/>
      <c r="EQ43" s="430" t="n"/>
      <c r="ER43" s="429" t="n"/>
      <c r="ES43" s="429" t="n"/>
      <c r="ET43" s="429" t="n"/>
      <c r="EU43" s="429" t="n"/>
      <c r="EV43" s="430" t="n"/>
      <c r="EW43" s="430" t="n"/>
      <c r="EX43" s="430" t="n"/>
      <c r="EY43" s="429" t="n"/>
      <c r="EZ43" s="429" t="n"/>
      <c r="FA43" s="429" t="n"/>
      <c r="FB43" s="429" t="n"/>
      <c r="FC43" s="430" t="n"/>
      <c r="FD43" s="430" t="n"/>
      <c r="FE43" s="430" t="n"/>
      <c r="FF43" s="429" t="n"/>
      <c r="FG43" s="429" t="n"/>
      <c r="FH43" s="429" t="n"/>
      <c r="FI43" s="429" t="n"/>
      <c r="FJ43" s="430" t="n"/>
      <c r="FK43" s="430" t="n"/>
      <c r="FL43" s="430" t="n"/>
      <c r="FM43" s="429" t="n"/>
      <c r="FN43" s="429" t="n"/>
      <c r="FO43" s="429" t="n"/>
      <c r="FP43" s="429" t="n"/>
      <c r="FQ43" s="430" t="n"/>
      <c r="FR43" s="430" t="n"/>
      <c r="FS43" s="430" t="n"/>
      <c r="FT43" s="429" t="n"/>
      <c r="FU43" s="429" t="n"/>
      <c r="FV43" s="429" t="n"/>
      <c r="FW43" s="429" t="n"/>
      <c r="FX43" s="430" t="n"/>
      <c r="FY43" s="430" t="n"/>
      <c r="FZ43" s="430" t="n"/>
      <c r="GA43" s="429" t="n"/>
      <c r="GB43" s="429" t="n"/>
      <c r="GC43" s="429" t="n"/>
      <c r="GD43" s="429" t="n"/>
      <c r="GE43" s="429" t="n"/>
      <c r="GF43" s="429" t="n"/>
      <c r="GG43" s="429" t="n"/>
      <c r="GH43" s="429" t="n"/>
      <c r="GI43" s="429" t="n"/>
      <c r="GJ43" s="429" t="n"/>
      <c r="GK43" s="429" t="n"/>
      <c r="GL43" s="429" t="n"/>
      <c r="GM43" s="429" t="n"/>
      <c r="GN43" s="429" t="n"/>
      <c r="GO43" s="429" t="n"/>
      <c r="GP43" s="429" t="n"/>
      <c r="GQ43" s="429" t="n"/>
      <c r="GR43" s="429" t="n"/>
      <c r="GS43" s="429" t="n"/>
      <c r="GT43" s="429" t="n"/>
      <c r="GU43" s="429" t="n"/>
      <c r="GV43" s="429" t="n"/>
      <c r="GW43" s="429" t="n"/>
      <c r="GX43" s="429" t="n"/>
      <c r="GY43" s="429" t="n"/>
      <c r="GZ43" s="429" t="n"/>
      <c r="HA43" s="429" t="n"/>
      <c r="HB43" s="429" t="n"/>
      <c r="HC43" s="429" t="n"/>
      <c r="HD43" s="429" t="n"/>
      <c r="HE43" s="429" t="n"/>
      <c r="HF43" s="429" t="n"/>
      <c r="HG43" s="429" t="n"/>
      <c r="HH43" s="429" t="n"/>
      <c r="HI43" s="429" t="n"/>
      <c r="HJ43" s="429" t="n"/>
      <c r="HK43" s="429" t="n"/>
      <c r="HL43" s="429" t="n"/>
      <c r="HM43" s="429" t="n"/>
      <c r="HN43" s="429" t="n"/>
      <c r="HO43" s="429" t="n"/>
      <c r="HP43" s="429" t="n"/>
      <c r="HQ43" s="429" t="n"/>
      <c r="HR43" s="429" t="n"/>
      <c r="HS43" s="429" t="n"/>
      <c r="HT43" s="429" t="n"/>
      <c r="HU43" s="429" t="n"/>
      <c r="HV43" s="429" t="n"/>
      <c r="HW43" s="429" t="n"/>
      <c r="HX43" s="429" t="n"/>
      <c r="HY43" s="429" t="n"/>
      <c r="HZ43" s="429" t="n"/>
      <c r="IA43" s="429" t="n"/>
      <c r="IB43" s="429" t="n"/>
      <c r="IC43" s="429" t="n"/>
      <c r="ID43" s="429" t="n"/>
      <c r="IE43" s="429" t="n"/>
      <c r="IF43" s="429" t="n"/>
      <c r="IG43" s="429" t="n"/>
      <c r="IH43" s="429" t="n"/>
      <c r="II43" s="429" t="n"/>
      <c r="IJ43" s="429" t="n"/>
      <c r="IK43" s="429" t="n"/>
      <c r="IL43" s="429" t="n"/>
      <c r="IM43" s="429" t="n"/>
      <c r="IN43" s="429" t="n"/>
      <c r="IO43" s="429" t="n"/>
      <c r="IP43" s="429" t="n"/>
      <c r="IQ43" s="429" t="n"/>
      <c r="IR43" s="429" t="n"/>
      <c r="IS43" s="429" t="n"/>
      <c r="IT43" s="429" t="n"/>
      <c r="IU43" s="429" t="n"/>
      <c r="IV43" s="429" t="n"/>
      <c r="IW43" s="429" t="n"/>
      <c r="IX43" s="429" t="n"/>
      <c r="IY43" s="429" t="n"/>
      <c r="IZ43" s="429" t="n"/>
      <c r="JA43" s="429" t="n"/>
      <c r="JB43" s="429" t="n"/>
      <c r="JC43" s="429" t="n"/>
      <c r="JD43" s="429" t="n"/>
      <c r="JE43" s="429" t="n"/>
      <c r="JF43" s="429" t="n"/>
      <c r="JG43" s="429" t="n"/>
      <c r="JH43" s="429" t="n"/>
      <c r="JI43" s="429" t="n"/>
      <c r="JJ43" s="429" t="n"/>
      <c r="JK43" s="429" t="n"/>
      <c r="JL43" s="429" t="n"/>
      <c r="JM43" s="429" t="n"/>
      <c r="JN43" s="429" t="n"/>
      <c r="JO43" s="429" t="n"/>
      <c r="JP43" s="429" t="n"/>
      <c r="JQ43" s="429" t="n"/>
      <c r="JR43" s="429" t="n"/>
      <c r="JS43" s="429" t="n"/>
      <c r="JT43" s="429" t="n"/>
      <c r="JU43" s="429" t="n"/>
      <c r="JV43" s="429" t="n"/>
      <c r="JW43" s="429" t="n"/>
      <c r="JX43" s="429" t="n"/>
      <c r="JY43" s="429" t="n"/>
      <c r="JZ43" s="429" t="n"/>
      <c r="KA43" s="429" t="n"/>
      <c r="KB43" s="429" t="n"/>
      <c r="KC43" s="429" t="n"/>
      <c r="KD43" s="429" t="n"/>
      <c r="KE43" s="429" t="n"/>
      <c r="KF43" s="429" t="n"/>
      <c r="KG43" s="429" t="n"/>
      <c r="KH43" s="429" t="n"/>
      <c r="KI43" s="429" t="n"/>
      <c r="KJ43" s="429" t="n"/>
      <c r="KK43" s="429" t="n"/>
      <c r="KL43" s="429" t="n"/>
      <c r="KM43" s="429" t="n"/>
      <c r="KN43" s="429" t="n"/>
      <c r="KO43" s="429" t="n"/>
      <c r="KP43" s="429" t="n"/>
    </row>
    <row r="44" ht="26" customHeight="1" thickBot="1">
      <c r="A44" s="234" t="n"/>
      <c r="B44" s="402" t="inlineStr">
        <is>
          <t>Jochim</t>
        </is>
      </c>
      <c r="C44" s="429" t="n"/>
      <c r="D44" s="405" t="n"/>
      <c r="E44" s="405" t="n"/>
      <c r="F44" s="405" t="n"/>
      <c r="G44" s="432" t="n"/>
      <c r="H44" s="429" t="n"/>
      <c r="I44" s="428" t="n"/>
      <c r="J44" s="425" t="n"/>
      <c r="K44" s="405" t="n"/>
      <c r="L44" s="405" t="n"/>
      <c r="M44" s="405" t="n"/>
      <c r="N44" s="405" t="n"/>
      <c r="O44" s="425" t="n"/>
      <c r="P44" s="428" t="n"/>
      <c r="Q44" s="420" t="n"/>
      <c r="R44" s="405" t="n"/>
      <c r="S44" s="405" t="n"/>
      <c r="T44" s="405" t="n"/>
      <c r="U44" s="405" t="n"/>
      <c r="V44" s="428" t="n"/>
      <c r="W44" s="428" t="n"/>
      <c r="X44" s="420" t="n"/>
      <c r="Y44" s="405" t="n"/>
      <c r="Z44" s="405" t="n"/>
      <c r="AA44" s="405" t="n"/>
      <c r="AB44" s="405" t="n"/>
      <c r="AC44" s="428" t="n"/>
      <c r="AD44" s="428" t="n"/>
      <c r="AE44" s="420" t="n"/>
      <c r="AF44" s="405" t="n"/>
      <c r="AG44" s="405" t="n"/>
      <c r="AH44" s="405" t="n"/>
      <c r="AI44" s="405" t="n"/>
      <c r="AJ44" s="428" t="n"/>
      <c r="AK44" s="428" t="n"/>
      <c r="AL44" s="420" t="n"/>
      <c r="AM44" s="405" t="n"/>
      <c r="AN44" s="405" t="n"/>
      <c r="AO44" s="405" t="n"/>
      <c r="AP44" s="405" t="n"/>
      <c r="AQ44" s="428" t="n"/>
      <c r="AR44" s="428" t="n"/>
      <c r="AS44" s="420" t="n"/>
      <c r="AT44" s="405" t="n"/>
      <c r="AU44" s="405" t="n"/>
      <c r="AV44" s="405" t="n"/>
      <c r="AW44" s="405" t="n"/>
      <c r="AX44" s="428" t="n"/>
      <c r="AY44" s="428" t="n"/>
      <c r="AZ44" s="420" t="n"/>
      <c r="BA44" s="405" t="n"/>
      <c r="BB44" s="405" t="n"/>
      <c r="BC44" s="405" t="n"/>
      <c r="BD44" s="405" t="n"/>
      <c r="BE44" s="428" t="n"/>
      <c r="BF44" s="428" t="n"/>
      <c r="BG44" s="420" t="n"/>
      <c r="BH44" s="405" t="n"/>
      <c r="BI44" s="405" t="n"/>
      <c r="BJ44" s="430" t="n"/>
      <c r="BK44" s="430" t="n"/>
      <c r="BL44" s="429" t="n"/>
      <c r="BM44" s="429" t="n"/>
      <c r="BN44" s="429" t="n"/>
      <c r="BO44" s="429" t="n"/>
      <c r="BP44" s="430" t="n"/>
      <c r="BQ44" s="430" t="n"/>
      <c r="BR44" s="430" t="n"/>
      <c r="BS44" s="429" t="n"/>
      <c r="BT44" s="429" t="n"/>
      <c r="BU44" s="429" t="n"/>
      <c r="BV44" s="429" t="n"/>
      <c r="BW44" s="430" t="n"/>
      <c r="BX44" s="430" t="n"/>
      <c r="BY44" s="430" t="n"/>
      <c r="BZ44" s="429" t="n"/>
      <c r="CA44" s="429" t="n"/>
      <c r="CB44" s="429" t="n"/>
      <c r="CC44" s="429" t="n"/>
      <c r="CD44" s="430" t="n"/>
      <c r="CE44" s="430" t="n"/>
      <c r="CF44" s="430" t="n"/>
      <c r="CG44" s="429" t="n"/>
      <c r="CH44" s="429" t="n"/>
      <c r="CI44" s="429" t="n"/>
      <c r="CJ44" s="429" t="n"/>
      <c r="CK44" s="430" t="n"/>
      <c r="CL44" s="430" t="n"/>
      <c r="CM44" s="430" t="n"/>
      <c r="CN44" s="429" t="n"/>
      <c r="CO44" s="429" t="n"/>
      <c r="CP44" s="429" t="n"/>
      <c r="CQ44" s="429" t="n"/>
      <c r="CR44" s="430" t="n"/>
      <c r="CS44" s="430" t="n"/>
      <c r="CT44" s="430" t="n"/>
      <c r="CU44" s="429" t="n"/>
      <c r="CV44" s="429" t="n"/>
      <c r="CW44" s="429" t="n"/>
      <c r="CX44" s="447" t="inlineStr">
        <is>
          <t>A</t>
        </is>
      </c>
      <c r="CY44" s="430" t="n"/>
      <c r="CZ44" s="430" t="n"/>
      <c r="DA44" s="430" t="n"/>
      <c r="DB44" s="429" t="n"/>
      <c r="DC44" s="429" t="n"/>
      <c r="DD44" s="429" t="n"/>
      <c r="DE44" s="429" t="n"/>
      <c r="DF44" s="430" t="n"/>
      <c r="DG44" s="430" t="n"/>
      <c r="DH44" s="421" t="n"/>
      <c r="DI44" s="429" t="n"/>
      <c r="DJ44" s="429" t="n"/>
      <c r="DK44" s="429" t="n"/>
      <c r="DL44" s="429" t="n"/>
      <c r="DM44" s="430" t="n"/>
      <c r="DN44" s="430" t="n"/>
      <c r="DO44" s="430" t="n"/>
      <c r="DP44" s="429" t="n"/>
      <c r="DQ44" s="429" t="n"/>
      <c r="DR44" s="429" t="n"/>
      <c r="DS44" s="429" t="n"/>
      <c r="DT44" s="430" t="n"/>
      <c r="DU44" s="430" t="n"/>
      <c r="DV44" s="430" t="n"/>
      <c r="DW44" s="429" t="n"/>
      <c r="DX44" s="429" t="n"/>
      <c r="DY44" s="429" t="n"/>
      <c r="DZ44" s="429" t="n"/>
      <c r="EA44" s="430" t="n"/>
      <c r="EB44" s="430" t="n"/>
      <c r="EC44" s="430" t="n"/>
      <c r="ED44" s="429" t="n"/>
      <c r="EE44" s="429" t="n"/>
      <c r="EF44" s="429" t="n"/>
      <c r="EG44" s="429" t="n"/>
      <c r="EH44" s="430" t="n"/>
      <c r="EI44" s="430" t="n"/>
      <c r="EJ44" s="430" t="n"/>
      <c r="EK44" s="429" t="n"/>
      <c r="EL44" s="429" t="n"/>
      <c r="EM44" s="429" t="n"/>
      <c r="EN44" s="429" t="n"/>
      <c r="EO44" s="430" t="n"/>
      <c r="EP44" s="430" t="n"/>
      <c r="EQ44" s="430" t="n"/>
      <c r="ER44" s="429" t="n"/>
      <c r="ES44" s="429" t="n"/>
      <c r="ET44" s="429" t="n"/>
      <c r="EU44" s="429" t="n"/>
      <c r="EV44" s="430" t="n"/>
      <c r="EW44" s="430" t="n"/>
      <c r="EX44" s="430" t="n"/>
      <c r="EY44" s="429" t="n"/>
      <c r="EZ44" s="429" t="n"/>
      <c r="FA44" s="429" t="n"/>
      <c r="FB44" s="429" t="n"/>
      <c r="FC44" s="430" t="n"/>
      <c r="FD44" s="430" t="n"/>
      <c r="FE44" s="430" t="n"/>
      <c r="FF44" s="429" t="n"/>
      <c r="FG44" s="429" t="n"/>
      <c r="FH44" s="429" t="n"/>
      <c r="FI44" s="429" t="n"/>
      <c r="FJ44" s="430" t="n"/>
      <c r="FK44" s="430" t="n"/>
      <c r="FL44" s="430" t="n"/>
      <c r="FM44" s="429" t="n"/>
      <c r="FN44" s="429" t="n"/>
      <c r="FO44" s="429" t="n"/>
      <c r="FP44" s="429" t="n"/>
      <c r="FQ44" s="430" t="n"/>
      <c r="FR44" s="430" t="n"/>
      <c r="FS44" s="430" t="n"/>
      <c r="FT44" s="429" t="n"/>
      <c r="FU44" s="429" t="n"/>
      <c r="FV44" s="429" t="n"/>
      <c r="FW44" s="429" t="n"/>
      <c r="FX44" s="430" t="n"/>
      <c r="FY44" s="430" t="n"/>
      <c r="FZ44" s="430" t="n"/>
      <c r="GA44" s="429" t="n"/>
      <c r="GB44" s="429" t="n"/>
      <c r="GC44" s="429" t="n"/>
      <c r="GD44" s="429" t="n"/>
      <c r="GE44" s="429" t="n"/>
      <c r="GF44" s="429" t="n"/>
      <c r="GG44" s="429" t="n"/>
      <c r="GH44" s="429" t="n"/>
      <c r="GI44" s="429" t="n"/>
      <c r="GJ44" s="429" t="n"/>
      <c r="GK44" s="429" t="n"/>
      <c r="GL44" s="429" t="n"/>
      <c r="GM44" s="429" t="n"/>
      <c r="GN44" s="429" t="n"/>
      <c r="GO44" s="429" t="n"/>
      <c r="GP44" s="429" t="n"/>
      <c r="GQ44" s="429" t="n"/>
      <c r="GR44" s="429" t="n"/>
      <c r="GS44" s="429" t="n"/>
      <c r="GT44" s="429" t="n"/>
      <c r="GU44" s="429" t="n"/>
      <c r="GV44" s="429" t="n"/>
      <c r="GW44" s="429" t="n"/>
      <c r="GX44" s="429" t="n"/>
      <c r="GY44" s="429" t="n"/>
      <c r="GZ44" s="429" t="n"/>
      <c r="HA44" s="429" t="n"/>
      <c r="HB44" s="429" t="n"/>
      <c r="HC44" s="429" t="n"/>
      <c r="HD44" s="429" t="n"/>
      <c r="HE44" s="429" t="n"/>
      <c r="HF44" s="429" t="n"/>
      <c r="HG44" s="429" t="n"/>
      <c r="HH44" s="429" t="n"/>
      <c r="HI44" s="429" t="n"/>
      <c r="HJ44" s="429" t="n"/>
      <c r="HK44" s="429" t="n"/>
      <c r="HL44" s="429" t="n"/>
      <c r="HM44" s="429" t="n"/>
      <c r="HN44" s="429" t="n"/>
      <c r="HO44" s="429" t="n"/>
      <c r="HP44" s="429" t="n"/>
      <c r="HQ44" s="429" t="n"/>
      <c r="HR44" s="429" t="n"/>
      <c r="HS44" s="429" t="n"/>
      <c r="HT44" s="429" t="n"/>
      <c r="HU44" s="429" t="n"/>
      <c r="HV44" s="429" t="n"/>
      <c r="HW44" s="429" t="n"/>
      <c r="HX44" s="429" t="n"/>
      <c r="HY44" s="429" t="n"/>
      <c r="HZ44" s="429" t="n"/>
      <c r="IA44" s="429" t="n"/>
      <c r="IB44" s="429" t="n"/>
      <c r="IC44" s="429" t="n"/>
      <c r="ID44" s="429" t="n"/>
      <c r="IE44" s="429" t="n"/>
      <c r="IF44" s="429" t="n"/>
      <c r="IG44" s="429" t="n"/>
      <c r="IH44" s="429" t="n"/>
      <c r="II44" s="429" t="n"/>
      <c r="IJ44" s="429" t="n"/>
      <c r="IK44" s="429" t="n"/>
      <c r="IL44" s="429" t="n"/>
      <c r="IM44" s="429" t="n"/>
      <c r="IN44" s="429" t="n"/>
      <c r="IO44" s="429" t="n"/>
      <c r="IP44" s="429" t="n"/>
      <c r="IQ44" s="429" t="n"/>
      <c r="IR44" s="429" t="n"/>
      <c r="IS44" s="429" t="n"/>
      <c r="IT44" s="429" t="n"/>
      <c r="IU44" s="429" t="n"/>
      <c r="IV44" s="429" t="n"/>
      <c r="IW44" s="429" t="n"/>
      <c r="IX44" s="429" t="n"/>
      <c r="IY44" s="429" t="n"/>
      <c r="IZ44" s="429" t="n"/>
      <c r="JA44" s="429" t="n"/>
      <c r="JB44" s="429" t="n"/>
      <c r="JC44" s="429" t="n"/>
      <c r="JD44" s="429" t="n"/>
      <c r="JE44" s="429" t="n"/>
      <c r="JF44" s="429" t="n"/>
      <c r="JG44" s="429" t="n"/>
      <c r="JH44" s="429" t="n"/>
      <c r="JI44" s="429" t="n"/>
      <c r="JJ44" s="429" t="n"/>
      <c r="JK44" s="429" t="n"/>
      <c r="JL44" s="429" t="n"/>
      <c r="JM44" s="429" t="n"/>
      <c r="JN44" s="429" t="n"/>
      <c r="JO44" s="429" t="n"/>
      <c r="JP44" s="429" t="n"/>
      <c r="JQ44" s="429" t="n"/>
      <c r="JR44" s="429" t="n"/>
      <c r="JS44" s="429" t="n"/>
      <c r="JT44" s="429" t="n"/>
      <c r="JU44" s="429" t="n"/>
      <c r="JV44" s="429" t="n"/>
      <c r="JW44" s="429" t="n"/>
      <c r="JX44" s="429" t="n"/>
      <c r="JY44" s="429" t="n"/>
      <c r="JZ44" s="429" t="n"/>
      <c r="KA44" s="429" t="n"/>
      <c r="KB44" s="429" t="n"/>
      <c r="KC44" s="429" t="n"/>
      <c r="KD44" s="429" t="n"/>
      <c r="KE44" s="429" t="n"/>
      <c r="KF44" s="429" t="n"/>
      <c r="KG44" s="429" t="n"/>
      <c r="KH44" s="429" t="n"/>
      <c r="KI44" s="429" t="n"/>
      <c r="KJ44" s="429" t="n"/>
      <c r="KK44" s="429" t="n"/>
      <c r="KL44" s="429" t="n"/>
      <c r="KM44" s="429" t="n"/>
      <c r="KN44" s="429" t="n"/>
      <c r="KO44" s="429" t="n"/>
      <c r="KP44" s="429" t="n"/>
    </row>
    <row r="45" ht="26" customHeight="1" thickBot="1">
      <c r="A45" s="234" t="n"/>
      <c r="B45" s="402" t="inlineStr">
        <is>
          <t>Wunsch</t>
        </is>
      </c>
      <c r="C45" s="429" t="n"/>
      <c r="D45" s="405" t="n"/>
      <c r="E45" s="405" t="n"/>
      <c r="F45" s="405" t="n"/>
      <c r="G45" s="405" t="n"/>
      <c r="H45" s="429" t="n"/>
      <c r="I45" s="428" t="n"/>
      <c r="J45" s="420" t="n"/>
      <c r="K45" s="405" t="n"/>
      <c r="L45" s="405" t="n"/>
      <c r="M45" s="405" t="n"/>
      <c r="N45" s="405" t="n"/>
      <c r="O45" s="425" t="n"/>
      <c r="P45" s="428" t="n"/>
      <c r="Q45" s="420" t="n"/>
      <c r="R45" s="405" t="n"/>
      <c r="S45" s="405" t="n"/>
      <c r="T45" s="405" t="n"/>
      <c r="U45" s="405" t="n"/>
      <c r="V45" s="428" t="n"/>
      <c r="W45" s="428" t="n"/>
      <c r="X45" s="420" t="n"/>
      <c r="Y45" s="405" t="n"/>
      <c r="Z45" s="405" t="n"/>
      <c r="AA45" s="405" t="n"/>
      <c r="AB45" s="405" t="n"/>
      <c r="AC45" s="428" t="n"/>
      <c r="AD45" s="428" t="n"/>
      <c r="AE45" s="420" t="n"/>
      <c r="AF45" s="405" t="n"/>
      <c r="AG45" s="405" t="n"/>
      <c r="AH45" s="405" t="n"/>
      <c r="AI45" s="405" t="n"/>
      <c r="AJ45" s="428" t="n"/>
      <c r="AK45" s="428" t="n"/>
      <c r="AL45" s="420" t="n"/>
      <c r="AM45" s="405" t="n"/>
      <c r="AN45" s="405" t="n"/>
      <c r="AO45" s="405" t="n"/>
      <c r="AP45" s="405" t="n"/>
      <c r="AQ45" s="428" t="n"/>
      <c r="AR45" s="428" t="n"/>
      <c r="AS45" s="420" t="n"/>
      <c r="AT45" s="405" t="n"/>
      <c r="AU45" s="405" t="n"/>
      <c r="AV45" s="405" t="n"/>
      <c r="AW45" s="405" t="n"/>
      <c r="AX45" s="428" t="n"/>
      <c r="AY45" s="428" t="n"/>
      <c r="AZ45" s="420" t="n"/>
      <c r="BA45" s="405" t="n"/>
      <c r="BB45" s="405" t="n"/>
      <c r="BC45" s="405" t="n"/>
      <c r="BD45" s="405" t="n"/>
      <c r="BE45" s="428" t="n"/>
      <c r="BF45" s="428" t="n"/>
      <c r="BG45" s="420" t="n"/>
      <c r="BH45" s="405" t="n"/>
      <c r="BI45" s="405" t="n"/>
      <c r="BJ45" s="430" t="n"/>
      <c r="BK45" s="430" t="n"/>
      <c r="BL45" s="429" t="n"/>
      <c r="BM45" s="429" t="n"/>
      <c r="BN45" s="429" t="n"/>
      <c r="BO45" s="429" t="n"/>
      <c r="BP45" s="430" t="n"/>
      <c r="BQ45" s="430" t="n"/>
      <c r="BR45" s="430" t="n"/>
      <c r="BS45" s="429" t="n"/>
      <c r="BT45" s="429" t="n"/>
      <c r="BU45" s="429" t="n"/>
      <c r="BV45" s="429" t="n"/>
      <c r="BW45" s="430" t="n"/>
      <c r="BX45" s="430" t="n"/>
      <c r="BY45" s="430" t="n"/>
      <c r="BZ45" s="429" t="n"/>
      <c r="CA45" s="429" t="n"/>
      <c r="CB45" s="429" t="n"/>
      <c r="CC45" s="429" t="n"/>
      <c r="CD45" s="430" t="n"/>
      <c r="CE45" s="430" t="n"/>
      <c r="CF45" s="430" t="n"/>
      <c r="CG45" s="429" t="n"/>
      <c r="CH45" s="429" t="n"/>
      <c r="CI45" s="429" t="n"/>
      <c r="CJ45" s="429" t="n"/>
      <c r="CK45" s="430" t="n"/>
      <c r="CL45" s="430" t="n"/>
      <c r="CM45" s="430" t="n"/>
      <c r="CN45" s="429" t="n"/>
      <c r="CO45" s="429" t="n"/>
      <c r="CP45" s="429" t="n"/>
      <c r="CQ45" s="429" t="n"/>
      <c r="CR45" s="430" t="n"/>
      <c r="CS45" s="430" t="n"/>
      <c r="CT45" s="430" t="n"/>
      <c r="CU45" s="429" t="n"/>
      <c r="CV45" s="429" t="n"/>
      <c r="CW45" s="429" t="n"/>
      <c r="CX45" s="439" t="inlineStr">
        <is>
          <t>KA</t>
        </is>
      </c>
      <c r="CY45" s="430" t="n"/>
      <c r="CZ45" s="430" t="n"/>
      <c r="DA45" s="430" t="n"/>
      <c r="DB45" s="429" t="n"/>
      <c r="DC45" s="429" t="n"/>
      <c r="DD45" s="429" t="n"/>
      <c r="DE45" s="429" t="n"/>
      <c r="DF45" s="430" t="n"/>
      <c r="DG45" s="430" t="n"/>
      <c r="DH45" s="430" t="n"/>
      <c r="DI45" s="429" t="n"/>
      <c r="DJ45" s="429" t="n"/>
      <c r="DK45" s="429" t="n"/>
      <c r="DL45" s="429" t="n"/>
      <c r="DM45" s="430" t="n"/>
      <c r="DN45" s="430" t="n"/>
      <c r="DO45" s="430" t="n"/>
      <c r="DP45" s="429" t="n"/>
      <c r="DQ45" s="429" t="n"/>
      <c r="DR45" s="429" t="n"/>
      <c r="DS45" s="429" t="n"/>
      <c r="DT45" s="430" t="n"/>
      <c r="DU45" s="430" t="n"/>
      <c r="DV45" s="430" t="n"/>
      <c r="DW45" s="429" t="n"/>
      <c r="DX45" s="429" t="n"/>
      <c r="DY45" s="429" t="n"/>
      <c r="DZ45" s="429" t="n"/>
      <c r="EA45" s="430" t="n"/>
      <c r="EB45" s="430" t="n"/>
      <c r="EC45" s="430" t="n"/>
      <c r="ED45" s="429" t="n"/>
      <c r="EE45" s="429" t="n"/>
      <c r="EF45" s="429" t="n"/>
      <c r="EG45" s="429" t="n"/>
      <c r="EH45" s="430" t="n"/>
      <c r="EI45" s="430" t="n"/>
      <c r="EJ45" s="430" t="n"/>
      <c r="EK45" s="429" t="n"/>
      <c r="EL45" s="429" t="n"/>
      <c r="EM45" s="429" t="n"/>
      <c r="EN45" s="429" t="n"/>
      <c r="EO45" s="430" t="n"/>
      <c r="EP45" s="430" t="n"/>
      <c r="EQ45" s="430" t="n"/>
      <c r="ER45" s="429" t="n"/>
      <c r="ES45" s="429" t="n"/>
      <c r="ET45" s="429" t="n"/>
      <c r="EU45" s="429" t="n"/>
      <c r="EV45" s="430" t="n"/>
      <c r="EW45" s="430" t="n"/>
      <c r="EX45" s="430" t="n"/>
      <c r="EY45" s="429" t="n"/>
      <c r="EZ45" s="429" t="n"/>
      <c r="FA45" s="429" t="n"/>
      <c r="FB45" s="429" t="n"/>
      <c r="FC45" s="430" t="n"/>
      <c r="FD45" s="430" t="n"/>
      <c r="FE45" s="430" t="n"/>
      <c r="FF45" s="429" t="n"/>
      <c r="FG45" s="429" t="n"/>
      <c r="FH45" s="429" t="n"/>
      <c r="FI45" s="429" t="n"/>
      <c r="FJ45" s="430" t="n"/>
      <c r="FK45" s="430" t="n"/>
      <c r="FL45" s="430" t="n"/>
      <c r="FM45" s="429" t="n"/>
      <c r="FN45" s="429" t="n"/>
      <c r="FO45" s="429" t="n"/>
      <c r="FP45" s="429" t="n"/>
      <c r="FQ45" s="430" t="n"/>
      <c r="FR45" s="430" t="n"/>
      <c r="FS45" s="430" t="n"/>
      <c r="FT45" s="429" t="n"/>
      <c r="FU45" s="429" t="n"/>
      <c r="FV45" s="429" t="n"/>
      <c r="FW45" s="429" t="n"/>
      <c r="FX45" s="430" t="n"/>
      <c r="FY45" s="430" t="n"/>
      <c r="FZ45" s="430" t="n"/>
      <c r="GA45" s="429" t="n"/>
      <c r="GB45" s="429" t="n"/>
      <c r="GC45" s="429" t="n"/>
      <c r="GD45" s="429" t="n"/>
      <c r="GE45" s="429" t="n"/>
      <c r="GF45" s="429" t="n"/>
      <c r="GG45" s="429" t="n"/>
      <c r="GH45" s="429" t="n"/>
      <c r="GI45" s="429" t="n"/>
      <c r="GJ45" s="429" t="n"/>
      <c r="GK45" s="429" t="n"/>
      <c r="GL45" s="429" t="n"/>
      <c r="GM45" s="429" t="n"/>
      <c r="GN45" s="429" t="n"/>
      <c r="GO45" s="429" t="n"/>
      <c r="GP45" s="429" t="n"/>
      <c r="GQ45" s="429" t="n"/>
      <c r="GR45" s="429" t="n"/>
      <c r="GS45" s="429" t="n"/>
      <c r="GT45" s="429" t="n"/>
      <c r="GU45" s="429" t="n"/>
      <c r="GV45" s="429" t="n"/>
      <c r="GW45" s="429" t="n"/>
      <c r="GX45" s="429" t="n"/>
      <c r="GY45" s="429" t="n"/>
      <c r="GZ45" s="429" t="n"/>
      <c r="HA45" s="429" t="n"/>
      <c r="HB45" s="429" t="n"/>
      <c r="HC45" s="429" t="n"/>
      <c r="HD45" s="429" t="n"/>
      <c r="HE45" s="429" t="n"/>
      <c r="HF45" s="429" t="n"/>
      <c r="HG45" s="429" t="n"/>
      <c r="HH45" s="429" t="n"/>
      <c r="HI45" s="429" t="n"/>
      <c r="HJ45" s="429" t="n"/>
      <c r="HK45" s="429" t="n"/>
      <c r="HL45" s="429" t="n"/>
      <c r="HM45" s="429" t="n"/>
      <c r="HN45" s="429" t="n"/>
      <c r="HO45" s="429" t="n"/>
      <c r="HP45" s="429" t="n"/>
      <c r="HQ45" s="429" t="n"/>
      <c r="HR45" s="429" t="n"/>
      <c r="HS45" s="429" t="n"/>
      <c r="HT45" s="429" t="n"/>
      <c r="HU45" s="429" t="n"/>
      <c r="HV45" s="429" t="n"/>
      <c r="HW45" s="429" t="n"/>
      <c r="HX45" s="429" t="n"/>
      <c r="HY45" s="429" t="n"/>
      <c r="HZ45" s="429" t="n"/>
      <c r="IA45" s="429" t="n"/>
      <c r="IB45" s="429" t="n"/>
      <c r="IC45" s="429" t="n"/>
      <c r="ID45" s="429" t="n"/>
      <c r="IE45" s="429" t="n"/>
      <c r="IF45" s="429" t="n"/>
      <c r="IG45" s="429" t="n"/>
      <c r="IH45" s="429" t="n"/>
      <c r="II45" s="429" t="n"/>
      <c r="IJ45" s="429" t="n"/>
      <c r="IK45" s="429" t="n"/>
      <c r="IL45" s="429" t="n"/>
      <c r="IM45" s="429" t="n"/>
      <c r="IN45" s="429" t="n"/>
      <c r="IO45" s="429" t="n"/>
      <c r="IP45" s="429" t="n"/>
      <c r="IQ45" s="429" t="n"/>
      <c r="IR45" s="429" t="n"/>
      <c r="IS45" s="429" t="n"/>
      <c r="IT45" s="429" t="n"/>
      <c r="IU45" s="429" t="n"/>
      <c r="IV45" s="429" t="n"/>
      <c r="IW45" s="429" t="n"/>
      <c r="IX45" s="429" t="n"/>
      <c r="IY45" s="429" t="n"/>
      <c r="IZ45" s="429" t="n"/>
      <c r="JA45" s="429" t="n"/>
      <c r="JB45" s="429" t="n"/>
      <c r="JC45" s="429" t="n"/>
      <c r="JD45" s="429" t="n"/>
      <c r="JE45" s="429" t="n"/>
      <c r="JF45" s="429" t="n"/>
      <c r="JG45" s="429" t="n"/>
      <c r="JH45" s="429" t="n"/>
      <c r="JI45" s="429" t="n"/>
      <c r="JJ45" s="429" t="n"/>
      <c r="JK45" s="429" t="n"/>
      <c r="JL45" s="429" t="n"/>
      <c r="JM45" s="429" t="n"/>
      <c r="JN45" s="429" t="n"/>
      <c r="JO45" s="429" t="n"/>
      <c r="JP45" s="429" t="n"/>
      <c r="JQ45" s="429" t="n"/>
      <c r="JR45" s="429" t="n"/>
      <c r="JS45" s="429" t="n"/>
      <c r="JT45" s="429" t="n"/>
      <c r="JU45" s="429" t="n"/>
      <c r="JV45" s="429" t="n"/>
      <c r="JW45" s="429" t="n"/>
      <c r="JX45" s="429" t="n"/>
      <c r="JY45" s="429" t="n"/>
      <c r="JZ45" s="429" t="n"/>
      <c r="KA45" s="429" t="n"/>
      <c r="KB45" s="429" t="n"/>
      <c r="KC45" s="429" t="n"/>
      <c r="KD45" s="429" t="n"/>
      <c r="KE45" s="429" t="n"/>
      <c r="KF45" s="429" t="n"/>
      <c r="KG45" s="429" t="n"/>
      <c r="KH45" s="429" t="n"/>
      <c r="KI45" s="429" t="n"/>
      <c r="KJ45" s="429" t="n"/>
      <c r="KK45" s="429" t="n"/>
      <c r="KL45" s="429" t="n"/>
      <c r="KM45" s="429" t="n"/>
      <c r="KN45" s="429" t="n"/>
      <c r="KO45" s="429" t="n"/>
      <c r="KP45" s="429" t="n"/>
    </row>
    <row r="46" ht="26" customHeight="1" thickBot="1">
      <c r="A46" s="234" t="n"/>
      <c r="B46" s="402" t="inlineStr">
        <is>
          <t>Göpfrich</t>
        </is>
      </c>
      <c r="C46" s="429" t="n"/>
      <c r="D46" s="405" t="n"/>
      <c r="E46" s="405" t="n"/>
      <c r="F46" s="423" t="inlineStr">
        <is>
          <t>U</t>
        </is>
      </c>
      <c r="G46" s="423" t="inlineStr">
        <is>
          <t>U</t>
        </is>
      </c>
      <c r="H46" s="429" t="n"/>
      <c r="I46" s="423" t="inlineStr">
        <is>
          <t>U</t>
        </is>
      </c>
      <c r="J46" s="423" t="inlineStr">
        <is>
          <t>U</t>
        </is>
      </c>
      <c r="K46" s="405" t="n"/>
      <c r="L46" s="405" t="n"/>
      <c r="M46" s="405" t="n"/>
      <c r="N46" s="405" t="n"/>
      <c r="O46" s="420" t="n"/>
      <c r="P46" s="420" t="n"/>
      <c r="Q46" s="420" t="n"/>
      <c r="R46" s="405" t="n"/>
      <c r="S46" s="405" t="n"/>
      <c r="T46" s="405" t="n"/>
      <c r="U46" s="405" t="n"/>
      <c r="V46" s="428" t="n"/>
      <c r="W46" s="428" t="n"/>
      <c r="X46" s="420" t="n"/>
      <c r="Y46" s="405" t="n"/>
      <c r="Z46" s="405" t="n"/>
      <c r="AA46" s="405" t="n"/>
      <c r="AB46" s="405" t="n"/>
      <c r="AC46" s="428" t="n"/>
      <c r="AD46" s="428" t="n"/>
      <c r="AE46" s="420" t="n"/>
      <c r="AF46" s="405" t="n"/>
      <c r="AG46" s="405" t="n"/>
      <c r="AH46" s="405" t="n"/>
      <c r="AI46" s="405" t="n"/>
      <c r="AJ46" s="428" t="n"/>
      <c r="AK46" s="428" t="n"/>
      <c r="AL46" s="420" t="n"/>
      <c r="AM46" s="405" t="n"/>
      <c r="AN46" s="405" t="n"/>
      <c r="AO46" s="405" t="n"/>
      <c r="AP46" s="405" t="n"/>
      <c r="AQ46" s="428" t="n"/>
      <c r="AR46" s="428" t="n"/>
      <c r="AS46" s="420" t="n"/>
      <c r="AT46" s="405" t="n"/>
      <c r="AU46" s="405" t="n"/>
      <c r="AV46" s="405" t="n"/>
      <c r="AW46" s="405" t="n"/>
      <c r="AX46" s="428" t="n"/>
      <c r="AY46" s="428" t="n"/>
      <c r="AZ46" s="420" t="n"/>
      <c r="BA46" s="405" t="n"/>
      <c r="BB46" s="405" t="n"/>
      <c r="BC46" s="405" t="n"/>
      <c r="BD46" s="405" t="n"/>
      <c r="BE46" s="428" t="n"/>
      <c r="BF46" s="428" t="n"/>
      <c r="BG46" s="420" t="n"/>
      <c r="BH46" s="405" t="n"/>
      <c r="BI46" s="405" t="n"/>
      <c r="BJ46" s="430" t="n"/>
      <c r="BK46" s="430" t="n"/>
      <c r="BL46" s="429" t="n"/>
      <c r="BM46" s="429" t="n"/>
      <c r="BN46" s="429" t="n"/>
      <c r="BO46" s="429" t="n"/>
      <c r="BP46" s="430" t="n"/>
      <c r="BQ46" s="430" t="n"/>
      <c r="BR46" s="430" t="n"/>
      <c r="BS46" s="429" t="n"/>
      <c r="BT46" s="429" t="n"/>
      <c r="BU46" s="429" t="n"/>
      <c r="BV46" s="429" t="n"/>
      <c r="BW46" s="430" t="n"/>
      <c r="BX46" s="430" t="n"/>
      <c r="BY46" s="430" t="n"/>
      <c r="BZ46" s="429" t="n"/>
      <c r="CA46" s="429" t="n"/>
      <c r="CB46" s="429" t="n"/>
      <c r="CC46" s="429" t="n"/>
      <c r="CD46" s="430" t="n"/>
      <c r="CE46" s="430" t="n"/>
      <c r="CF46" s="430" t="n"/>
      <c r="CG46" s="429" t="n"/>
      <c r="CH46" s="429" t="n"/>
      <c r="CI46" s="429" t="n"/>
      <c r="CJ46" s="429" t="n"/>
      <c r="CK46" s="430" t="n"/>
      <c r="CL46" s="430" t="n"/>
      <c r="CM46" s="430" t="n"/>
      <c r="CN46" s="429" t="n"/>
      <c r="CO46" s="429" t="n"/>
      <c r="CP46" s="429" t="n"/>
      <c r="CQ46" s="429" t="n"/>
      <c r="CR46" s="430" t="n"/>
      <c r="CS46" s="430" t="n"/>
      <c r="CT46" s="430" t="n"/>
      <c r="CU46" s="429" t="n"/>
      <c r="CV46" s="429" t="n"/>
      <c r="CW46" s="429" t="n"/>
      <c r="CX46" s="414" t="inlineStr">
        <is>
          <t>EH</t>
        </is>
      </c>
      <c r="CY46" s="439" t="inlineStr">
        <is>
          <t>Mi</t>
        </is>
      </c>
      <c r="CZ46" s="430" t="n"/>
      <c r="DA46" s="430" t="n"/>
      <c r="DB46" s="429" t="n"/>
      <c r="DC46" s="429" t="n"/>
      <c r="DD46" s="429" t="n"/>
      <c r="DE46" s="429" t="n"/>
      <c r="DF46" s="430" t="n"/>
      <c r="DG46" s="430" t="n"/>
      <c r="DH46" s="430" t="n"/>
      <c r="DI46" s="429" t="n"/>
      <c r="DJ46" s="429" t="n"/>
      <c r="DK46" s="429" t="n"/>
      <c r="DL46" s="429" t="n"/>
      <c r="DM46" s="430" t="n"/>
      <c r="DN46" s="430" t="n"/>
      <c r="DO46" s="430" t="n"/>
      <c r="DP46" s="429" t="n"/>
      <c r="DQ46" s="429" t="n"/>
      <c r="DR46" s="429" t="n"/>
      <c r="DS46" s="429" t="n"/>
      <c r="DT46" s="430" t="n"/>
      <c r="DU46" s="430" t="n"/>
      <c r="DV46" s="430" t="n"/>
      <c r="DW46" s="429" t="n"/>
      <c r="DX46" s="429" t="n"/>
      <c r="DY46" s="429" t="n"/>
      <c r="DZ46" s="429" t="n"/>
      <c r="EA46" s="430" t="n"/>
      <c r="EB46" s="430" t="n"/>
      <c r="EC46" s="430" t="n"/>
      <c r="ED46" s="429" t="n"/>
      <c r="EE46" s="429" t="n"/>
      <c r="EF46" s="429" t="n"/>
      <c r="EG46" s="429" t="n"/>
      <c r="EH46" s="430" t="n"/>
      <c r="EI46" s="430" t="n"/>
      <c r="EJ46" s="430" t="n"/>
      <c r="EK46" s="429" t="n"/>
      <c r="EL46" s="429" t="n"/>
      <c r="EM46" s="429" t="n"/>
      <c r="EN46" s="429" t="n"/>
      <c r="EO46" s="430" t="n"/>
      <c r="EP46" s="430" t="n"/>
      <c r="EQ46" s="430" t="n"/>
      <c r="ER46" s="429" t="n"/>
      <c r="ES46" s="429" t="n"/>
      <c r="ET46" s="429" t="n"/>
      <c r="EU46" s="429" t="n"/>
      <c r="EV46" s="430" t="n"/>
      <c r="EW46" s="430" t="n"/>
      <c r="EX46" s="430" t="n"/>
      <c r="EY46" s="429" t="n"/>
      <c r="EZ46" s="429" t="n"/>
      <c r="FA46" s="429" t="n"/>
      <c r="FB46" s="429" t="n"/>
      <c r="FC46" s="430" t="n"/>
      <c r="FD46" s="430" t="n"/>
      <c r="FE46" s="430" t="n"/>
      <c r="FF46" s="429" t="n"/>
      <c r="FG46" s="429" t="n"/>
      <c r="FH46" s="429" t="n"/>
      <c r="FI46" s="429" t="n"/>
      <c r="FJ46" s="430" t="n"/>
      <c r="FK46" s="430" t="n"/>
      <c r="FL46" s="430" t="n"/>
      <c r="FM46" s="429" t="n"/>
      <c r="FN46" s="429" t="n"/>
      <c r="FO46" s="429" t="n"/>
      <c r="FP46" s="429" t="n"/>
      <c r="FQ46" s="430" t="n"/>
      <c r="FR46" s="430" t="n"/>
      <c r="FS46" s="430" t="n"/>
      <c r="FT46" s="429" t="n"/>
      <c r="FU46" s="429" t="n"/>
      <c r="FV46" s="429" t="n"/>
      <c r="FW46" s="429" t="n"/>
      <c r="FX46" s="430" t="n"/>
      <c r="FY46" s="430" t="n"/>
      <c r="FZ46" s="430" t="n"/>
      <c r="GA46" s="429" t="n"/>
      <c r="GB46" s="429" t="n"/>
      <c r="GC46" s="429" t="n"/>
      <c r="GD46" s="429" t="n"/>
      <c r="GE46" s="429" t="n"/>
      <c r="GF46" s="429" t="n"/>
      <c r="GG46" s="429" t="n"/>
      <c r="GH46" s="429" t="n"/>
      <c r="GI46" s="429" t="n"/>
      <c r="GJ46" s="429" t="n"/>
      <c r="GK46" s="429" t="n"/>
      <c r="GL46" s="429" t="n"/>
      <c r="GM46" s="429" t="n"/>
      <c r="GN46" s="429" t="n"/>
      <c r="GO46" s="429" t="n"/>
      <c r="GP46" s="429" t="n"/>
      <c r="GQ46" s="429" t="n"/>
      <c r="GR46" s="429" t="n"/>
      <c r="GS46" s="429" t="n"/>
      <c r="GT46" s="429" t="n"/>
      <c r="GU46" s="429" t="n"/>
      <c r="GV46" s="429" t="n"/>
      <c r="GW46" s="429" t="n"/>
      <c r="GX46" s="429" t="n"/>
      <c r="GY46" s="429" t="n"/>
      <c r="GZ46" s="429" t="n"/>
      <c r="HA46" s="429" t="n"/>
      <c r="HB46" s="429" t="n"/>
      <c r="HC46" s="429" t="n"/>
      <c r="HD46" s="429" t="n"/>
      <c r="HE46" s="429" t="n"/>
      <c r="HF46" s="429" t="n"/>
      <c r="HG46" s="429" t="n"/>
      <c r="HH46" s="429" t="n"/>
      <c r="HI46" s="429" t="n"/>
      <c r="HJ46" s="429" t="n"/>
      <c r="HK46" s="429" t="n"/>
      <c r="HL46" s="429" t="n"/>
      <c r="HM46" s="429" t="n"/>
      <c r="HN46" s="429" t="n"/>
      <c r="HO46" s="429" t="n"/>
      <c r="HP46" s="429" t="n"/>
      <c r="HQ46" s="429" t="n"/>
      <c r="HR46" s="429" t="n"/>
      <c r="HS46" s="429" t="n"/>
      <c r="HT46" s="429" t="n"/>
      <c r="HU46" s="429" t="n"/>
      <c r="HV46" s="429" t="n"/>
      <c r="HW46" s="429" t="n"/>
      <c r="HX46" s="429" t="n"/>
      <c r="HY46" s="429" t="n"/>
      <c r="HZ46" s="429" t="n"/>
      <c r="IA46" s="429" t="n"/>
      <c r="IB46" s="429" t="n"/>
      <c r="IC46" s="429" t="n"/>
      <c r="ID46" s="429" t="n"/>
      <c r="IE46" s="429" t="n"/>
      <c r="IF46" s="429" t="n"/>
      <c r="IG46" s="429" t="n"/>
      <c r="IH46" s="429" t="n"/>
      <c r="II46" s="429" t="n"/>
      <c r="IJ46" s="429" t="n"/>
      <c r="IK46" s="429" t="n"/>
      <c r="IL46" s="429" t="n"/>
      <c r="IM46" s="429" t="n"/>
      <c r="IN46" s="429" t="n"/>
      <c r="IO46" s="429" t="n"/>
      <c r="IP46" s="429" t="n"/>
      <c r="IQ46" s="429" t="n"/>
      <c r="IR46" s="429" t="n"/>
      <c r="IS46" s="429" t="n"/>
      <c r="IT46" s="429" t="n"/>
      <c r="IU46" s="429" t="n"/>
      <c r="IV46" s="429" t="n"/>
      <c r="IW46" s="429" t="n"/>
      <c r="IX46" s="429" t="n"/>
      <c r="IY46" s="429" t="n"/>
      <c r="IZ46" s="429" t="n"/>
      <c r="JA46" s="429" t="n"/>
      <c r="JB46" s="429" t="n"/>
      <c r="JC46" s="429" t="n"/>
      <c r="JD46" s="429" t="n"/>
      <c r="JE46" s="429" t="n"/>
      <c r="JF46" s="429" t="n"/>
      <c r="JG46" s="429" t="n"/>
      <c r="JH46" s="429" t="n"/>
      <c r="JI46" s="429" t="n"/>
      <c r="JJ46" s="429" t="n"/>
      <c r="JK46" s="429" t="n"/>
      <c r="JL46" s="429" t="n"/>
      <c r="JM46" s="429" t="n"/>
      <c r="JN46" s="429" t="n"/>
      <c r="JO46" s="429" t="n"/>
      <c r="JP46" s="429" t="n"/>
      <c r="JQ46" s="429" t="n"/>
      <c r="JR46" s="429" t="n"/>
      <c r="JS46" s="429" t="n"/>
      <c r="JT46" s="429" t="n"/>
      <c r="JU46" s="429" t="n"/>
      <c r="JV46" s="429" t="n"/>
      <c r="JW46" s="429" t="n"/>
      <c r="JX46" s="429" t="n"/>
      <c r="JY46" s="429" t="n"/>
      <c r="JZ46" s="429" t="n"/>
      <c r="KA46" s="429" t="n"/>
      <c r="KB46" s="429" t="n"/>
      <c r="KC46" s="429" t="n"/>
      <c r="KD46" s="429" t="n"/>
      <c r="KE46" s="429" t="n"/>
      <c r="KF46" s="429" t="n"/>
      <c r="KG46" s="429" t="n"/>
      <c r="KH46" s="429" t="n"/>
      <c r="KI46" s="429" t="n"/>
      <c r="KJ46" s="429" t="n"/>
      <c r="KK46" s="429" t="n"/>
      <c r="KL46" s="429" t="n"/>
      <c r="KM46" s="429" t="n"/>
      <c r="KN46" s="429" t="n"/>
      <c r="KO46" s="429" t="n"/>
      <c r="KP46" s="429" t="n"/>
    </row>
    <row r="47" ht="26" customFormat="1" customHeight="1" s="153" thickBot="1">
      <c r="A47" s="467" t="n"/>
      <c r="B47" s="402" t="inlineStr">
        <is>
          <t>Zeller</t>
        </is>
      </c>
      <c r="C47" s="429" t="n"/>
      <c r="D47" s="405" t="n"/>
      <c r="E47" s="405" t="n"/>
      <c r="F47" s="405" t="n"/>
      <c r="G47" s="440" t="n"/>
      <c r="H47" s="429" t="n"/>
      <c r="I47" s="428" t="n"/>
      <c r="J47" s="420" t="n"/>
      <c r="K47" s="405" t="n"/>
      <c r="L47" s="405" t="n"/>
      <c r="M47" s="405" t="n"/>
      <c r="N47" s="405" t="n"/>
      <c r="O47" s="425" t="n"/>
      <c r="P47" s="428" t="n"/>
      <c r="Q47" s="420" t="n"/>
      <c r="R47" s="405" t="n"/>
      <c r="S47" s="405" t="n"/>
      <c r="T47" s="405" t="n"/>
      <c r="U47" s="405" t="n"/>
      <c r="V47" s="428" t="n"/>
      <c r="W47" s="428" t="n"/>
      <c r="X47" s="420" t="n"/>
      <c r="Y47" s="405" t="n"/>
      <c r="Z47" s="405" t="n"/>
      <c r="AA47" s="405" t="n"/>
      <c r="AB47" s="405" t="n"/>
      <c r="AC47" s="428" t="n"/>
      <c r="AD47" s="428" t="n"/>
      <c r="AE47" s="420" t="n"/>
      <c r="AF47" s="405" t="n"/>
      <c r="AG47" s="405" t="n"/>
      <c r="AH47" s="405" t="n"/>
      <c r="AI47" s="405" t="n"/>
      <c r="AJ47" s="428" t="n"/>
      <c r="AK47" s="428" t="n"/>
      <c r="AL47" s="420" t="n"/>
      <c r="AM47" s="405" t="n"/>
      <c r="AN47" s="405" t="n"/>
      <c r="AO47" s="405" t="n"/>
      <c r="AP47" s="405" t="n"/>
      <c r="AQ47" s="428" t="n"/>
      <c r="AR47" s="428" t="n"/>
      <c r="AS47" s="420" t="n"/>
      <c r="AT47" s="405" t="n"/>
      <c r="AU47" s="405" t="n"/>
      <c r="AV47" s="405" t="n"/>
      <c r="AW47" s="405" t="n"/>
      <c r="AX47" s="428" t="n"/>
      <c r="AY47" s="428" t="n"/>
      <c r="AZ47" s="420" t="n"/>
      <c r="BA47" s="405" t="n"/>
      <c r="BB47" s="405" t="n"/>
      <c r="BC47" s="405" t="n"/>
      <c r="BD47" s="405" t="n"/>
      <c r="BE47" s="428" t="n"/>
      <c r="BF47" s="428" t="n"/>
      <c r="BG47" s="420" t="n"/>
      <c r="BH47" s="405" t="n"/>
      <c r="BI47" s="405" t="n"/>
      <c r="BJ47" s="430" t="n"/>
      <c r="BK47" s="430" t="n"/>
      <c r="BL47" s="429" t="n"/>
      <c r="BM47" s="429" t="n"/>
      <c r="BN47" s="429" t="n"/>
      <c r="BO47" s="429" t="n"/>
      <c r="BP47" s="430" t="n"/>
      <c r="BQ47" s="430" t="n"/>
      <c r="BR47" s="430" t="n"/>
      <c r="BS47" s="429" t="n"/>
      <c r="BT47" s="429" t="n"/>
      <c r="BU47" s="429" t="n"/>
      <c r="BV47" s="429" t="n"/>
      <c r="BW47" s="430" t="n"/>
      <c r="BX47" s="430" t="n"/>
      <c r="BY47" s="430" t="n"/>
      <c r="BZ47" s="429" t="n"/>
      <c r="CA47" s="429" t="n"/>
      <c r="CB47" s="429" t="n"/>
      <c r="CC47" s="429" t="n"/>
      <c r="CD47" s="430" t="n"/>
      <c r="CE47" s="430" t="n"/>
      <c r="CF47" s="430" t="n"/>
      <c r="CG47" s="429" t="n"/>
      <c r="CH47" s="429" t="n"/>
      <c r="CI47" s="429" t="n"/>
      <c r="CJ47" s="429" t="n"/>
      <c r="CK47" s="430" t="n"/>
      <c r="CL47" s="430" t="n"/>
      <c r="CM47" s="430" t="n"/>
      <c r="CN47" s="429" t="n"/>
      <c r="CO47" s="429" t="n"/>
      <c r="CP47" s="429" t="n"/>
      <c r="CQ47" s="429" t="n"/>
      <c r="CR47" s="430" t="n"/>
      <c r="CS47" s="430" t="n"/>
      <c r="CT47" s="430" t="n"/>
      <c r="CU47" s="429" t="n"/>
      <c r="CV47" s="429" t="n"/>
      <c r="CW47" s="423" t="inlineStr">
        <is>
          <t>U</t>
        </is>
      </c>
      <c r="CX47" s="439" t="inlineStr">
        <is>
          <t>T-ZG</t>
        </is>
      </c>
      <c r="CY47" s="430" t="n"/>
      <c r="CZ47" s="430" t="n"/>
      <c r="DA47" s="430" t="n"/>
      <c r="DB47" s="429" t="n"/>
      <c r="DC47" s="429" t="n"/>
      <c r="DD47" s="429" t="n"/>
      <c r="DE47" s="429" t="n"/>
      <c r="DF47" s="430" t="n"/>
      <c r="DG47" s="430" t="n"/>
      <c r="DH47" s="430" t="n"/>
      <c r="DI47" s="429" t="n"/>
      <c r="DJ47" s="429" t="n"/>
      <c r="DK47" s="429" t="n"/>
      <c r="DL47" s="429" t="n"/>
      <c r="DM47" s="430" t="n"/>
      <c r="DN47" s="430" t="n"/>
      <c r="DO47" s="430" t="n"/>
      <c r="DP47" s="429" t="n"/>
      <c r="DQ47" s="429" t="n"/>
      <c r="DR47" s="429" t="n"/>
      <c r="DS47" s="429" t="n"/>
      <c r="DT47" s="430" t="n"/>
      <c r="DU47" s="430" t="n"/>
      <c r="DV47" s="430" t="n"/>
      <c r="DW47" s="429" t="n"/>
      <c r="DX47" s="429" t="n"/>
      <c r="DY47" s="429" t="n"/>
      <c r="DZ47" s="429" t="n"/>
      <c r="EA47" s="430" t="n"/>
      <c r="EB47" s="430" t="n"/>
      <c r="EC47" s="430" t="n"/>
      <c r="ED47" s="429" t="n"/>
      <c r="EE47" s="429" t="n"/>
      <c r="EF47" s="429" t="n"/>
      <c r="EG47" s="429" t="n"/>
      <c r="EH47" s="430" t="n"/>
      <c r="EI47" s="430" t="n"/>
      <c r="EJ47" s="430" t="n"/>
      <c r="EK47" s="429" t="n"/>
      <c r="EL47" s="429" t="n"/>
      <c r="EM47" s="429" t="n"/>
      <c r="EN47" s="429" t="n"/>
      <c r="EO47" s="430" t="n"/>
      <c r="EP47" s="430" t="n"/>
      <c r="EQ47" s="430" t="n"/>
      <c r="ER47" s="429" t="n"/>
      <c r="ES47" s="429" t="n"/>
      <c r="ET47" s="429" t="n"/>
      <c r="EU47" s="429" t="n"/>
      <c r="EV47" s="430" t="n"/>
      <c r="EW47" s="430" t="n"/>
      <c r="EX47" s="430" t="n"/>
      <c r="EY47" s="429" t="n"/>
      <c r="EZ47" s="429" t="n"/>
      <c r="FA47" s="429" t="n"/>
      <c r="FB47" s="429" t="n"/>
      <c r="FC47" s="430" t="n"/>
      <c r="FD47" s="430" t="n"/>
      <c r="FE47" s="430" t="n"/>
      <c r="FF47" s="429" t="n"/>
      <c r="FG47" s="429" t="n"/>
      <c r="FH47" s="429" t="n"/>
      <c r="FI47" s="429" t="n"/>
      <c r="FJ47" s="430" t="n"/>
      <c r="FK47" s="430" t="n"/>
      <c r="FL47" s="430" t="n"/>
      <c r="FM47" s="429" t="n"/>
      <c r="FN47" s="429" t="n"/>
      <c r="FO47" s="429" t="n"/>
      <c r="FP47" s="429" t="n"/>
      <c r="FQ47" s="430" t="n"/>
      <c r="FR47" s="430" t="n"/>
      <c r="FS47" s="430" t="n"/>
      <c r="FT47" s="429" t="n"/>
      <c r="FU47" s="429" t="n"/>
      <c r="FV47" s="429" t="n"/>
      <c r="FW47" s="429" t="n"/>
      <c r="FX47" s="430" t="n"/>
      <c r="FY47" s="430" t="n"/>
      <c r="FZ47" s="430" t="n"/>
      <c r="GA47" s="429" t="n"/>
      <c r="GB47" s="429" t="n"/>
      <c r="GC47" s="429" t="n"/>
      <c r="GD47" s="429" t="n"/>
      <c r="GE47" s="429" t="n"/>
      <c r="GF47" s="429" t="n"/>
      <c r="GG47" s="429" t="n"/>
      <c r="GH47" s="429" t="n"/>
      <c r="GI47" s="429" t="n"/>
      <c r="GJ47" s="429" t="n"/>
      <c r="GK47" s="429" t="n"/>
      <c r="GL47" s="429" t="n"/>
      <c r="GM47" s="429" t="n"/>
      <c r="GN47" s="429" t="n"/>
      <c r="GO47" s="429" t="n"/>
      <c r="GP47" s="429" t="n"/>
      <c r="GQ47" s="429" t="n"/>
      <c r="GR47" s="429" t="n"/>
      <c r="GS47" s="429" t="n"/>
      <c r="GT47" s="429" t="n"/>
      <c r="GU47" s="429" t="n"/>
      <c r="GV47" s="429" t="n"/>
      <c r="GW47" s="429" t="n"/>
      <c r="GX47" s="429" t="n"/>
      <c r="GY47" s="429" t="n"/>
      <c r="GZ47" s="429" t="n"/>
      <c r="HA47" s="429" t="n"/>
      <c r="HB47" s="429" t="n"/>
      <c r="HC47" s="429" t="n"/>
      <c r="HD47" s="429" t="n"/>
      <c r="HE47" s="429" t="n"/>
      <c r="HF47" s="429" t="n"/>
      <c r="HG47" s="429" t="n"/>
      <c r="HH47" s="429" t="n"/>
      <c r="HI47" s="429" t="n"/>
      <c r="HJ47" s="429" t="n"/>
      <c r="HK47" s="429" t="n"/>
      <c r="HL47" s="429" t="n"/>
      <c r="HM47" s="429" t="n"/>
      <c r="HN47" s="429" t="n"/>
      <c r="HO47" s="429" t="n"/>
      <c r="HP47" s="429" t="n"/>
      <c r="HQ47" s="429" t="n"/>
      <c r="HR47" s="429" t="n"/>
      <c r="HS47" s="429" t="n"/>
      <c r="HT47" s="429" t="n"/>
      <c r="HU47" s="429" t="n"/>
      <c r="HV47" s="429" t="n"/>
      <c r="HW47" s="429" t="n"/>
      <c r="HX47" s="429" t="n"/>
      <c r="HY47" s="429" t="n"/>
      <c r="HZ47" s="429" t="n"/>
      <c r="IA47" s="429" t="n"/>
      <c r="IB47" s="429" t="n"/>
      <c r="IC47" s="429" t="n"/>
      <c r="ID47" s="429" t="n"/>
      <c r="IE47" s="429" t="n"/>
      <c r="IF47" s="429" t="n"/>
      <c r="IG47" s="429" t="n"/>
      <c r="IH47" s="429" t="n"/>
      <c r="II47" s="429" t="n"/>
      <c r="IJ47" s="429" t="n"/>
      <c r="IK47" s="429" t="n"/>
      <c r="IL47" s="429" t="n"/>
      <c r="IM47" s="429" t="n"/>
      <c r="IN47" s="429" t="n"/>
      <c r="IO47" s="429" t="n"/>
      <c r="IP47" s="429" t="n"/>
      <c r="IQ47" s="429" t="n"/>
      <c r="IR47" s="429" t="n"/>
      <c r="IS47" s="429" t="n"/>
      <c r="IT47" s="429" t="n"/>
      <c r="IU47" s="429" t="n"/>
      <c r="IV47" s="429" t="n"/>
      <c r="IW47" s="429" t="n"/>
      <c r="IX47" s="429" t="n"/>
      <c r="IY47" s="429" t="n"/>
      <c r="IZ47" s="429" t="n"/>
      <c r="JA47" s="429" t="n"/>
      <c r="JB47" s="429" t="n"/>
      <c r="JC47" s="429" t="n"/>
      <c r="JD47" s="429" t="n"/>
      <c r="JE47" s="429" t="n"/>
      <c r="JF47" s="429" t="n"/>
      <c r="JG47" s="429" t="n"/>
      <c r="JH47" s="429" t="n"/>
      <c r="JI47" s="429" t="n"/>
      <c r="JJ47" s="429" t="n"/>
      <c r="JK47" s="429" t="n"/>
      <c r="JL47" s="429" t="n"/>
      <c r="JM47" s="429" t="n"/>
      <c r="JN47" s="429" t="n"/>
      <c r="JO47" s="429" t="n"/>
      <c r="JP47" s="429" t="n"/>
      <c r="JQ47" s="429" t="n"/>
      <c r="JR47" s="429" t="n"/>
      <c r="JS47" s="429" t="n"/>
      <c r="JT47" s="429" t="n"/>
      <c r="JU47" s="429" t="n"/>
      <c r="JV47" s="429" t="n"/>
      <c r="JW47" s="429" t="n"/>
      <c r="JX47" s="429" t="n"/>
      <c r="JY47" s="429" t="n"/>
      <c r="JZ47" s="429" t="n"/>
      <c r="KA47" s="429" t="n"/>
      <c r="KB47" s="429" t="n"/>
      <c r="KC47" s="429" t="n"/>
      <c r="KD47" s="429" t="n"/>
      <c r="KE47" s="429" t="n"/>
      <c r="KF47" s="429" t="n"/>
      <c r="KG47" s="429" t="n"/>
      <c r="KH47" s="429" t="n"/>
      <c r="KI47" s="429" t="n"/>
      <c r="KJ47" s="429" t="n"/>
      <c r="KK47" s="429" t="n"/>
      <c r="KL47" s="429" t="n"/>
      <c r="KM47" s="429" t="n"/>
      <c r="KN47" s="429" t="n"/>
      <c r="KO47" s="429" t="n"/>
      <c r="KP47" s="429" t="n"/>
    </row>
    <row r="48" ht="26" customHeight="1" thickBot="1">
      <c r="A48" s="234" t="n"/>
      <c r="B48" s="402" t="inlineStr">
        <is>
          <t>Behrendt</t>
        </is>
      </c>
      <c r="C48" s="429" t="n"/>
      <c r="D48" s="405" t="n"/>
      <c r="E48" s="405" t="n"/>
      <c r="F48" s="405" t="n"/>
      <c r="G48" s="405" t="n"/>
      <c r="H48" s="429" t="n"/>
      <c r="I48" s="425" t="n"/>
      <c r="J48" s="425" t="n"/>
      <c r="K48" s="405" t="n"/>
      <c r="L48" s="405" t="n"/>
      <c r="M48" s="405" t="n"/>
      <c r="N48" s="405" t="n"/>
      <c r="O48" s="420" t="n"/>
      <c r="P48" s="420" t="n"/>
      <c r="Q48" s="420" t="n"/>
      <c r="R48" s="405" t="n"/>
      <c r="S48" s="405" t="n"/>
      <c r="T48" s="405" t="n"/>
      <c r="U48" s="405" t="n"/>
      <c r="V48" s="428" t="n"/>
      <c r="W48" s="428" t="n"/>
      <c r="X48" s="420" t="n"/>
      <c r="Y48" s="405" t="n"/>
      <c r="Z48" s="405" t="n"/>
      <c r="AA48" s="405" t="n"/>
      <c r="AB48" s="405" t="n"/>
      <c r="AC48" s="428" t="n"/>
      <c r="AD48" s="428" t="n"/>
      <c r="AE48" s="420" t="n"/>
      <c r="AF48" s="405" t="n"/>
      <c r="AG48" s="405" t="n"/>
      <c r="AH48" s="405" t="n"/>
      <c r="AI48" s="405" t="n"/>
      <c r="AJ48" s="428" t="n"/>
      <c r="AK48" s="428" t="n"/>
      <c r="AL48" s="420" t="n"/>
      <c r="AM48" s="405" t="n"/>
      <c r="AN48" s="405" t="n"/>
      <c r="AO48" s="405" t="n"/>
      <c r="AP48" s="405" t="n"/>
      <c r="AQ48" s="428" t="n"/>
      <c r="AR48" s="428" t="n"/>
      <c r="AS48" s="420" t="n"/>
      <c r="AT48" s="405" t="n"/>
      <c r="AU48" s="405" t="n"/>
      <c r="AV48" s="405" t="n"/>
      <c r="AW48" s="405" t="n"/>
      <c r="AX48" s="426" t="n"/>
      <c r="AY48" s="425" t="n"/>
      <c r="AZ48" s="425" t="n"/>
      <c r="BA48" s="405" t="n"/>
      <c r="BB48" s="405" t="n"/>
      <c r="BC48" s="405" t="n"/>
      <c r="BD48" s="405" t="n"/>
      <c r="BE48" s="431" t="n"/>
      <c r="BF48" s="431" t="n"/>
      <c r="BG48" s="431" t="n"/>
      <c r="BH48" s="405" t="n"/>
      <c r="BI48" s="405" t="n"/>
      <c r="BJ48" s="430" t="n"/>
      <c r="BK48" s="430" t="n"/>
      <c r="BL48" s="429" t="n"/>
      <c r="BM48" s="429" t="n"/>
      <c r="BN48" s="429" t="n"/>
      <c r="BO48" s="429" t="n"/>
      <c r="BP48" s="430" t="n"/>
      <c r="BQ48" s="430" t="n"/>
      <c r="BR48" s="430" t="n"/>
      <c r="BS48" s="429" t="n"/>
      <c r="BT48" s="429" t="n"/>
      <c r="BU48" s="429" t="n"/>
      <c r="BV48" s="429" t="n"/>
      <c r="BW48" s="430" t="n"/>
      <c r="BX48" s="430" t="n"/>
      <c r="BY48" s="430" t="n"/>
      <c r="BZ48" s="429" t="n"/>
      <c r="CA48" s="429" t="n"/>
      <c r="CB48" s="429" t="n"/>
      <c r="CC48" s="429" t="n"/>
      <c r="CD48" s="430" t="n"/>
      <c r="CE48" s="430" t="n"/>
      <c r="CF48" s="430" t="n"/>
      <c r="CG48" s="429" t="n"/>
      <c r="CH48" s="429" t="n"/>
      <c r="CI48" s="429" t="n"/>
      <c r="CJ48" s="429" t="n"/>
      <c r="CK48" s="430" t="n"/>
      <c r="CL48" s="430" t="n"/>
      <c r="CM48" s="430" t="n"/>
      <c r="CN48" s="429" t="n"/>
      <c r="CO48" s="429" t="n"/>
      <c r="CP48" s="429" t="n"/>
      <c r="CQ48" s="429" t="n"/>
      <c r="CR48" s="430" t="n"/>
      <c r="CS48" s="430" t="n"/>
      <c r="CT48" s="430" t="n"/>
      <c r="CU48" s="429" t="n"/>
      <c r="CV48" s="429" t="n"/>
      <c r="CW48" s="431" t="n"/>
      <c r="CX48" s="431" t="n"/>
      <c r="CY48" s="430" t="n"/>
      <c r="CZ48" s="430" t="n"/>
      <c r="DA48" s="430" t="n"/>
      <c r="DB48" s="429" t="n"/>
      <c r="DC48" s="429" t="n"/>
      <c r="DD48" s="429" t="n"/>
      <c r="DE48" s="429" t="n"/>
      <c r="DF48" s="430" t="n"/>
      <c r="DG48" s="430" t="n"/>
      <c r="DH48" s="430" t="n"/>
      <c r="DI48" s="429" t="n"/>
      <c r="DJ48" s="429" t="n"/>
      <c r="DK48" s="429" t="n"/>
      <c r="DL48" s="429" t="n"/>
      <c r="DM48" s="430" t="n"/>
      <c r="DN48" s="430" t="n"/>
      <c r="DO48" s="430" t="n"/>
      <c r="DP48" s="429" t="n"/>
      <c r="DQ48" s="429" t="n"/>
      <c r="DR48" s="429" t="n"/>
      <c r="DS48" s="429" t="n"/>
      <c r="DT48" s="430" t="n"/>
      <c r="DU48" s="430" t="n"/>
      <c r="DV48" s="430" t="n"/>
      <c r="DW48" s="429" t="n"/>
      <c r="DX48" s="429" t="n"/>
      <c r="DY48" s="429" t="n"/>
      <c r="DZ48" s="429" t="n"/>
      <c r="EA48" s="430" t="n"/>
      <c r="EB48" s="430" t="n"/>
      <c r="EC48" s="430" t="n"/>
      <c r="ED48" s="429" t="n"/>
      <c r="EE48" s="429" t="n"/>
      <c r="EF48" s="429" t="n"/>
      <c r="EG48" s="429" t="n"/>
      <c r="EH48" s="430" t="n"/>
      <c r="EI48" s="430" t="n"/>
      <c r="EJ48" s="430" t="n"/>
      <c r="EK48" s="429" t="n"/>
      <c r="EL48" s="429" t="n"/>
      <c r="EM48" s="429" t="n"/>
      <c r="EN48" s="429" t="n"/>
      <c r="EO48" s="430" t="n"/>
      <c r="EP48" s="430" t="n"/>
      <c r="EQ48" s="430" t="n"/>
      <c r="ER48" s="429" t="n"/>
      <c r="ES48" s="429" t="n"/>
      <c r="ET48" s="429" t="n"/>
      <c r="EU48" s="429" t="n"/>
      <c r="EV48" s="430" t="n"/>
      <c r="EW48" s="430" t="n"/>
      <c r="EX48" s="430" t="n"/>
      <c r="EY48" s="429" t="n"/>
      <c r="EZ48" s="429" t="n"/>
      <c r="FA48" s="429" t="n"/>
      <c r="FB48" s="429" t="n"/>
      <c r="FC48" s="430" t="n"/>
      <c r="FD48" s="430" t="n"/>
      <c r="FE48" s="430" t="n"/>
      <c r="FF48" s="429" t="n"/>
      <c r="FG48" s="429" t="n"/>
      <c r="FH48" s="429" t="n"/>
      <c r="FI48" s="429" t="n"/>
      <c r="FJ48" s="430" t="n"/>
      <c r="FK48" s="430" t="n"/>
      <c r="FL48" s="430" t="n"/>
      <c r="FM48" s="429" t="n"/>
      <c r="FN48" s="429" t="n"/>
      <c r="FO48" s="429" t="n"/>
      <c r="FP48" s="429" t="n"/>
      <c r="FQ48" s="430" t="n"/>
      <c r="FR48" s="430" t="n"/>
      <c r="FS48" s="430" t="n"/>
      <c r="FT48" s="429" t="n"/>
      <c r="FU48" s="429" t="n"/>
      <c r="FV48" s="429" t="n"/>
      <c r="FW48" s="429" t="n"/>
      <c r="FX48" s="430" t="n"/>
      <c r="FY48" s="430" t="n"/>
      <c r="FZ48" s="430" t="n"/>
      <c r="GA48" s="429" t="n"/>
      <c r="GB48" s="429" t="n"/>
      <c r="GC48" s="429" t="n"/>
      <c r="GD48" s="429" t="n"/>
      <c r="GE48" s="429" t="n"/>
      <c r="GF48" s="429" t="n"/>
      <c r="GG48" s="429" t="n"/>
      <c r="GH48" s="429" t="n"/>
      <c r="GI48" s="429" t="n"/>
      <c r="GJ48" s="429" t="n"/>
      <c r="GK48" s="429" t="n"/>
      <c r="GL48" s="429" t="n"/>
      <c r="GM48" s="429" t="n"/>
      <c r="GN48" s="429" t="n"/>
      <c r="GO48" s="429" t="n"/>
      <c r="GP48" s="429" t="n"/>
      <c r="GQ48" s="429" t="n"/>
      <c r="GR48" s="429" t="n"/>
      <c r="GS48" s="429" t="n"/>
      <c r="GT48" s="429" t="n"/>
      <c r="GU48" s="429" t="n"/>
      <c r="GV48" s="429" t="n"/>
      <c r="GW48" s="429" t="n"/>
      <c r="GX48" s="429" t="n"/>
      <c r="GY48" s="429" t="n"/>
      <c r="GZ48" s="429" t="n"/>
      <c r="HA48" s="429" t="n"/>
      <c r="HB48" s="429" t="n"/>
      <c r="HC48" s="429" t="n"/>
      <c r="HD48" s="429" t="n"/>
      <c r="HE48" s="429" t="n"/>
      <c r="HF48" s="429" t="n"/>
      <c r="HG48" s="429" t="n"/>
      <c r="HH48" s="429" t="n"/>
      <c r="HI48" s="429" t="n"/>
      <c r="HJ48" s="429" t="n"/>
      <c r="HK48" s="429" t="n"/>
      <c r="HL48" s="429" t="n"/>
      <c r="HM48" s="429" t="n"/>
      <c r="HN48" s="429" t="n"/>
      <c r="HO48" s="429" t="n"/>
      <c r="HP48" s="429" t="n"/>
      <c r="HQ48" s="429" t="n"/>
      <c r="HR48" s="429" t="n"/>
      <c r="HS48" s="429" t="n"/>
      <c r="HT48" s="429" t="n"/>
      <c r="HU48" s="429" t="n"/>
      <c r="HV48" s="429" t="n"/>
      <c r="HW48" s="429" t="n"/>
      <c r="HX48" s="429" t="n"/>
      <c r="HY48" s="429" t="n"/>
      <c r="HZ48" s="429" t="n"/>
      <c r="IA48" s="429" t="n"/>
      <c r="IB48" s="429" t="n"/>
      <c r="IC48" s="429" t="n"/>
      <c r="ID48" s="429" t="n"/>
      <c r="IE48" s="429" t="n"/>
      <c r="IF48" s="429" t="n"/>
      <c r="IG48" s="429" t="n"/>
      <c r="IH48" s="429" t="n"/>
      <c r="II48" s="429" t="n"/>
      <c r="IJ48" s="429" t="n"/>
      <c r="IK48" s="429" t="n"/>
      <c r="IL48" s="429" t="n"/>
      <c r="IM48" s="429" t="n"/>
      <c r="IN48" s="429" t="n"/>
      <c r="IO48" s="429" t="n"/>
      <c r="IP48" s="429" t="n"/>
      <c r="IQ48" s="429" t="n"/>
      <c r="IR48" s="429" t="n"/>
      <c r="IS48" s="429" t="n"/>
      <c r="IT48" s="429" t="n"/>
      <c r="IU48" s="429" t="n"/>
      <c r="IV48" s="429" t="n"/>
      <c r="IW48" s="429" t="n"/>
      <c r="IX48" s="429" t="n"/>
      <c r="IY48" s="429" t="n"/>
      <c r="IZ48" s="429" t="n"/>
      <c r="JA48" s="429" t="n"/>
      <c r="JB48" s="429" t="n"/>
      <c r="JC48" s="429" t="n"/>
      <c r="JD48" s="429" t="n"/>
      <c r="JE48" s="429" t="n"/>
      <c r="JF48" s="429" t="n"/>
      <c r="JG48" s="429" t="n"/>
      <c r="JH48" s="429" t="n"/>
      <c r="JI48" s="429" t="n"/>
      <c r="JJ48" s="429" t="n"/>
      <c r="JK48" s="429" t="n"/>
      <c r="JL48" s="429" t="n"/>
      <c r="JM48" s="429" t="n"/>
      <c r="JN48" s="429" t="n"/>
      <c r="JO48" s="429" t="n"/>
      <c r="JP48" s="429" t="n"/>
      <c r="JQ48" s="429" t="n"/>
      <c r="JR48" s="429" t="n"/>
      <c r="JS48" s="429" t="n"/>
      <c r="JT48" s="429" t="n"/>
      <c r="JU48" s="429" t="n"/>
      <c r="JV48" s="429" t="n"/>
      <c r="JW48" s="429" t="n"/>
      <c r="JX48" s="429" t="n"/>
      <c r="JY48" s="429" t="n"/>
      <c r="JZ48" s="429" t="n"/>
      <c r="KA48" s="429" t="n"/>
      <c r="KB48" s="429" t="n"/>
      <c r="KC48" s="429" t="n"/>
      <c r="KD48" s="429" t="n"/>
      <c r="KE48" s="429" t="n"/>
      <c r="KF48" s="429" t="n"/>
      <c r="KG48" s="429" t="n"/>
      <c r="KH48" s="429" t="n"/>
      <c r="KI48" s="429" t="n"/>
      <c r="KJ48" s="429" t="n"/>
      <c r="KK48" s="429" t="n"/>
      <c r="KL48" s="429" t="n"/>
      <c r="KM48" s="429" t="n"/>
      <c r="KN48" s="429" t="n"/>
      <c r="KO48" s="429" t="n"/>
      <c r="KP48" s="429" t="n"/>
    </row>
    <row r="49" ht="26" customHeight="1" thickBot="1">
      <c r="A49" s="234" t="n"/>
      <c r="B49" s="402" t="inlineStr">
        <is>
          <t>Krempl</t>
        </is>
      </c>
      <c r="C49" s="429" t="n"/>
      <c r="D49" s="405" t="n"/>
      <c r="E49" s="405" t="n"/>
      <c r="F49" s="423" t="inlineStr">
        <is>
          <t>U</t>
        </is>
      </c>
      <c r="G49" s="423" t="inlineStr">
        <is>
          <t>U</t>
        </is>
      </c>
      <c r="H49" s="429" t="n"/>
      <c r="I49" s="423" t="inlineStr">
        <is>
          <t>U</t>
        </is>
      </c>
      <c r="J49" s="423" t="inlineStr">
        <is>
          <t>U</t>
        </is>
      </c>
      <c r="K49" s="405" t="n"/>
      <c r="L49" s="405" t="n"/>
      <c r="M49" s="405" t="n"/>
      <c r="N49" s="405" t="n"/>
      <c r="O49" s="425" t="n"/>
      <c r="P49" s="428" t="n"/>
      <c r="Q49" s="420" t="n"/>
      <c r="R49" s="405" t="n"/>
      <c r="S49" s="405" t="n"/>
      <c r="T49" s="405" t="n"/>
      <c r="U49" s="405" t="n"/>
      <c r="V49" s="428" t="n"/>
      <c r="W49" s="428" t="n"/>
      <c r="X49" s="420" t="n"/>
      <c r="Y49" s="405" t="n"/>
      <c r="Z49" s="405" t="n"/>
      <c r="AA49" s="405" t="n"/>
      <c r="AB49" s="405" t="n"/>
      <c r="AC49" s="428" t="n"/>
      <c r="AD49" s="428" t="n"/>
      <c r="AE49" s="420" t="n"/>
      <c r="AF49" s="405" t="n"/>
      <c r="AG49" s="405" t="n"/>
      <c r="AH49" s="405" t="n"/>
      <c r="AI49" s="405" t="n"/>
      <c r="AJ49" s="428" t="n"/>
      <c r="AK49" s="428" t="n"/>
      <c r="AL49" s="420" t="n"/>
      <c r="AM49" s="405" t="n"/>
      <c r="AN49" s="405" t="n"/>
      <c r="AO49" s="405" t="n"/>
      <c r="AP49" s="405" t="n"/>
      <c r="AQ49" s="428" t="n"/>
      <c r="AR49" s="428" t="n"/>
      <c r="AS49" s="420" t="n"/>
      <c r="AT49" s="405" t="n"/>
      <c r="AU49" s="405" t="n"/>
      <c r="AV49" s="405" t="n"/>
      <c r="AW49" s="405" t="n"/>
      <c r="AX49" s="428" t="n"/>
      <c r="AY49" s="428" t="n"/>
      <c r="AZ49" s="420" t="n"/>
      <c r="BA49" s="405" t="n"/>
      <c r="BB49" s="405" t="n"/>
      <c r="BC49" s="405" t="n"/>
      <c r="BD49" s="405" t="n"/>
      <c r="BE49" s="428" t="n"/>
      <c r="BF49" s="428" t="n"/>
      <c r="BG49" s="420" t="n"/>
      <c r="BH49" s="405" t="n"/>
      <c r="BI49" s="405" t="n"/>
      <c r="BJ49" s="430" t="n"/>
      <c r="BK49" s="430" t="n"/>
      <c r="BL49" s="429" t="n"/>
      <c r="BM49" s="429" t="n"/>
      <c r="BN49" s="429" t="n"/>
      <c r="BO49" s="429" t="n"/>
      <c r="BP49" s="430" t="n"/>
      <c r="BQ49" s="430" t="n"/>
      <c r="BR49" s="430" t="n"/>
      <c r="BS49" s="429" t="n"/>
      <c r="BT49" s="429" t="n"/>
      <c r="BU49" s="429" t="n"/>
      <c r="BV49" s="429" t="n"/>
      <c r="BW49" s="430" t="n"/>
      <c r="BX49" s="430" t="n"/>
      <c r="BY49" s="430" t="n"/>
      <c r="BZ49" s="429" t="n"/>
      <c r="CA49" s="429" t="n"/>
      <c r="CB49" s="429" t="n"/>
      <c r="CC49" s="429" t="n"/>
      <c r="CD49" s="430" t="n"/>
      <c r="CE49" s="430" t="n"/>
      <c r="CF49" s="430" t="n"/>
      <c r="CG49" s="429" t="n"/>
      <c r="CH49" s="429" t="n"/>
      <c r="CI49" s="429" t="n"/>
      <c r="CJ49" s="429" t="n"/>
      <c r="CK49" s="430" t="n"/>
      <c r="CL49" s="430" t="n"/>
      <c r="CM49" s="430" t="n"/>
      <c r="CN49" s="429" t="n"/>
      <c r="CO49" s="429" t="n"/>
      <c r="CP49" s="429" t="n"/>
      <c r="CQ49" s="429" t="n"/>
      <c r="CR49" s="430" t="n"/>
      <c r="CS49" s="430" t="n"/>
      <c r="CT49" s="430" t="n"/>
      <c r="CU49" s="429" t="n"/>
      <c r="CV49" s="429" t="n"/>
      <c r="CW49" s="439" t="inlineStr">
        <is>
          <t>Sa</t>
        </is>
      </c>
      <c r="CX49" s="439" t="inlineStr">
        <is>
          <t>Fr</t>
        </is>
      </c>
      <c r="CY49" s="430" t="n"/>
      <c r="CZ49" s="430" t="n"/>
      <c r="DA49" s="430" t="n"/>
      <c r="DB49" s="429" t="n"/>
      <c r="DC49" s="429" t="n"/>
      <c r="DD49" s="429" t="n"/>
      <c r="DE49" s="429" t="n"/>
      <c r="DF49" s="430" t="n"/>
      <c r="DG49" s="430" t="n"/>
      <c r="DH49" s="430" t="n"/>
      <c r="DI49" s="429" t="n"/>
      <c r="DJ49" s="429" t="n"/>
      <c r="DK49" s="429" t="n"/>
      <c r="DL49" s="429" t="n"/>
      <c r="DM49" s="430" t="n"/>
      <c r="DN49" s="430" t="n"/>
      <c r="DO49" s="430" t="n"/>
      <c r="DP49" s="429" t="n"/>
      <c r="DQ49" s="429" t="n"/>
      <c r="DR49" s="429" t="n"/>
      <c r="DS49" s="429" t="n"/>
      <c r="DT49" s="430" t="n"/>
      <c r="DU49" s="430" t="n"/>
      <c r="DV49" s="430" t="n"/>
      <c r="DW49" s="429" t="n"/>
      <c r="DX49" s="429" t="n"/>
      <c r="DY49" s="429" t="n"/>
      <c r="DZ49" s="429" t="n"/>
      <c r="EA49" s="430" t="n"/>
      <c r="EB49" s="430" t="n"/>
      <c r="EC49" s="430" t="n"/>
      <c r="ED49" s="429" t="n"/>
      <c r="EE49" s="429" t="n"/>
      <c r="EF49" s="429" t="n"/>
      <c r="EG49" s="429" t="n"/>
      <c r="EH49" s="430" t="n"/>
      <c r="EI49" s="430" t="n"/>
      <c r="EJ49" s="430" t="n"/>
      <c r="EK49" s="429" t="n"/>
      <c r="EL49" s="429" t="n"/>
      <c r="EM49" s="429" t="n"/>
      <c r="EN49" s="429" t="n"/>
      <c r="EO49" s="430" t="n"/>
      <c r="EP49" s="430" t="n"/>
      <c r="EQ49" s="430" t="n"/>
      <c r="ER49" s="429" t="n"/>
      <c r="ES49" s="429" t="n"/>
      <c r="ET49" s="429" t="n"/>
      <c r="EU49" s="429" t="n"/>
      <c r="EV49" s="430" t="n"/>
      <c r="EW49" s="430" t="n"/>
      <c r="EX49" s="430" t="n"/>
      <c r="EY49" s="429" t="n"/>
      <c r="EZ49" s="429" t="n"/>
      <c r="FA49" s="429" t="n"/>
      <c r="FB49" s="429" t="n"/>
      <c r="FC49" s="430" t="n"/>
      <c r="FD49" s="430" t="n"/>
      <c r="FE49" s="430" t="n"/>
      <c r="FF49" s="429" t="n"/>
      <c r="FG49" s="429" t="n"/>
      <c r="FH49" s="429" t="n"/>
      <c r="FI49" s="429" t="n"/>
      <c r="FJ49" s="430" t="n"/>
      <c r="FK49" s="430" t="n"/>
      <c r="FL49" s="430" t="n"/>
      <c r="FM49" s="429" t="n"/>
      <c r="FN49" s="429" t="n"/>
      <c r="FO49" s="429" t="n"/>
      <c r="FP49" s="429" t="n"/>
      <c r="FQ49" s="430" t="n"/>
      <c r="FR49" s="430" t="n"/>
      <c r="FS49" s="430" t="n"/>
      <c r="FT49" s="429" t="n"/>
      <c r="FU49" s="429" t="n"/>
      <c r="FV49" s="429" t="n"/>
      <c r="FW49" s="429" t="n"/>
      <c r="FX49" s="430" t="n"/>
      <c r="FY49" s="430" t="n"/>
      <c r="FZ49" s="430" t="n"/>
      <c r="GA49" s="429" t="n"/>
      <c r="GB49" s="429" t="n"/>
      <c r="GC49" s="429" t="n"/>
      <c r="GD49" s="429" t="n"/>
      <c r="GE49" s="429" t="n"/>
      <c r="GF49" s="429" t="n"/>
      <c r="GG49" s="429" t="n"/>
      <c r="GH49" s="429" t="n"/>
      <c r="GI49" s="429" t="n"/>
      <c r="GJ49" s="429" t="n"/>
      <c r="GK49" s="429" t="n"/>
      <c r="GL49" s="429" t="n"/>
      <c r="GM49" s="429" t="n"/>
      <c r="GN49" s="429" t="n"/>
      <c r="GO49" s="429" t="n"/>
      <c r="GP49" s="429" t="n"/>
      <c r="GQ49" s="429" t="n"/>
      <c r="GR49" s="429" t="n"/>
      <c r="GS49" s="429" t="n"/>
      <c r="GT49" s="429" t="n"/>
      <c r="GU49" s="429" t="n"/>
      <c r="GV49" s="429" t="n"/>
      <c r="GW49" s="429" t="n"/>
      <c r="GX49" s="429" t="n"/>
      <c r="GY49" s="429" t="n"/>
      <c r="GZ49" s="429" t="n"/>
      <c r="HA49" s="429" t="n"/>
      <c r="HB49" s="429" t="n"/>
      <c r="HC49" s="429" t="n"/>
      <c r="HD49" s="429" t="n"/>
      <c r="HE49" s="429" t="n"/>
      <c r="HF49" s="429" t="n"/>
      <c r="HG49" s="429" t="n"/>
      <c r="HH49" s="429" t="n"/>
      <c r="HI49" s="429" t="n"/>
      <c r="HJ49" s="429" t="n"/>
      <c r="HK49" s="429" t="n"/>
      <c r="HL49" s="429" t="n"/>
      <c r="HM49" s="429" t="n"/>
      <c r="HN49" s="429" t="n"/>
      <c r="HO49" s="429" t="n"/>
      <c r="HP49" s="429" t="n"/>
      <c r="HQ49" s="429" t="n"/>
      <c r="HR49" s="429" t="n"/>
      <c r="HS49" s="429" t="n"/>
      <c r="HT49" s="429" t="n"/>
      <c r="HU49" s="429" t="n"/>
      <c r="HV49" s="429" t="n"/>
      <c r="HW49" s="429" t="n"/>
      <c r="HX49" s="429" t="n"/>
      <c r="HY49" s="429" t="n"/>
      <c r="HZ49" s="429" t="n"/>
      <c r="IA49" s="429" t="n"/>
      <c r="IB49" s="429" t="n"/>
      <c r="IC49" s="429" t="n"/>
      <c r="ID49" s="429" t="n"/>
      <c r="IE49" s="429" t="n"/>
      <c r="IF49" s="429" t="n"/>
      <c r="IG49" s="429" t="n"/>
      <c r="IH49" s="429" t="n"/>
      <c r="II49" s="429" t="n"/>
      <c r="IJ49" s="429" t="n"/>
      <c r="IK49" s="429" t="n"/>
      <c r="IL49" s="429" t="n"/>
      <c r="IM49" s="429" t="n"/>
      <c r="IN49" s="429" t="n"/>
      <c r="IO49" s="429" t="n"/>
      <c r="IP49" s="429" t="n"/>
      <c r="IQ49" s="429" t="n"/>
      <c r="IR49" s="429" t="n"/>
      <c r="IS49" s="429" t="n"/>
      <c r="IT49" s="429" t="n"/>
      <c r="IU49" s="429" t="n"/>
      <c r="IV49" s="429" t="n"/>
      <c r="IW49" s="429" t="n"/>
      <c r="IX49" s="429" t="n"/>
      <c r="IY49" s="429" t="n"/>
      <c r="IZ49" s="429" t="n"/>
      <c r="JA49" s="429" t="n"/>
      <c r="JB49" s="429" t="n"/>
      <c r="JC49" s="429" t="n"/>
      <c r="JD49" s="429" t="n"/>
      <c r="JE49" s="429" t="n"/>
      <c r="JF49" s="429" t="n"/>
      <c r="JG49" s="429" t="n"/>
      <c r="JH49" s="429" t="n"/>
      <c r="JI49" s="429" t="n"/>
      <c r="JJ49" s="429" t="n"/>
      <c r="JK49" s="429" t="n"/>
      <c r="JL49" s="429" t="n"/>
      <c r="JM49" s="429" t="n"/>
      <c r="JN49" s="429" t="n"/>
      <c r="JO49" s="429" t="n"/>
      <c r="JP49" s="429" t="n"/>
      <c r="JQ49" s="429" t="n"/>
      <c r="JR49" s="429" t="n"/>
      <c r="JS49" s="429" t="n"/>
      <c r="JT49" s="429" t="n"/>
      <c r="JU49" s="429" t="n"/>
      <c r="JV49" s="429" t="n"/>
      <c r="JW49" s="429" t="n"/>
      <c r="JX49" s="429" t="n"/>
      <c r="JY49" s="429" t="n"/>
      <c r="JZ49" s="429" t="n"/>
      <c r="KA49" s="429" t="n"/>
      <c r="KB49" s="429" t="n"/>
      <c r="KC49" s="429" t="n"/>
      <c r="KD49" s="429" t="n"/>
      <c r="KE49" s="429" t="n"/>
      <c r="KF49" s="429" t="n"/>
      <c r="KG49" s="429" t="n"/>
      <c r="KH49" s="429" t="n"/>
      <c r="KI49" s="429" t="n"/>
      <c r="KJ49" s="429" t="n"/>
      <c r="KK49" s="429" t="n"/>
      <c r="KL49" s="429" t="n"/>
      <c r="KM49" s="429" t="n"/>
      <c r="KN49" s="429" t="n"/>
      <c r="KO49" s="429" t="n"/>
      <c r="KP49" s="429" t="n"/>
    </row>
    <row r="50" ht="26" customHeight="1" thickBot="1">
      <c r="A50" s="234" t="n"/>
      <c r="B50" s="402" t="inlineStr">
        <is>
          <t>Putschler</t>
        </is>
      </c>
      <c r="C50" s="429" t="n"/>
      <c r="D50" s="405" t="n"/>
      <c r="E50" s="405" t="n"/>
      <c r="F50" s="423" t="inlineStr">
        <is>
          <t>U</t>
        </is>
      </c>
      <c r="G50" s="423" t="inlineStr">
        <is>
          <t>U</t>
        </is>
      </c>
      <c r="H50" s="429" t="n"/>
      <c r="I50" s="423" t="inlineStr">
        <is>
          <t>U</t>
        </is>
      </c>
      <c r="J50" s="423" t="inlineStr">
        <is>
          <t>U</t>
        </is>
      </c>
      <c r="K50" s="405" t="n"/>
      <c r="L50" s="405" t="n"/>
      <c r="M50" s="405" t="n"/>
      <c r="N50" s="405" t="n"/>
      <c r="O50" s="425" t="n"/>
      <c r="P50" s="428" t="n"/>
      <c r="Q50" s="420" t="n"/>
      <c r="R50" s="405" t="n"/>
      <c r="S50" s="405" t="n"/>
      <c r="T50" s="405" t="n"/>
      <c r="U50" s="405" t="n"/>
      <c r="V50" s="428" t="n"/>
      <c r="W50" s="428" t="n"/>
      <c r="X50" s="420" t="n"/>
      <c r="Y50" s="405" t="n"/>
      <c r="Z50" s="405" t="n"/>
      <c r="AA50" s="405" t="n"/>
      <c r="AB50" s="405" t="n"/>
      <c r="AC50" s="428" t="n"/>
      <c r="AD50" s="428" t="n"/>
      <c r="AE50" s="420" t="n"/>
      <c r="AF50" s="405" t="n"/>
      <c r="AG50" s="405" t="n"/>
      <c r="AH50" s="405" t="n"/>
      <c r="AI50" s="405" t="n"/>
      <c r="AJ50" s="428" t="n"/>
      <c r="AK50" s="428" t="n"/>
      <c r="AL50" s="420" t="n"/>
      <c r="AM50" s="405" t="n"/>
      <c r="AN50" s="405" t="n"/>
      <c r="AO50" s="405" t="n"/>
      <c r="AP50" s="405" t="n"/>
      <c r="AQ50" s="428" t="n"/>
      <c r="AR50" s="428" t="n"/>
      <c r="AS50" s="420" t="n"/>
      <c r="AT50" s="405" t="n"/>
      <c r="AU50" s="405" t="n"/>
      <c r="AV50" s="405" t="n"/>
      <c r="AW50" s="405" t="n"/>
      <c r="AX50" s="428" t="n"/>
      <c r="AY50" s="428" t="n"/>
      <c r="AZ50" s="420" t="n"/>
      <c r="BA50" s="405" t="n"/>
      <c r="BB50" s="405" t="n"/>
      <c r="BC50" s="405" t="n"/>
      <c r="BD50" s="405" t="n"/>
      <c r="BE50" s="428" t="n"/>
      <c r="BF50" s="428" t="n"/>
      <c r="BG50" s="420" t="n"/>
      <c r="BH50" s="405" t="n"/>
      <c r="BI50" s="405" t="n"/>
      <c r="BJ50" s="430" t="n"/>
      <c r="BK50" s="430" t="n"/>
      <c r="BL50" s="429" t="n"/>
      <c r="BM50" s="429" t="n"/>
      <c r="BN50" s="429" t="n"/>
      <c r="BO50" s="429" t="n"/>
      <c r="BP50" s="430" t="n"/>
      <c r="BQ50" s="430" t="n"/>
      <c r="BR50" s="430" t="n"/>
      <c r="BS50" s="429" t="n"/>
      <c r="BT50" s="429" t="n"/>
      <c r="BU50" s="429" t="n"/>
      <c r="BV50" s="429" t="n"/>
      <c r="BW50" s="430" t="n"/>
      <c r="BX50" s="430" t="n"/>
      <c r="BY50" s="430" t="n"/>
      <c r="BZ50" s="429" t="n"/>
      <c r="CA50" s="429" t="n"/>
      <c r="CB50" s="429" t="n"/>
      <c r="CC50" s="429" t="n"/>
      <c r="CD50" s="430" t="n"/>
      <c r="CE50" s="430" t="n"/>
      <c r="CF50" s="430" t="n"/>
      <c r="CG50" s="429" t="n"/>
      <c r="CH50" s="429" t="n"/>
      <c r="CI50" s="429" t="n"/>
      <c r="CJ50" s="429" t="n"/>
      <c r="CK50" s="430" t="n"/>
      <c r="CL50" s="430" t="n"/>
      <c r="CM50" s="430" t="n"/>
      <c r="CN50" s="429" t="n"/>
      <c r="CO50" s="429" t="n"/>
      <c r="CP50" s="429" t="n"/>
      <c r="CQ50" s="429" t="n"/>
      <c r="CR50" s="430" t="n"/>
      <c r="CS50" s="430" t="n"/>
      <c r="CT50" s="430" t="n"/>
      <c r="CU50" s="429" t="n"/>
      <c r="CV50" s="429" t="n"/>
      <c r="CW50" s="429" t="n"/>
      <c r="CX50" s="439" t="inlineStr">
        <is>
          <t>Sek  13-16 h</t>
        </is>
      </c>
      <c r="CY50" s="430" t="n"/>
      <c r="CZ50" s="430" t="n"/>
      <c r="DA50" s="430" t="n"/>
      <c r="DB50" s="429" t="n"/>
      <c r="DC50" s="429" t="n"/>
      <c r="DD50" s="429" t="n"/>
      <c r="DE50" s="429" t="n"/>
      <c r="DF50" s="430" t="n"/>
      <c r="DG50" s="430" t="n"/>
      <c r="DH50" s="430" t="n"/>
      <c r="DI50" s="429" t="n"/>
      <c r="DJ50" s="429" t="n"/>
      <c r="DK50" s="429" t="n"/>
      <c r="DL50" s="429" t="n"/>
      <c r="DM50" s="430" t="n"/>
      <c r="DN50" s="430" t="n"/>
      <c r="DO50" s="430" t="n"/>
      <c r="DP50" s="429" t="n"/>
      <c r="DQ50" s="429" t="n"/>
      <c r="DR50" s="429" t="n"/>
      <c r="DS50" s="429" t="n"/>
      <c r="DT50" s="430" t="n"/>
      <c r="DU50" s="430" t="n"/>
      <c r="DV50" s="430" t="n"/>
      <c r="DW50" s="429" t="n"/>
      <c r="DX50" s="429" t="n"/>
      <c r="DY50" s="429" t="n"/>
      <c r="DZ50" s="429" t="n"/>
      <c r="EA50" s="430" t="n"/>
      <c r="EB50" s="430" t="n"/>
      <c r="EC50" s="430" t="n"/>
      <c r="ED50" s="429" t="n"/>
      <c r="EE50" s="429" t="n"/>
      <c r="EF50" s="429" t="n"/>
      <c r="EG50" s="429" t="n"/>
      <c r="EH50" s="430" t="n"/>
      <c r="EI50" s="430" t="n"/>
      <c r="EJ50" s="430" t="n"/>
      <c r="EK50" s="429" t="n"/>
      <c r="EL50" s="429" t="n"/>
      <c r="EM50" s="429" t="n"/>
      <c r="EN50" s="429" t="n"/>
      <c r="EO50" s="430" t="n"/>
      <c r="EP50" s="430" t="n"/>
      <c r="EQ50" s="430" t="n"/>
      <c r="ER50" s="429" t="n"/>
      <c r="ES50" s="429" t="n"/>
      <c r="ET50" s="429" t="n"/>
      <c r="EU50" s="429" t="n"/>
      <c r="EV50" s="430" t="n"/>
      <c r="EW50" s="430" t="n"/>
      <c r="EX50" s="430" t="n"/>
      <c r="EY50" s="429" t="n"/>
      <c r="EZ50" s="429" t="n"/>
      <c r="FA50" s="429" t="n"/>
      <c r="FB50" s="429" t="n"/>
      <c r="FC50" s="430" t="n"/>
      <c r="FD50" s="430" t="n"/>
      <c r="FE50" s="430" t="n"/>
      <c r="FF50" s="429" t="n"/>
      <c r="FG50" s="429" t="n"/>
      <c r="FH50" s="429" t="n"/>
      <c r="FI50" s="429" t="n"/>
      <c r="FJ50" s="430" t="n"/>
      <c r="FK50" s="430" t="n"/>
      <c r="FL50" s="430" t="n"/>
      <c r="FM50" s="429" t="n"/>
      <c r="FN50" s="429" t="n"/>
      <c r="FO50" s="429" t="n"/>
      <c r="FP50" s="429" t="n"/>
      <c r="FQ50" s="430" t="n"/>
      <c r="FR50" s="430" t="n"/>
      <c r="FS50" s="430" t="n"/>
      <c r="FT50" s="429" t="n"/>
      <c r="FU50" s="429" t="n"/>
      <c r="FV50" s="429" t="n"/>
      <c r="FW50" s="429" t="n"/>
      <c r="FX50" s="430" t="n"/>
      <c r="FY50" s="430" t="n"/>
      <c r="FZ50" s="430" t="n"/>
      <c r="GA50" s="429" t="n"/>
      <c r="GB50" s="429" t="n"/>
      <c r="GC50" s="429" t="n"/>
      <c r="GD50" s="429" t="n"/>
      <c r="GE50" s="429" t="n"/>
      <c r="GF50" s="429" t="n"/>
      <c r="GG50" s="429" t="n"/>
      <c r="GH50" s="429" t="n"/>
      <c r="GI50" s="429" t="n"/>
      <c r="GJ50" s="429" t="n"/>
      <c r="GK50" s="429" t="n"/>
      <c r="GL50" s="429" t="n"/>
      <c r="GM50" s="429" t="n"/>
      <c r="GN50" s="429" t="n"/>
      <c r="GO50" s="429" t="n"/>
      <c r="GP50" s="429" t="n"/>
      <c r="GQ50" s="429" t="n"/>
      <c r="GR50" s="429" t="n"/>
      <c r="GS50" s="429" t="n"/>
      <c r="GT50" s="429" t="n"/>
      <c r="GU50" s="429" t="n"/>
      <c r="GV50" s="429" t="n"/>
      <c r="GW50" s="429" t="n"/>
      <c r="GX50" s="429" t="n"/>
      <c r="GY50" s="429" t="n"/>
      <c r="GZ50" s="429" t="n"/>
      <c r="HA50" s="429" t="n"/>
      <c r="HB50" s="429" t="n"/>
      <c r="HC50" s="429" t="n"/>
      <c r="HD50" s="429" t="n"/>
      <c r="HE50" s="429" t="n"/>
      <c r="HF50" s="429" t="n"/>
      <c r="HG50" s="429" t="n"/>
      <c r="HH50" s="429" t="n"/>
      <c r="HI50" s="429" t="n"/>
      <c r="HJ50" s="429" t="n"/>
      <c r="HK50" s="429" t="n"/>
      <c r="HL50" s="429" t="n"/>
      <c r="HM50" s="429" t="n"/>
      <c r="HN50" s="429" t="n"/>
      <c r="HO50" s="429" t="n"/>
      <c r="HP50" s="429" t="n"/>
      <c r="HQ50" s="429" t="n"/>
      <c r="HR50" s="429" t="n"/>
      <c r="HS50" s="429" t="n"/>
      <c r="HT50" s="429" t="n"/>
      <c r="HU50" s="429" t="n"/>
      <c r="HV50" s="429" t="n"/>
      <c r="HW50" s="429" t="n"/>
      <c r="HX50" s="429" t="n"/>
      <c r="HY50" s="429" t="n"/>
      <c r="HZ50" s="429" t="n"/>
      <c r="IA50" s="429" t="n"/>
      <c r="IB50" s="429" t="n"/>
      <c r="IC50" s="429" t="n"/>
      <c r="ID50" s="429" t="n"/>
      <c r="IE50" s="429" t="n"/>
      <c r="IF50" s="429" t="n"/>
      <c r="IG50" s="429" t="n"/>
      <c r="IH50" s="429" t="n"/>
      <c r="II50" s="429" t="n"/>
      <c r="IJ50" s="429" t="n"/>
      <c r="IK50" s="429" t="n"/>
      <c r="IL50" s="429" t="n"/>
      <c r="IM50" s="429" t="n"/>
      <c r="IN50" s="429" t="n"/>
      <c r="IO50" s="429" t="n"/>
      <c r="IP50" s="429" t="n"/>
      <c r="IQ50" s="429" t="n"/>
      <c r="IR50" s="429" t="n"/>
      <c r="IS50" s="429" t="n"/>
      <c r="IT50" s="429" t="n"/>
      <c r="IU50" s="429" t="n"/>
      <c r="IV50" s="429" t="n"/>
      <c r="IW50" s="429" t="n"/>
      <c r="IX50" s="429" t="n"/>
      <c r="IY50" s="429" t="n"/>
      <c r="IZ50" s="429" t="n"/>
      <c r="JA50" s="429" t="n"/>
      <c r="JB50" s="429" t="n"/>
      <c r="JC50" s="429" t="n"/>
      <c r="JD50" s="429" t="n"/>
      <c r="JE50" s="429" t="n"/>
      <c r="JF50" s="429" t="n"/>
      <c r="JG50" s="429" t="n"/>
      <c r="JH50" s="429" t="n"/>
      <c r="JI50" s="429" t="n"/>
      <c r="JJ50" s="429" t="n"/>
      <c r="JK50" s="429" t="n"/>
      <c r="JL50" s="429" t="n"/>
      <c r="JM50" s="429" t="n"/>
      <c r="JN50" s="429" t="n"/>
      <c r="JO50" s="429" t="n"/>
      <c r="JP50" s="429" t="n"/>
      <c r="JQ50" s="429" t="n"/>
      <c r="JR50" s="429" t="n"/>
      <c r="JS50" s="429" t="n"/>
      <c r="JT50" s="429" t="n"/>
      <c r="JU50" s="429" t="n"/>
      <c r="JV50" s="429" t="n"/>
      <c r="JW50" s="429" t="n"/>
      <c r="JX50" s="429" t="n"/>
      <c r="JY50" s="429" t="n"/>
      <c r="JZ50" s="429" t="n"/>
      <c r="KA50" s="429" t="n"/>
      <c r="KB50" s="429" t="n"/>
      <c r="KC50" s="429" t="n"/>
      <c r="KD50" s="429" t="n"/>
      <c r="KE50" s="429" t="n"/>
      <c r="KF50" s="429" t="n"/>
      <c r="KG50" s="429" t="n"/>
      <c r="KH50" s="429" t="n"/>
      <c r="KI50" s="429" t="n"/>
      <c r="KJ50" s="429" t="n"/>
      <c r="KK50" s="429" t="n"/>
      <c r="KL50" s="429" t="n"/>
      <c r="KM50" s="429" t="n"/>
      <c r="KN50" s="429" t="n"/>
      <c r="KO50" s="429" t="n"/>
      <c r="KP50" s="429" t="n"/>
    </row>
    <row r="51" ht="26" customHeight="1" thickTop="1">
      <c r="A51" s="234" t="n"/>
      <c r="B51" s="402" t="inlineStr">
        <is>
          <t>Kunz</t>
        </is>
      </c>
      <c r="C51" s="429" t="n"/>
      <c r="D51" s="405" t="n"/>
      <c r="E51" s="405" t="n"/>
      <c r="F51" s="405" t="n"/>
      <c r="G51" s="440" t="n"/>
      <c r="H51" s="429" t="n"/>
      <c r="I51" s="431" t="n"/>
      <c r="J51" s="431" t="n"/>
      <c r="K51" s="405" t="n"/>
      <c r="L51" s="405" t="n"/>
      <c r="M51" s="405" t="n"/>
      <c r="N51" s="405" t="n"/>
      <c r="O51" s="425" t="n"/>
      <c r="P51" s="428" t="n"/>
      <c r="Q51" s="420" t="n"/>
      <c r="R51" s="405" t="n"/>
      <c r="S51" s="405" t="n"/>
      <c r="T51" s="405" t="n"/>
      <c r="U51" s="405" t="n"/>
      <c r="V51" s="428" t="n"/>
      <c r="W51" s="428" t="n"/>
      <c r="X51" s="420" t="n"/>
      <c r="Y51" s="405" t="n"/>
      <c r="Z51" s="405" t="n"/>
      <c r="AA51" s="405" t="n"/>
      <c r="AB51" s="405" t="n"/>
      <c r="AC51" s="428" t="n"/>
      <c r="AD51" s="428" t="n"/>
      <c r="AE51" s="420" t="n"/>
      <c r="AF51" s="405" t="n"/>
      <c r="AG51" s="405" t="n"/>
      <c r="AH51" s="405" t="n"/>
      <c r="AI51" s="405" t="n"/>
      <c r="AJ51" s="428" t="n"/>
      <c r="AK51" s="428" t="n"/>
      <c r="AL51" s="420" t="n"/>
      <c r="AM51" s="405" t="n"/>
      <c r="AN51" s="405" t="n"/>
      <c r="AO51" s="405" t="n"/>
      <c r="AP51" s="405" t="n"/>
      <c r="AQ51" s="428" t="n"/>
      <c r="AR51" s="428" t="n"/>
      <c r="AS51" s="420" t="n"/>
      <c r="AT51" s="405" t="n"/>
      <c r="AU51" s="405" t="n"/>
      <c r="AV51" s="405" t="n"/>
      <c r="AW51" s="405" t="n"/>
      <c r="AX51" s="428" t="n"/>
      <c r="AY51" s="428" t="n"/>
      <c r="AZ51" s="420" t="n"/>
      <c r="BA51" s="405" t="n"/>
      <c r="BB51" s="405" t="n"/>
      <c r="BC51" s="405" t="n"/>
      <c r="BD51" s="405" t="n"/>
      <c r="BE51" s="428" t="n"/>
      <c r="BF51" s="428" t="n"/>
      <c r="BG51" s="420" t="n"/>
      <c r="BH51" s="405" t="n"/>
      <c r="BI51" s="405" t="n"/>
      <c r="BJ51" s="430" t="n"/>
      <c r="BK51" s="430" t="n"/>
      <c r="BL51" s="429" t="n"/>
      <c r="BM51" s="429" t="n"/>
      <c r="BN51" s="429" t="n"/>
      <c r="BO51" s="429" t="n"/>
      <c r="BP51" s="430" t="n"/>
      <c r="BQ51" s="430" t="n"/>
      <c r="BR51" s="430" t="n"/>
      <c r="BS51" s="429" t="n"/>
      <c r="BT51" s="429" t="n"/>
      <c r="BU51" s="429" t="n"/>
      <c r="BV51" s="429" t="n"/>
      <c r="BW51" s="430" t="n"/>
      <c r="BX51" s="430" t="n"/>
      <c r="BY51" s="430" t="n"/>
      <c r="BZ51" s="429" t="n"/>
      <c r="CA51" s="429" t="n"/>
      <c r="CB51" s="429" t="n"/>
      <c r="CC51" s="429" t="n"/>
      <c r="CD51" s="430" t="n"/>
      <c r="CE51" s="430" t="n"/>
      <c r="CF51" s="430" t="n"/>
      <c r="CG51" s="429" t="n"/>
      <c r="CH51" s="429" t="n"/>
      <c r="CI51" s="429" t="n"/>
      <c r="CJ51" s="429" t="n"/>
      <c r="CK51" s="430" t="n"/>
      <c r="CL51" s="430" t="n"/>
      <c r="CM51" s="430" t="n"/>
      <c r="CN51" s="429" t="n"/>
      <c r="CO51" s="429" t="n"/>
      <c r="CP51" s="429" t="n"/>
      <c r="CQ51" s="429" t="n"/>
      <c r="CR51" s="430" t="n"/>
      <c r="CS51" s="430" t="n"/>
      <c r="CT51" s="430" t="n"/>
      <c r="CU51" s="429" t="n"/>
      <c r="CV51" s="429" t="n"/>
      <c r="CW51" s="429" t="n"/>
      <c r="CX51" s="428" t="n"/>
      <c r="CY51" s="430" t="n"/>
      <c r="CZ51" s="430" t="n"/>
      <c r="DA51" s="430" t="n"/>
      <c r="DB51" s="429" t="n"/>
      <c r="DC51" s="429" t="n"/>
      <c r="DD51" s="429" t="n"/>
      <c r="DE51" s="429" t="n"/>
      <c r="DF51" s="430" t="n"/>
      <c r="DG51" s="430" t="n"/>
      <c r="DH51" s="430" t="n"/>
      <c r="DI51" s="429" t="n"/>
      <c r="DJ51" s="429" t="n"/>
      <c r="DK51" s="429" t="n"/>
      <c r="DL51" s="429" t="n"/>
      <c r="DM51" s="430" t="n"/>
      <c r="DN51" s="430" t="n"/>
      <c r="DO51" s="430" t="n"/>
      <c r="DP51" s="429" t="n"/>
      <c r="DQ51" s="429" t="n"/>
      <c r="DR51" s="429" t="n"/>
      <c r="DS51" s="429" t="n"/>
      <c r="DT51" s="430" t="n"/>
      <c r="DU51" s="430" t="n"/>
      <c r="DV51" s="430" t="n"/>
      <c r="DW51" s="429" t="n"/>
      <c r="DX51" s="429" t="n"/>
      <c r="DY51" s="429" t="n"/>
      <c r="DZ51" s="429" t="n"/>
      <c r="EA51" s="430" t="n"/>
      <c r="EB51" s="430" t="n"/>
      <c r="EC51" s="430" t="n"/>
      <c r="ED51" s="429" t="n"/>
      <c r="EE51" s="429" t="n"/>
      <c r="EF51" s="429" t="n"/>
      <c r="EG51" s="429" t="n"/>
      <c r="EH51" s="430" t="n"/>
      <c r="EI51" s="430" t="n"/>
      <c r="EJ51" s="430" t="n"/>
      <c r="EK51" s="429" t="n"/>
      <c r="EL51" s="429" t="n"/>
      <c r="EM51" s="429" t="n"/>
      <c r="EN51" s="429" t="n"/>
      <c r="EO51" s="430" t="n"/>
      <c r="EP51" s="430" t="n"/>
      <c r="EQ51" s="430" t="n"/>
      <c r="ER51" s="429" t="n"/>
      <c r="ES51" s="429" t="n"/>
      <c r="ET51" s="429" t="n"/>
      <c r="EU51" s="429" t="n"/>
      <c r="EV51" s="430" t="n"/>
      <c r="EW51" s="430" t="n"/>
      <c r="EX51" s="430" t="n"/>
      <c r="EY51" s="429" t="n"/>
      <c r="EZ51" s="429" t="n"/>
      <c r="FA51" s="429" t="n"/>
      <c r="FB51" s="429" t="n"/>
      <c r="FC51" s="430" t="n"/>
      <c r="FD51" s="430" t="n"/>
      <c r="FE51" s="430" t="n"/>
      <c r="FF51" s="429" t="n"/>
      <c r="FG51" s="429" t="n"/>
      <c r="FH51" s="429" t="n"/>
      <c r="FI51" s="429" t="n"/>
      <c r="FJ51" s="430" t="n"/>
      <c r="FK51" s="430" t="n"/>
      <c r="FL51" s="430" t="n"/>
      <c r="FM51" s="429" t="n"/>
      <c r="FN51" s="429" t="n"/>
      <c r="FO51" s="429" t="n"/>
      <c r="FP51" s="429" t="n"/>
      <c r="FQ51" s="430" t="n"/>
      <c r="FR51" s="430" t="n"/>
      <c r="FS51" s="430" t="n"/>
      <c r="FT51" s="429" t="n"/>
      <c r="FU51" s="429" t="n"/>
      <c r="FV51" s="429" t="n"/>
      <c r="FW51" s="429" t="n"/>
      <c r="FX51" s="430" t="n"/>
      <c r="FY51" s="430" t="n"/>
      <c r="FZ51" s="430" t="n"/>
      <c r="GA51" s="429" t="n"/>
      <c r="GB51" s="429" t="n"/>
      <c r="GC51" s="429" t="n"/>
      <c r="GD51" s="429" t="n"/>
      <c r="GE51" s="429" t="n"/>
      <c r="GF51" s="429" t="n"/>
      <c r="GG51" s="429" t="n"/>
      <c r="GH51" s="429" t="n"/>
      <c r="GI51" s="429" t="n"/>
      <c r="GJ51" s="429" t="n"/>
      <c r="GK51" s="429" t="n"/>
      <c r="GL51" s="429" t="n"/>
      <c r="GM51" s="429" t="n"/>
      <c r="GN51" s="429" t="n"/>
      <c r="GO51" s="429" t="n"/>
      <c r="GP51" s="429" t="n"/>
      <c r="GQ51" s="429" t="n"/>
      <c r="GR51" s="429" t="n"/>
      <c r="GS51" s="429" t="n"/>
      <c r="GT51" s="429" t="n"/>
      <c r="GU51" s="429" t="n"/>
      <c r="GV51" s="429" t="n"/>
      <c r="GW51" s="429" t="n"/>
      <c r="GX51" s="429" t="n"/>
      <c r="GY51" s="429" t="n"/>
      <c r="GZ51" s="429" t="n"/>
      <c r="HA51" s="429" t="n"/>
      <c r="HB51" s="429" t="n"/>
      <c r="HC51" s="429" t="n"/>
      <c r="HD51" s="429" t="n"/>
      <c r="HE51" s="429" t="n"/>
      <c r="HF51" s="429" t="n"/>
      <c r="HG51" s="429" t="n"/>
      <c r="HH51" s="429" t="n"/>
      <c r="HI51" s="429" t="n"/>
      <c r="HJ51" s="429" t="n"/>
      <c r="HK51" s="429" t="n"/>
      <c r="HL51" s="429" t="n"/>
      <c r="HM51" s="429" t="n"/>
      <c r="HN51" s="429" t="n"/>
      <c r="HO51" s="429" t="n"/>
      <c r="HP51" s="429" t="n"/>
      <c r="HQ51" s="429" t="n"/>
      <c r="HR51" s="429" t="n"/>
      <c r="HS51" s="429" t="n"/>
      <c r="HT51" s="429" t="n"/>
      <c r="HU51" s="429" t="n"/>
      <c r="HV51" s="429" t="n"/>
      <c r="HW51" s="429" t="n"/>
      <c r="HX51" s="429" t="n"/>
      <c r="HY51" s="429" t="n"/>
      <c r="HZ51" s="429" t="n"/>
      <c r="IA51" s="429" t="n"/>
      <c r="IB51" s="429" t="n"/>
      <c r="IC51" s="429" t="n"/>
      <c r="ID51" s="429" t="n"/>
      <c r="IE51" s="429" t="n"/>
      <c r="IF51" s="429" t="n"/>
      <c r="IG51" s="429" t="n"/>
      <c r="IH51" s="429" t="n"/>
      <c r="II51" s="429" t="n"/>
      <c r="IJ51" s="429" t="n"/>
      <c r="IK51" s="429" t="n"/>
      <c r="IL51" s="429" t="n"/>
      <c r="IM51" s="429" t="n"/>
      <c r="IN51" s="429" t="n"/>
      <c r="IO51" s="429" t="n"/>
      <c r="IP51" s="429" t="n"/>
      <c r="IQ51" s="429" t="n"/>
      <c r="IR51" s="429" t="n"/>
      <c r="IS51" s="429" t="n"/>
      <c r="IT51" s="429" t="n"/>
      <c r="IU51" s="429" t="n"/>
      <c r="IV51" s="429" t="n"/>
      <c r="IW51" s="429" t="n"/>
      <c r="IX51" s="429" t="n"/>
      <c r="IY51" s="429" t="n"/>
      <c r="IZ51" s="429" t="n"/>
      <c r="JA51" s="429" t="n"/>
      <c r="JB51" s="429" t="n"/>
      <c r="JC51" s="429" t="n"/>
      <c r="JD51" s="429" t="n"/>
      <c r="JE51" s="429" t="n"/>
      <c r="JF51" s="429" t="n"/>
      <c r="JG51" s="429" t="n"/>
      <c r="JH51" s="429" t="n"/>
      <c r="JI51" s="429" t="n"/>
      <c r="JJ51" s="429" t="n"/>
      <c r="JK51" s="429" t="n"/>
      <c r="JL51" s="429" t="n"/>
      <c r="JM51" s="429" t="n"/>
      <c r="JN51" s="429" t="n"/>
      <c r="JO51" s="429" t="n"/>
      <c r="JP51" s="429" t="n"/>
      <c r="JQ51" s="429" t="n"/>
      <c r="JR51" s="429" t="n"/>
      <c r="JS51" s="429" t="n"/>
      <c r="JT51" s="429" t="n"/>
      <c r="JU51" s="429" t="n"/>
      <c r="JV51" s="429" t="n"/>
      <c r="JW51" s="429" t="n"/>
      <c r="JX51" s="429" t="n"/>
      <c r="JY51" s="429" t="n"/>
      <c r="JZ51" s="429" t="n"/>
      <c r="KA51" s="429" t="n"/>
      <c r="KB51" s="429" t="n"/>
      <c r="KC51" s="429" t="n"/>
      <c r="KD51" s="429" t="n"/>
      <c r="KE51" s="429" t="n"/>
      <c r="KF51" s="429" t="n"/>
      <c r="KG51" s="429" t="n"/>
      <c r="KH51" s="429" t="n"/>
      <c r="KI51" s="429" t="n"/>
      <c r="KJ51" s="429" t="n"/>
      <c r="KK51" s="429" t="n"/>
      <c r="KL51" s="429" t="n"/>
      <c r="KM51" s="429" t="n"/>
      <c r="KN51" s="429" t="n"/>
      <c r="KO51" s="429" t="n"/>
      <c r="KP51" s="429" t="n"/>
    </row>
    <row r="52" ht="26" customHeight="1">
      <c r="A52" s="234" t="n"/>
      <c r="B52" s="402" t="inlineStr">
        <is>
          <t>Schmidt</t>
        </is>
      </c>
      <c r="C52" s="429" t="n"/>
      <c r="D52" s="405" t="n"/>
      <c r="E52" s="405" t="n"/>
      <c r="F52" s="405" t="n"/>
      <c r="G52" s="432" t="n"/>
      <c r="H52" s="429" t="n"/>
      <c r="I52" s="428" t="n"/>
      <c r="J52" s="420" t="n"/>
      <c r="K52" s="405" t="n"/>
      <c r="L52" s="405" t="n"/>
      <c r="M52" s="405" t="n"/>
      <c r="N52" s="405" t="n"/>
      <c r="O52" s="425" t="n"/>
      <c r="P52" s="428" t="n"/>
      <c r="Q52" s="420" t="n"/>
      <c r="R52" s="405" t="n"/>
      <c r="S52" s="405" t="n"/>
      <c r="T52" s="405" t="n"/>
      <c r="U52" s="405" t="n"/>
      <c r="V52" s="428" t="n"/>
      <c r="W52" s="428" t="n"/>
      <c r="X52" s="420" t="n"/>
      <c r="Y52" s="405" t="n"/>
      <c r="Z52" s="405" t="n"/>
      <c r="AA52" s="405" t="n"/>
      <c r="AB52" s="405" t="n"/>
      <c r="AC52" s="428" t="n"/>
      <c r="AD52" s="428" t="n"/>
      <c r="AE52" s="420" t="n"/>
      <c r="AF52" s="405" t="n"/>
      <c r="AG52" s="405" t="n"/>
      <c r="AH52" s="405" t="n"/>
      <c r="AI52" s="405" t="n"/>
      <c r="AJ52" s="428" t="n"/>
      <c r="AK52" s="428" t="n"/>
      <c r="AL52" s="420" t="n"/>
      <c r="AM52" s="405" t="n"/>
      <c r="AN52" s="405" t="n"/>
      <c r="AO52" s="405" t="n"/>
      <c r="AP52" s="405" t="n"/>
      <c r="AQ52" s="428" t="n"/>
      <c r="AR52" s="428" t="n"/>
      <c r="AS52" s="420" t="n"/>
      <c r="AT52" s="405" t="n"/>
      <c r="AU52" s="405" t="n"/>
      <c r="AV52" s="405" t="n"/>
      <c r="AW52" s="405" t="n"/>
      <c r="AX52" s="428" t="n"/>
      <c r="AY52" s="428" t="n"/>
      <c r="AZ52" s="420" t="n"/>
      <c r="BA52" s="405" t="n"/>
      <c r="BB52" s="405" t="n"/>
      <c r="BC52" s="405" t="n"/>
      <c r="BD52" s="405" t="n"/>
      <c r="BE52" s="428" t="n"/>
      <c r="BF52" s="428" t="n"/>
      <c r="BG52" s="420" t="n"/>
      <c r="BH52" s="405" t="n"/>
      <c r="BI52" s="405" t="n"/>
      <c r="BJ52" s="430" t="n"/>
      <c r="BK52" s="430" t="n"/>
      <c r="BL52" s="429" t="n"/>
      <c r="BM52" s="429" t="n"/>
      <c r="BN52" s="429" t="n"/>
      <c r="BO52" s="429" t="n"/>
      <c r="BP52" s="430" t="n"/>
      <c r="BQ52" s="430" t="n"/>
      <c r="BR52" s="430" t="n"/>
      <c r="BS52" s="429" t="n"/>
      <c r="BT52" s="429" t="n"/>
      <c r="BU52" s="429" t="n"/>
      <c r="BV52" s="429" t="n"/>
      <c r="BW52" s="430" t="n"/>
      <c r="BX52" s="430" t="n"/>
      <c r="BY52" s="430" t="n"/>
      <c r="BZ52" s="429" t="n"/>
      <c r="CA52" s="429" t="n"/>
      <c r="CB52" s="429" t="n"/>
      <c r="CC52" s="429" t="n"/>
      <c r="CD52" s="430" t="n"/>
      <c r="CE52" s="430" t="n"/>
      <c r="CF52" s="430" t="n"/>
      <c r="CG52" s="429" t="n"/>
      <c r="CH52" s="429" t="n"/>
      <c r="CI52" s="429" t="n"/>
      <c r="CJ52" s="429" t="n"/>
      <c r="CK52" s="430" t="n"/>
      <c r="CL52" s="430" t="n"/>
      <c r="CM52" s="430" t="n"/>
      <c r="CN52" s="429" t="n"/>
      <c r="CO52" s="429" t="n"/>
      <c r="CP52" s="429" t="n"/>
      <c r="CQ52" s="429" t="n"/>
      <c r="CR52" s="430" t="n"/>
      <c r="CS52" s="430" t="n"/>
      <c r="CT52" s="430" t="n"/>
      <c r="CU52" s="429" t="n"/>
      <c r="CV52" s="429" t="n"/>
      <c r="CW52" s="429" t="n"/>
      <c r="CX52" s="439" t="inlineStr">
        <is>
          <t>FI  MO</t>
        </is>
      </c>
      <c r="CY52" s="439" t="inlineStr">
        <is>
          <t>SI  MO</t>
        </is>
      </c>
      <c r="CZ52" s="430" t="n"/>
      <c r="DA52" s="430" t="n"/>
      <c r="DB52" s="429" t="n"/>
      <c r="DC52" s="429" t="n"/>
      <c r="DD52" s="429" t="n"/>
      <c r="DE52" s="429" t="n"/>
      <c r="DF52" s="430" t="n"/>
      <c r="DG52" s="430" t="n"/>
      <c r="DH52" s="430" t="n"/>
      <c r="DI52" s="429" t="n"/>
      <c r="DJ52" s="429" t="n"/>
      <c r="DK52" s="429" t="n"/>
      <c r="DL52" s="429" t="n"/>
      <c r="DM52" s="430" t="n"/>
      <c r="DN52" s="430" t="n"/>
      <c r="DO52" s="430" t="n"/>
      <c r="DP52" s="429" t="n"/>
      <c r="DQ52" s="429" t="n"/>
      <c r="DR52" s="429" t="n"/>
      <c r="DS52" s="429" t="n"/>
      <c r="DT52" s="430" t="n"/>
      <c r="DU52" s="430" t="n"/>
      <c r="DV52" s="430" t="n"/>
      <c r="DW52" s="429" t="n"/>
      <c r="DX52" s="429" t="n"/>
      <c r="DY52" s="429" t="n"/>
      <c r="DZ52" s="429" t="n"/>
      <c r="EA52" s="430" t="n"/>
      <c r="EB52" s="430" t="n"/>
      <c r="EC52" s="430" t="n"/>
      <c r="ED52" s="429" t="n"/>
      <c r="EE52" s="429" t="n"/>
      <c r="EF52" s="429" t="n"/>
      <c r="EG52" s="429" t="n"/>
      <c r="EH52" s="430" t="n"/>
      <c r="EI52" s="430" t="n"/>
      <c r="EJ52" s="430" t="n"/>
      <c r="EK52" s="429" t="n"/>
      <c r="EL52" s="429" t="n"/>
      <c r="EM52" s="429" t="n"/>
      <c r="EN52" s="429" t="n"/>
      <c r="EO52" s="430" t="n"/>
      <c r="EP52" s="430" t="n"/>
      <c r="EQ52" s="430" t="n"/>
      <c r="ER52" s="429" t="n"/>
      <c r="ES52" s="429" t="n"/>
      <c r="ET52" s="429" t="n"/>
      <c r="EU52" s="429" t="n"/>
      <c r="EV52" s="430" t="n"/>
      <c r="EW52" s="430" t="n"/>
      <c r="EX52" s="430" t="n"/>
      <c r="EY52" s="429" t="n"/>
      <c r="EZ52" s="429" t="n"/>
      <c r="FA52" s="429" t="n"/>
      <c r="FB52" s="429" t="n"/>
      <c r="FC52" s="430" t="n"/>
      <c r="FD52" s="430" t="n"/>
      <c r="FE52" s="430" t="n"/>
      <c r="FF52" s="429" t="n"/>
      <c r="FG52" s="429" t="n"/>
      <c r="FH52" s="429" t="n"/>
      <c r="FI52" s="429" t="n"/>
      <c r="FJ52" s="430" t="n"/>
      <c r="FK52" s="430" t="n"/>
      <c r="FL52" s="430" t="n"/>
      <c r="FM52" s="429" t="n"/>
      <c r="FN52" s="429" t="n"/>
      <c r="FO52" s="429" t="n"/>
      <c r="FP52" s="429" t="n"/>
      <c r="FQ52" s="430" t="n"/>
      <c r="FR52" s="430" t="n"/>
      <c r="FS52" s="430" t="n"/>
      <c r="FT52" s="429" t="n"/>
      <c r="FU52" s="429" t="n"/>
      <c r="FV52" s="429" t="n"/>
      <c r="FW52" s="429" t="n"/>
      <c r="FX52" s="430" t="n"/>
      <c r="FY52" s="430" t="n"/>
      <c r="FZ52" s="430" t="n"/>
      <c r="GA52" s="429" t="n"/>
      <c r="GB52" s="429" t="n"/>
      <c r="GC52" s="429" t="n"/>
      <c r="GD52" s="429" t="n"/>
      <c r="GE52" s="429" t="n"/>
      <c r="GF52" s="429" t="n"/>
      <c r="GG52" s="429" t="n"/>
      <c r="GH52" s="429" t="n"/>
      <c r="GI52" s="429" t="n"/>
      <c r="GJ52" s="429" t="n"/>
      <c r="GK52" s="429" t="n"/>
      <c r="GL52" s="429" t="n"/>
      <c r="GM52" s="429" t="n"/>
      <c r="GN52" s="429" t="n"/>
      <c r="GO52" s="429" t="n"/>
      <c r="GP52" s="429" t="n"/>
      <c r="GQ52" s="429" t="n"/>
      <c r="GR52" s="429" t="n"/>
      <c r="GS52" s="429" t="n"/>
      <c r="GT52" s="429" t="n"/>
      <c r="GU52" s="429" t="n"/>
      <c r="GV52" s="429" t="n"/>
      <c r="GW52" s="429" t="n"/>
      <c r="GX52" s="429" t="n"/>
      <c r="GY52" s="429" t="n"/>
      <c r="GZ52" s="429" t="n"/>
      <c r="HA52" s="429" t="n"/>
      <c r="HB52" s="429" t="n"/>
      <c r="HC52" s="429" t="n"/>
      <c r="HD52" s="429" t="n"/>
      <c r="HE52" s="429" t="n"/>
      <c r="HF52" s="429" t="n"/>
      <c r="HG52" s="429" t="n"/>
      <c r="HH52" s="429" t="n"/>
      <c r="HI52" s="429" t="n"/>
      <c r="HJ52" s="429" t="n"/>
      <c r="HK52" s="429" t="n"/>
      <c r="HL52" s="429" t="n"/>
      <c r="HM52" s="429" t="n"/>
      <c r="HN52" s="429" t="n"/>
      <c r="HO52" s="429" t="n"/>
      <c r="HP52" s="429" t="n"/>
      <c r="HQ52" s="429" t="n"/>
      <c r="HR52" s="429" t="n"/>
      <c r="HS52" s="429" t="n"/>
      <c r="HT52" s="429" t="n"/>
      <c r="HU52" s="429" t="n"/>
      <c r="HV52" s="429" t="n"/>
      <c r="HW52" s="429" t="n"/>
      <c r="HX52" s="429" t="n"/>
      <c r="HY52" s="429" t="n"/>
      <c r="HZ52" s="429" t="n"/>
      <c r="IA52" s="429" t="n"/>
      <c r="IB52" s="429" t="n"/>
      <c r="IC52" s="429" t="n"/>
      <c r="ID52" s="429" t="n"/>
      <c r="IE52" s="429" t="n"/>
      <c r="IF52" s="429" t="n"/>
      <c r="IG52" s="429" t="n"/>
      <c r="IH52" s="429" t="n"/>
      <c r="II52" s="429" t="n"/>
      <c r="IJ52" s="429" t="n"/>
      <c r="IK52" s="429" t="n"/>
      <c r="IL52" s="429" t="n"/>
      <c r="IM52" s="429" t="n"/>
      <c r="IN52" s="429" t="n"/>
      <c r="IO52" s="429" t="n"/>
      <c r="IP52" s="429" t="n"/>
      <c r="IQ52" s="429" t="n"/>
      <c r="IR52" s="429" t="n"/>
      <c r="IS52" s="429" t="n"/>
      <c r="IT52" s="429" t="n"/>
      <c r="IU52" s="429" t="n"/>
      <c r="IV52" s="429" t="n"/>
      <c r="IW52" s="429" t="n"/>
      <c r="IX52" s="429" t="n"/>
      <c r="IY52" s="429" t="n"/>
      <c r="IZ52" s="429" t="n"/>
      <c r="JA52" s="429" t="n"/>
      <c r="JB52" s="429" t="n"/>
      <c r="JC52" s="429" t="n"/>
      <c r="JD52" s="429" t="n"/>
      <c r="JE52" s="429" t="n"/>
      <c r="JF52" s="429" t="n"/>
      <c r="JG52" s="429" t="n"/>
      <c r="JH52" s="429" t="n"/>
      <c r="JI52" s="429" t="n"/>
      <c r="JJ52" s="429" t="n"/>
      <c r="JK52" s="429" t="n"/>
      <c r="JL52" s="429" t="n"/>
      <c r="JM52" s="429" t="n"/>
      <c r="JN52" s="429" t="n"/>
      <c r="JO52" s="429" t="n"/>
      <c r="JP52" s="429" t="n"/>
      <c r="JQ52" s="429" t="n"/>
      <c r="JR52" s="429" t="n"/>
      <c r="JS52" s="429" t="n"/>
      <c r="JT52" s="429" t="n"/>
      <c r="JU52" s="429" t="n"/>
      <c r="JV52" s="429" t="n"/>
      <c r="JW52" s="429" t="n"/>
      <c r="JX52" s="429" t="n"/>
      <c r="JY52" s="429" t="n"/>
      <c r="JZ52" s="429" t="n"/>
      <c r="KA52" s="429" t="n"/>
      <c r="KB52" s="429" t="n"/>
      <c r="KC52" s="429" t="n"/>
      <c r="KD52" s="429" t="n"/>
      <c r="KE52" s="429" t="n"/>
      <c r="KF52" s="429" t="n"/>
      <c r="KG52" s="429" t="n"/>
      <c r="KH52" s="429" t="n"/>
      <c r="KI52" s="429" t="n"/>
      <c r="KJ52" s="429" t="n"/>
      <c r="KK52" s="429" t="n"/>
      <c r="KL52" s="429" t="n"/>
      <c r="KM52" s="429" t="n"/>
      <c r="KN52" s="429" t="n"/>
      <c r="KO52" s="429" t="n"/>
      <c r="KP52" s="429" t="n"/>
    </row>
    <row r="53" ht="26" customHeight="1" thickBot="1">
      <c r="A53" s="234" t="n"/>
      <c r="B53" s="402" t="inlineStr">
        <is>
          <t>Radimersky</t>
        </is>
      </c>
      <c r="C53" s="429" t="n"/>
      <c r="D53" s="405" t="n"/>
      <c r="E53" s="405" t="n"/>
      <c r="F53" s="405" t="n"/>
      <c r="G53" s="432" t="n"/>
      <c r="H53" s="429" t="n"/>
      <c r="I53" s="428" t="n"/>
      <c r="J53" s="420" t="n"/>
      <c r="K53" s="405" t="n"/>
      <c r="L53" s="405" t="n"/>
      <c r="M53" s="405" t="n"/>
      <c r="N53" s="405" t="n"/>
      <c r="O53" s="425" t="n"/>
      <c r="P53" s="428" t="n"/>
      <c r="Q53" s="468" t="n"/>
      <c r="R53" s="405" t="n"/>
      <c r="S53" s="405" t="n"/>
      <c r="T53" s="405" t="n"/>
      <c r="U53" s="405" t="n"/>
      <c r="V53" s="428" t="n"/>
      <c r="W53" s="428" t="n"/>
      <c r="X53" s="420" t="n"/>
      <c r="Y53" s="405" t="n"/>
      <c r="Z53" s="405" t="n"/>
      <c r="AA53" s="405" t="n"/>
      <c r="AB53" s="405" t="n"/>
      <c r="AC53" s="428" t="n"/>
      <c r="AD53" s="428" t="n"/>
      <c r="AE53" s="420" t="n"/>
      <c r="AF53" s="405" t="n"/>
      <c r="AG53" s="405" t="n"/>
      <c r="AH53" s="405" t="n"/>
      <c r="AI53" s="405" t="n"/>
      <c r="AJ53" s="428" t="n"/>
      <c r="AK53" s="428" t="n"/>
      <c r="AL53" s="420" t="n"/>
      <c r="AM53" s="405" t="n"/>
      <c r="AN53" s="405" t="n"/>
      <c r="AO53" s="405" t="n"/>
      <c r="AP53" s="405" t="n"/>
      <c r="AQ53" s="428" t="n"/>
      <c r="AR53" s="428" t="n"/>
      <c r="AS53" s="420" t="n"/>
      <c r="AT53" s="405" t="n"/>
      <c r="AU53" s="405" t="n"/>
      <c r="AV53" s="405" t="n"/>
      <c r="AW53" s="405" t="n"/>
      <c r="AX53" s="428" t="n"/>
      <c r="AY53" s="428" t="n"/>
      <c r="AZ53" s="420" t="n"/>
      <c r="BA53" s="405" t="n"/>
      <c r="BB53" s="405" t="n"/>
      <c r="BC53" s="405" t="n"/>
      <c r="BD53" s="405" t="n"/>
      <c r="BE53" s="428" t="n"/>
      <c r="BF53" s="428" t="n"/>
      <c r="BG53" s="420" t="n"/>
      <c r="BH53" s="405" t="n"/>
      <c r="BI53" s="405" t="n"/>
      <c r="BJ53" s="430" t="n"/>
      <c r="BK53" s="430" t="n"/>
      <c r="BL53" s="429" t="n"/>
      <c r="BM53" s="429" t="n"/>
      <c r="BN53" s="429" t="n"/>
      <c r="BO53" s="429" t="n"/>
      <c r="BP53" s="430" t="n"/>
      <c r="BQ53" s="430" t="n"/>
      <c r="BR53" s="430" t="n"/>
      <c r="BS53" s="429" t="n"/>
      <c r="BT53" s="429" t="n"/>
      <c r="BU53" s="429" t="n"/>
      <c r="BV53" s="429" t="n"/>
      <c r="BW53" s="430" t="n"/>
      <c r="BX53" s="430" t="n"/>
      <c r="BY53" s="430" t="n"/>
      <c r="BZ53" s="429" t="n"/>
      <c r="CA53" s="429" t="n"/>
      <c r="CB53" s="429" t="n"/>
      <c r="CC53" s="429" t="n"/>
      <c r="CD53" s="430" t="n"/>
      <c r="CE53" s="430" t="n"/>
      <c r="CF53" s="430" t="n"/>
      <c r="CG53" s="429" t="n"/>
      <c r="CH53" s="429" t="n"/>
      <c r="CI53" s="429" t="n"/>
      <c r="CJ53" s="429" t="n"/>
      <c r="CK53" s="430" t="n"/>
      <c r="CL53" s="430" t="n"/>
      <c r="CM53" s="430" t="n"/>
      <c r="CN53" s="429" t="n"/>
      <c r="CO53" s="429" t="n"/>
      <c r="CP53" s="429" t="n"/>
      <c r="CQ53" s="429" t="n"/>
      <c r="CR53" s="430" t="n"/>
      <c r="CS53" s="430" t="n"/>
      <c r="CT53" s="430" t="n"/>
      <c r="CU53" s="429" t="n"/>
      <c r="CV53" s="439" t="inlineStr">
        <is>
          <t>NI      TE</t>
        </is>
      </c>
      <c r="CW53" s="439" t="inlineStr">
        <is>
          <t>FI      TE</t>
        </is>
      </c>
      <c r="CX53" s="439" t="inlineStr">
        <is>
          <t>TE</t>
        </is>
      </c>
      <c r="CY53" s="430" t="n"/>
      <c r="CZ53" s="432" t="n"/>
      <c r="DA53" s="432" t="n"/>
      <c r="DB53" s="420" t="n"/>
      <c r="DC53" s="428" t="n"/>
      <c r="DD53" s="422" t="n"/>
      <c r="DE53" s="422" t="n"/>
      <c r="DF53" s="421" t="n"/>
      <c r="DG53" s="421" t="n"/>
      <c r="DH53" s="421" t="n"/>
      <c r="DI53" s="442" t="n"/>
      <c r="DJ53" s="428" t="n"/>
      <c r="DK53" s="428" t="n"/>
      <c r="DL53" s="420" t="n"/>
      <c r="DM53" s="432" t="n"/>
      <c r="DN53" s="432" t="n"/>
      <c r="DO53" s="432" t="n"/>
      <c r="DP53" s="420" t="n"/>
      <c r="DQ53" s="428" t="n"/>
      <c r="DR53" s="428" t="n"/>
      <c r="DS53" s="420" t="n"/>
      <c r="DT53" s="432" t="n"/>
      <c r="DU53" s="432" t="n"/>
      <c r="DV53" s="432" t="n"/>
      <c r="DW53" s="420" t="n"/>
      <c r="DX53" s="428" t="n"/>
      <c r="DY53" s="428" t="n"/>
      <c r="DZ53" s="420" t="n"/>
      <c r="EA53" s="432" t="n"/>
      <c r="EB53" s="432" t="n"/>
      <c r="EC53" s="432" t="n"/>
      <c r="ED53" s="420" t="n"/>
      <c r="EE53" s="428" t="n"/>
      <c r="EF53" s="428" t="n"/>
      <c r="EG53" s="420" t="n"/>
      <c r="EH53" s="432" t="n"/>
      <c r="EI53" s="432" t="n"/>
      <c r="EJ53" s="432" t="n"/>
      <c r="EK53" s="420" t="n"/>
      <c r="EL53" s="428" t="n"/>
      <c r="EM53" s="428" t="n"/>
      <c r="EN53" s="429" t="n"/>
      <c r="EO53" s="430" t="n"/>
      <c r="EP53" s="430" t="n"/>
      <c r="EQ53" s="430" t="n"/>
      <c r="ER53" s="429" t="n"/>
      <c r="ES53" s="429" t="n"/>
      <c r="ET53" s="429" t="n"/>
      <c r="EU53" s="429" t="n"/>
      <c r="EV53" s="430" t="n"/>
      <c r="EW53" s="430" t="n"/>
      <c r="EX53" s="430" t="n"/>
      <c r="EY53" s="429" t="n"/>
      <c r="EZ53" s="429" t="n"/>
      <c r="FA53" s="429" t="n"/>
      <c r="FB53" s="429" t="n"/>
      <c r="FC53" s="430" t="n"/>
      <c r="FD53" s="430" t="n"/>
      <c r="FE53" s="430" t="n"/>
      <c r="FF53" s="429" t="n"/>
      <c r="FG53" s="429" t="n"/>
      <c r="FH53" s="429" t="n"/>
      <c r="FI53" s="429" t="n"/>
      <c r="FJ53" s="430" t="n"/>
      <c r="FK53" s="430" t="n"/>
      <c r="FL53" s="430" t="n"/>
      <c r="FM53" s="429" t="n"/>
      <c r="FN53" s="429" t="n"/>
      <c r="FO53" s="429" t="n"/>
      <c r="FP53" s="429" t="n"/>
      <c r="FQ53" s="430" t="n"/>
      <c r="FR53" s="430" t="n"/>
      <c r="FS53" s="430" t="n"/>
      <c r="FT53" s="429" t="n"/>
      <c r="FU53" s="429" t="n"/>
      <c r="FV53" s="429" t="n"/>
      <c r="FW53" s="429" t="n"/>
      <c r="FX53" s="430" t="n"/>
      <c r="FY53" s="430" t="n"/>
      <c r="FZ53" s="430" t="n"/>
      <c r="GA53" s="429" t="n"/>
      <c r="GB53" s="429" t="n"/>
      <c r="GC53" s="429" t="n"/>
      <c r="GD53" s="429" t="n"/>
      <c r="GE53" s="429" t="n"/>
      <c r="GF53" s="429" t="n"/>
      <c r="GG53" s="429" t="n"/>
      <c r="GH53" s="429" t="n"/>
      <c r="GI53" s="429" t="n"/>
      <c r="GJ53" s="429" t="n"/>
      <c r="GK53" s="429" t="n"/>
      <c r="GL53" s="429" t="n"/>
      <c r="GM53" s="429" t="n"/>
      <c r="GN53" s="429" t="n"/>
      <c r="GO53" s="429" t="n"/>
      <c r="GP53" s="429" t="n"/>
      <c r="GQ53" s="429" t="n"/>
      <c r="GR53" s="429" t="n"/>
      <c r="GS53" s="429" t="n"/>
      <c r="GT53" s="429" t="n"/>
      <c r="GU53" s="429" t="n"/>
      <c r="GV53" s="429" t="n"/>
      <c r="GW53" s="429" t="n"/>
      <c r="GX53" s="429" t="n"/>
      <c r="GY53" s="429" t="n"/>
      <c r="GZ53" s="429" t="n"/>
      <c r="HA53" s="429" t="n"/>
      <c r="HB53" s="429" t="n"/>
      <c r="HC53" s="429" t="n"/>
      <c r="HD53" s="429" t="n"/>
      <c r="HE53" s="429" t="n"/>
      <c r="HF53" s="429" t="n"/>
      <c r="HG53" s="429" t="n"/>
      <c r="HH53" s="429" t="n"/>
      <c r="HI53" s="429" t="n"/>
      <c r="HJ53" s="429" t="n"/>
      <c r="HK53" s="429" t="n"/>
      <c r="HL53" s="429" t="n"/>
      <c r="HM53" s="429" t="n"/>
      <c r="HN53" s="429" t="n"/>
      <c r="HO53" s="429" t="n"/>
      <c r="HP53" s="429" t="n"/>
      <c r="HQ53" s="429" t="n"/>
      <c r="HR53" s="429" t="n"/>
      <c r="HS53" s="429" t="n"/>
      <c r="HT53" s="429" t="n"/>
      <c r="HU53" s="429" t="n"/>
      <c r="HV53" s="429" t="n"/>
      <c r="HW53" s="429" t="n"/>
      <c r="HX53" s="429" t="n"/>
      <c r="HY53" s="429" t="n"/>
      <c r="HZ53" s="429" t="n"/>
      <c r="IA53" s="429" t="n"/>
      <c r="IB53" s="429" t="n"/>
      <c r="IC53" s="429" t="n"/>
      <c r="ID53" s="429" t="n"/>
      <c r="IE53" s="429" t="n"/>
      <c r="IF53" s="429" t="n"/>
      <c r="IG53" s="429" t="n"/>
      <c r="IH53" s="429" t="n"/>
      <c r="II53" s="429" t="n"/>
      <c r="IJ53" s="429" t="n"/>
      <c r="IK53" s="429" t="n"/>
      <c r="IL53" s="429" t="n"/>
      <c r="IM53" s="429" t="n"/>
      <c r="IN53" s="429" t="n"/>
      <c r="IO53" s="429" t="n"/>
      <c r="IP53" s="429" t="n"/>
      <c r="IQ53" s="429" t="n"/>
      <c r="IR53" s="429" t="n"/>
      <c r="IS53" s="429" t="n"/>
      <c r="IT53" s="429" t="n"/>
      <c r="IU53" s="429" t="n"/>
      <c r="IV53" s="429" t="n"/>
      <c r="IW53" s="429" t="n"/>
      <c r="IX53" s="429" t="n"/>
      <c r="IY53" s="429" t="n"/>
      <c r="IZ53" s="429" t="n"/>
      <c r="JA53" s="429" t="n"/>
      <c r="JB53" s="429" t="n"/>
      <c r="JC53" s="429" t="n"/>
      <c r="JD53" s="429" t="n"/>
      <c r="JE53" s="429" t="n"/>
      <c r="JF53" s="429" t="n"/>
      <c r="JG53" s="429" t="n"/>
      <c r="JH53" s="429" t="n"/>
      <c r="JI53" s="429" t="n"/>
      <c r="JJ53" s="429" t="n"/>
      <c r="JK53" s="429" t="n"/>
      <c r="JL53" s="429" t="n"/>
      <c r="JM53" s="429" t="n"/>
      <c r="JN53" s="429" t="n"/>
      <c r="JO53" s="429" t="n"/>
      <c r="JP53" s="429" t="n"/>
      <c r="JQ53" s="429" t="n"/>
      <c r="JR53" s="429" t="n"/>
      <c r="JS53" s="429" t="n"/>
      <c r="JT53" s="429" t="n"/>
      <c r="JU53" s="429" t="n"/>
      <c r="JV53" s="429" t="n"/>
      <c r="JW53" s="429" t="n"/>
      <c r="JX53" s="429" t="n"/>
      <c r="JY53" s="429" t="n"/>
      <c r="JZ53" s="429" t="n"/>
      <c r="KA53" s="429" t="n"/>
      <c r="KB53" s="429" t="n"/>
      <c r="KC53" s="429" t="n"/>
      <c r="KD53" s="429" t="n"/>
      <c r="KE53" s="429" t="n"/>
      <c r="KF53" s="429" t="n"/>
      <c r="KG53" s="429" t="n"/>
      <c r="KH53" s="429" t="n"/>
      <c r="KI53" s="429" t="n"/>
      <c r="KJ53" s="429" t="n"/>
      <c r="KK53" s="429" t="n"/>
      <c r="KL53" s="429" t="n"/>
      <c r="KM53" s="429" t="n"/>
      <c r="KN53" s="429" t="n"/>
      <c r="KO53" s="429" t="n"/>
      <c r="KP53" s="429" t="n"/>
    </row>
    <row r="54" ht="18" customHeight="1" thickBot="1">
      <c r="B54" s="220" t="n"/>
      <c r="C54" s="221" t="n"/>
      <c r="D54" s="222" t="n"/>
      <c r="E54" s="222" t="n"/>
      <c r="F54" s="222" t="n"/>
      <c r="G54" s="222" t="n"/>
      <c r="H54" s="222" t="n"/>
      <c r="I54" s="222" t="n"/>
      <c r="J54" s="222" t="n"/>
      <c r="K54" s="222" t="n"/>
      <c r="L54" s="222" t="n"/>
      <c r="M54" s="222" t="n"/>
      <c r="N54" s="222" t="n"/>
      <c r="O54" s="222" t="n"/>
      <c r="P54" s="222" t="n"/>
      <c r="Q54" s="222" t="n"/>
      <c r="R54" s="222" t="n"/>
      <c r="S54" s="222" t="n"/>
      <c r="T54" s="222" t="n"/>
      <c r="U54" s="222" t="n"/>
      <c r="V54" s="222" t="n"/>
      <c r="W54" s="222" t="n"/>
      <c r="X54" s="222" t="n"/>
      <c r="Y54" s="222" t="n"/>
      <c r="Z54" s="222" t="n"/>
      <c r="AA54" s="222" t="n"/>
      <c r="AB54" s="222" t="n"/>
      <c r="AC54" s="222" t="n"/>
      <c r="AD54" s="222" t="n"/>
      <c r="AE54" s="222" t="n"/>
      <c r="AF54" s="222" t="n"/>
      <c r="AG54" s="223" t="n"/>
      <c r="AH54" s="222" t="n"/>
      <c r="AI54" s="222" t="n"/>
      <c r="AJ54" s="222" t="n"/>
      <c r="AK54" s="222" t="n"/>
      <c r="AL54" s="222" t="n"/>
      <c r="AM54" s="222" t="n"/>
      <c r="AN54" s="222" t="n"/>
      <c r="AO54" s="222" t="n"/>
      <c r="AP54" s="222" t="n"/>
      <c r="AQ54" s="222" t="n"/>
      <c r="AR54" s="222" t="n"/>
      <c r="AS54" s="222" t="n"/>
      <c r="AT54" s="222" t="n"/>
      <c r="AU54" s="222" t="n"/>
      <c r="AV54" s="222" t="n"/>
      <c r="AW54" s="222" t="n"/>
      <c r="AX54" s="222" t="n"/>
      <c r="AY54" s="222" t="n"/>
      <c r="AZ54" s="222" t="n"/>
      <c r="BA54" s="222" t="n"/>
      <c r="BB54" s="222" t="n"/>
      <c r="BC54" s="222" t="n"/>
      <c r="BD54" s="222" t="n"/>
      <c r="BE54" s="222" t="n"/>
      <c r="BF54" s="222" t="n"/>
      <c r="BG54" s="222" t="n"/>
      <c r="BH54" s="222" t="n"/>
      <c r="BI54" s="223" t="n"/>
      <c r="BM54" s="53" t="n"/>
      <c r="GB54" s="81" t="n"/>
    </row>
    <row r="55" ht="30" customHeight="1">
      <c r="B55" s="83" t="n"/>
      <c r="AH55" s="84" t="n"/>
      <c r="AI55" s="84" t="n"/>
      <c r="AJ55" s="84" t="n"/>
      <c r="AK55" s="84" t="n"/>
      <c r="AL55" s="84" t="n"/>
      <c r="AM55" s="84" t="n"/>
      <c r="GB55" s="81" t="n"/>
    </row>
    <row r="56" ht="18" customFormat="1" customHeight="1" s="77">
      <c r="A56" s="86" t="n"/>
      <c r="B56" s="87" t="n"/>
      <c r="BM56" s="85" t="n"/>
      <c r="EZ56" s="78" t="n"/>
      <c r="FA56" s="78" t="n"/>
      <c r="GB56" s="78" t="n"/>
    </row>
    <row r="57" ht="18" customHeight="1">
      <c r="B57" s="88" t="n"/>
      <c r="GB57" s="81" t="n"/>
    </row>
    <row r="58" ht="18" customHeight="1">
      <c r="B58" s="88" t="n"/>
      <c r="GB58" s="81" t="n"/>
    </row>
    <row r="59" ht="18" customHeight="1">
      <c r="B59" s="88" t="n"/>
      <c r="GB59" s="81" t="n"/>
    </row>
    <row r="60" ht="18" customHeight="1">
      <c r="B60" s="89" t="n"/>
      <c r="GB60" s="81" t="n"/>
    </row>
    <row r="61" ht="18" customHeight="1">
      <c r="B61" s="88" t="n"/>
      <c r="M61" s="90" t="n"/>
      <c r="GB61" s="81" t="n"/>
    </row>
    <row r="62" ht="18" customHeight="1">
      <c r="B62" s="89" t="n"/>
      <c r="DA62" s="101" t="n"/>
      <c r="DB62" s="101" t="n"/>
      <c r="DC62" s="101" t="n"/>
      <c r="GB62" s="81" t="n"/>
    </row>
    <row r="63" ht="18" customHeight="1">
      <c r="B63" s="88" t="n"/>
      <c r="DA63" s="101" t="n"/>
      <c r="DB63" s="101" t="n"/>
      <c r="DC63" s="101" t="n"/>
      <c r="GB63" s="81" t="n"/>
    </row>
    <row r="64" ht="18" customHeight="1">
      <c r="B64" s="89" t="n"/>
      <c r="DA64" s="101" t="n"/>
      <c r="DB64" s="101" t="n"/>
      <c r="DC64" s="101" t="n"/>
      <c r="GB64" s="81" t="n"/>
    </row>
    <row r="65" ht="18" customHeight="1">
      <c r="B65" s="88" t="n"/>
      <c r="GB65" s="81" t="n"/>
    </row>
    <row r="66" ht="18" customHeight="1">
      <c r="B66" s="89" t="n"/>
      <c r="GB66" s="81" t="n"/>
    </row>
    <row r="67" ht="18" customHeight="1">
      <c r="B67" s="88" t="n"/>
      <c r="GB67" s="81" t="n"/>
    </row>
    <row r="68" ht="18" customHeight="1">
      <c r="B68" s="89" t="n"/>
      <c r="GB68" s="81" t="n"/>
    </row>
    <row r="69" hidden="1" ht="18" customHeight="1">
      <c r="B69" s="88" t="n"/>
      <c r="GB69" s="81" t="n"/>
    </row>
    <row r="70" hidden="1" ht="18" customHeight="1" thickBot="1">
      <c r="B70" s="89" t="n"/>
      <c r="GB70" s="81" t="n"/>
    </row>
    <row r="71" ht="18" customHeight="1">
      <c r="B71" s="88" t="n"/>
      <c r="GB71" s="81" t="n"/>
    </row>
    <row r="72" ht="18" customHeight="1">
      <c r="B72" s="89" t="n"/>
      <c r="GB72" s="81" t="n"/>
    </row>
    <row r="73" ht="18" customHeight="1">
      <c r="B73" s="88" t="n"/>
      <c r="GB73" s="81" t="n"/>
    </row>
    <row r="74" ht="18" customHeight="1">
      <c r="B74" s="89" t="n"/>
      <c r="GB74" s="81" t="n"/>
    </row>
    <row r="75" ht="18" customHeight="1">
      <c r="B75" s="88" t="n"/>
      <c r="GB75" s="81" t="n"/>
    </row>
    <row r="76" ht="18" customHeight="1">
      <c r="B76" s="89" t="n"/>
      <c r="GB76" s="81" t="n"/>
    </row>
    <row r="77" ht="18" customHeight="1">
      <c r="GB77" s="81" t="n"/>
    </row>
    <row r="78" ht="30" customHeight="1">
      <c r="B78" s="83" t="n"/>
      <c r="BL78" s="91" t="n"/>
      <c r="GB78" s="81" t="n"/>
    </row>
    <row r="79" ht="18" customFormat="1" customHeight="1" s="77">
      <c r="A79" s="86" t="n"/>
      <c r="B79" s="87" t="n"/>
      <c r="BM79" s="85" t="n"/>
      <c r="EZ79" s="78" t="n"/>
      <c r="FA79" s="78" t="n"/>
      <c r="GB79" s="78" t="n"/>
    </row>
    <row r="80" ht="18" customHeight="1">
      <c r="B80" s="88" t="n"/>
      <c r="GB80" s="81" t="n"/>
    </row>
    <row r="81" ht="18" customHeight="1">
      <c r="B81" s="88" t="n"/>
      <c r="GB81" s="81" t="n"/>
    </row>
    <row r="82" ht="18" customHeight="1">
      <c r="B82" s="88" t="n"/>
      <c r="GB82" s="81" t="n"/>
    </row>
    <row r="83" ht="18" customHeight="1">
      <c r="B83" s="89" t="n"/>
      <c r="GB83" s="81" t="n"/>
    </row>
    <row r="84" ht="18" customHeight="1">
      <c r="B84" s="88" t="n"/>
      <c r="GB84" s="81" t="n"/>
    </row>
    <row r="85" ht="18" customHeight="1">
      <c r="B85" s="89" t="n"/>
      <c r="GB85" s="81" t="n"/>
    </row>
    <row r="86" ht="18" customHeight="1">
      <c r="B86" s="88" t="n"/>
      <c r="GB86" s="81" t="n"/>
    </row>
    <row r="87" ht="18" customHeight="1">
      <c r="B87" s="89" t="n"/>
      <c r="GB87" s="81" t="n"/>
    </row>
    <row r="88" ht="18" customHeight="1">
      <c r="B88" s="88" t="n"/>
      <c r="GB88" s="81" t="n"/>
    </row>
    <row r="89" ht="18" customHeight="1">
      <c r="B89" s="89" t="n"/>
      <c r="GB89" s="81" t="n"/>
    </row>
    <row r="90" ht="18" customHeight="1">
      <c r="B90" s="88" t="n"/>
      <c r="GB90" s="81" t="n"/>
    </row>
    <row r="91" ht="18" customHeight="1">
      <c r="B91" s="89" t="n"/>
      <c r="GB91" s="81" t="n"/>
    </row>
    <row r="92" hidden="1" ht="18" customHeight="1">
      <c r="B92" s="88" t="n"/>
      <c r="GB92" s="81" t="n"/>
    </row>
    <row r="93" hidden="1" ht="18" customHeight="1" thickBot="1">
      <c r="B93" s="89" t="n"/>
      <c r="GB93" s="81" t="n"/>
    </row>
    <row r="94" ht="18" customHeight="1">
      <c r="B94" s="88" t="n"/>
      <c r="GB94" s="81" t="n"/>
    </row>
    <row r="95" ht="18" customHeight="1">
      <c r="B95" s="89" t="n"/>
      <c r="GB95" s="81" t="n"/>
    </row>
    <row r="96" ht="18" customHeight="1">
      <c r="B96" s="88" t="n"/>
      <c r="GB96" s="81" t="n"/>
    </row>
    <row r="97" ht="18" customHeight="1">
      <c r="B97" s="89" t="n"/>
      <c r="GB97" s="81" t="n"/>
    </row>
    <row r="98" ht="18" customHeight="1">
      <c r="B98" s="88" t="n"/>
      <c r="GB98" s="81" t="n"/>
    </row>
    <row r="99" ht="18" customHeight="1">
      <c r="B99" s="89" t="n"/>
      <c r="GB99" s="81" t="n"/>
    </row>
    <row r="100" ht="18" customHeight="1">
      <c r="GB100" s="81" t="n"/>
    </row>
    <row r="101" ht="30" customFormat="1" customHeight="1" s="93">
      <c r="A101" s="92" t="n"/>
      <c r="B101" s="83" t="n"/>
      <c r="BM101" s="85" t="n"/>
      <c r="EZ101" s="94" t="n"/>
      <c r="FA101" s="94" t="n"/>
      <c r="GB101" s="94" t="n"/>
    </row>
    <row r="102" ht="18" customFormat="1" customHeight="1" s="58">
      <c r="A102" s="95" t="n"/>
      <c r="B102" s="96" t="n"/>
      <c r="BM102" s="97" t="n"/>
      <c r="EZ102" s="98" t="n"/>
      <c r="FA102" s="98" t="n"/>
      <c r="GB102" s="98" t="n"/>
    </row>
    <row r="103" ht="18" customHeight="1">
      <c r="B103" s="88" t="n"/>
      <c r="GB103" s="81" t="n"/>
    </row>
    <row r="104" ht="18" customHeight="1">
      <c r="B104" s="88" t="n"/>
      <c r="GB104" s="81" t="n"/>
    </row>
    <row r="105" ht="18" customHeight="1">
      <c r="B105" s="88" t="n"/>
      <c r="GB105" s="81" t="n"/>
    </row>
    <row r="106" ht="18" customHeight="1">
      <c r="B106" s="89" t="n"/>
      <c r="GB106" s="81" t="n"/>
    </row>
    <row r="107" ht="18" customHeight="1">
      <c r="B107" s="88" t="n"/>
      <c r="GB107" s="81" t="n"/>
    </row>
    <row r="108" ht="18" customHeight="1">
      <c r="B108" s="89" t="n"/>
      <c r="GB108" s="81" t="n"/>
    </row>
    <row r="109" ht="18" customHeight="1">
      <c r="B109" s="88" t="n"/>
      <c r="GB109" s="81" t="n"/>
    </row>
    <row r="110" ht="18" customHeight="1">
      <c r="B110" s="89" t="n"/>
      <c r="GB110" s="81" t="n"/>
    </row>
    <row r="111" ht="18" customHeight="1">
      <c r="B111" s="88" t="n"/>
      <c r="GB111" s="81" t="n"/>
    </row>
    <row r="112" ht="18" customHeight="1">
      <c r="B112" s="89" t="n"/>
      <c r="GB112" s="81" t="n"/>
    </row>
    <row r="113" ht="18" customHeight="1">
      <c r="B113" s="88" t="n"/>
      <c r="GB113" s="81" t="n"/>
    </row>
    <row r="114" ht="18" customHeight="1">
      <c r="B114" s="89" t="n"/>
      <c r="GB114" s="81" t="n"/>
    </row>
    <row r="115" hidden="1" ht="18" customHeight="1">
      <c r="B115" s="88" t="n"/>
      <c r="GB115" s="81" t="n"/>
    </row>
    <row r="116" hidden="1" ht="18" customHeight="1" thickBot="1">
      <c r="B116" s="89" t="n"/>
      <c r="GB116" s="81" t="n"/>
    </row>
    <row r="117" ht="18" customHeight="1">
      <c r="B117" s="88" t="n"/>
      <c r="GB117" s="81" t="n"/>
    </row>
    <row r="118" ht="18" customHeight="1">
      <c r="B118" s="89" t="n"/>
      <c r="GB118" s="81" t="n"/>
    </row>
    <row r="119" ht="18" customHeight="1">
      <c r="B119" s="88" t="n"/>
      <c r="GB119" s="81" t="n"/>
    </row>
    <row r="120" ht="18" customHeight="1">
      <c r="B120" s="89" t="n"/>
      <c r="GB120" s="81" t="n"/>
    </row>
    <row r="121" ht="18" customHeight="1">
      <c r="B121" s="88" t="n"/>
      <c r="GB121" s="81" t="n"/>
    </row>
    <row r="122" ht="18" customHeight="1">
      <c r="B122" s="89" t="n"/>
      <c r="GB122" s="81" t="n"/>
    </row>
    <row r="123" ht="18" customHeight="1">
      <c r="GB123" s="81" t="n"/>
    </row>
    <row r="124" ht="30" customHeight="1">
      <c r="B124" s="83" t="n"/>
      <c r="GB124" s="81" t="n"/>
    </row>
    <row r="125" ht="18" customFormat="1" customHeight="1" s="58">
      <c r="A125" s="95" t="n"/>
      <c r="B125" s="96" t="n"/>
      <c r="AI125" s="99" t="n"/>
      <c r="BM125" s="97" t="n"/>
      <c r="EZ125" s="98" t="n"/>
      <c r="FA125" s="98" t="n"/>
      <c r="GB125" s="98" t="n"/>
    </row>
    <row r="126" ht="18" customHeight="1">
      <c r="B126" s="88" t="n"/>
      <c r="GB126" s="81" t="n"/>
    </row>
    <row r="127" ht="18" customHeight="1">
      <c r="B127" s="88" t="n"/>
      <c r="GB127" s="81" t="n"/>
    </row>
    <row r="128" ht="18" customHeight="1">
      <c r="B128" s="88" t="n"/>
      <c r="GB128" s="81" t="n"/>
    </row>
    <row r="129" ht="18" customHeight="1">
      <c r="B129" s="89" t="n"/>
      <c r="GB129" s="81" t="n"/>
    </row>
    <row r="130" ht="18" customHeight="1">
      <c r="B130" s="88" t="n"/>
      <c r="GB130" s="81" t="n"/>
    </row>
    <row r="131" ht="18" customHeight="1">
      <c r="B131" s="89" t="n"/>
      <c r="GB131" s="81" t="n"/>
    </row>
    <row r="132" ht="18" customHeight="1">
      <c r="B132" s="88" t="n"/>
      <c r="GB132" s="81" t="n"/>
    </row>
    <row r="133" ht="18" customHeight="1">
      <c r="B133" s="89" t="n"/>
      <c r="AN133" s="100" t="n"/>
      <c r="AO133" s="100" t="n"/>
      <c r="AP133" s="101" t="n"/>
      <c r="AQ133" s="101" t="n"/>
      <c r="AR133" s="101" t="n"/>
      <c r="AS133" s="101" t="n"/>
      <c r="GB133" s="81" t="n"/>
    </row>
    <row r="134" ht="18" customHeight="1">
      <c r="B134" s="88" t="n"/>
      <c r="GB134" s="81" t="n"/>
    </row>
    <row r="135" ht="18" customHeight="1">
      <c r="B135" s="89" t="n"/>
      <c r="GB135" s="81" t="n"/>
    </row>
    <row r="136" ht="18" customHeight="1">
      <c r="B136" s="88" t="n"/>
      <c r="GB136" s="81" t="n"/>
    </row>
    <row r="137" ht="18" customHeight="1">
      <c r="B137" s="89" t="n"/>
      <c r="GB137" s="81" t="n"/>
    </row>
    <row r="138" ht="18" customHeight="1">
      <c r="B138" s="88" t="n"/>
      <c r="GB138" s="81" t="n"/>
    </row>
    <row r="139" ht="18" customHeight="1">
      <c r="B139" s="89" t="n"/>
      <c r="GB139" s="81" t="n"/>
    </row>
    <row r="140" ht="18" customHeight="1">
      <c r="B140" s="88" t="n"/>
      <c r="GB140" s="81" t="n"/>
    </row>
    <row r="141" ht="18" customHeight="1">
      <c r="B141" s="89" t="n"/>
      <c r="GB141" s="81" t="n"/>
    </row>
    <row r="142" ht="18" customHeight="1">
      <c r="B142" s="88" t="n"/>
      <c r="GB142" s="81" t="n"/>
    </row>
    <row r="143" ht="18" customHeight="1">
      <c r="B143" s="89" t="n"/>
      <c r="GB143" s="81" t="n"/>
    </row>
    <row r="144" ht="18" customHeight="1">
      <c r="B144" s="89" t="n"/>
      <c r="C144" s="67" t="n"/>
      <c r="D144" s="67" t="n"/>
      <c r="E144" s="67" t="n"/>
      <c r="F144" s="67" t="n"/>
      <c r="G144" s="67" t="n"/>
      <c r="H144" s="67" t="n"/>
      <c r="I144" s="67" t="n"/>
      <c r="J144" s="67" t="n"/>
      <c r="K144" s="67" t="n"/>
      <c r="L144" s="67" t="n"/>
      <c r="M144" s="67" t="n"/>
      <c r="N144" s="67" t="n"/>
      <c r="O144" s="67" t="n"/>
      <c r="P144" s="67" t="n"/>
      <c r="Q144" s="67" t="n"/>
      <c r="R144" s="67" t="n"/>
      <c r="S144" s="67" t="n"/>
      <c r="T144" s="67" t="n"/>
      <c r="U144" s="67" t="n"/>
      <c r="V144" s="67" t="n"/>
      <c r="W144" s="67" t="n"/>
      <c r="X144" s="67" t="n"/>
      <c r="Y144" s="67" t="n"/>
      <c r="Z144" s="67" t="n"/>
      <c r="AA144" s="67" t="n"/>
      <c r="AB144" s="67" t="n"/>
      <c r="AC144" s="67" t="n"/>
      <c r="AD144" s="67" t="n"/>
      <c r="AE144" s="67" t="n"/>
      <c r="AF144" s="67" t="n"/>
      <c r="AG144" s="67" t="n"/>
      <c r="GB144" s="81" t="n"/>
    </row>
    <row r="145" ht="18" customHeight="1">
      <c r="B145" s="88" t="n"/>
      <c r="C145" s="67" t="n"/>
      <c r="D145" s="91" t="n"/>
      <c r="E145" s="91" t="n"/>
      <c r="F145" s="91" t="n"/>
      <c r="G145" s="91" t="n"/>
      <c r="H145" s="91" t="n"/>
      <c r="I145" s="67" t="n"/>
      <c r="J145" s="67" t="n"/>
      <c r="K145" s="91" t="n"/>
      <c r="L145" s="91" t="n"/>
      <c r="M145" s="91" t="n"/>
      <c r="N145" s="91" t="n"/>
      <c r="O145" s="91" t="n"/>
      <c r="P145" s="67" t="n"/>
      <c r="Q145" s="67" t="n"/>
      <c r="R145" s="91" t="n"/>
      <c r="S145" s="91" t="n"/>
      <c r="T145" s="91" t="n"/>
      <c r="U145" s="91" t="n"/>
      <c r="V145" s="91" t="n"/>
      <c r="W145" s="67" t="n"/>
      <c r="X145" s="67" t="n"/>
      <c r="Y145" s="67" t="n"/>
      <c r="Z145" s="67" t="n"/>
      <c r="AA145" s="67" t="n"/>
      <c r="AB145" s="67" t="n"/>
      <c r="AC145" s="67" t="n"/>
      <c r="AD145" s="67" t="n"/>
      <c r="AE145" s="67" t="n"/>
      <c r="AF145" s="67" t="n"/>
      <c r="AG145" s="67" t="n"/>
      <c r="GB145" s="81" t="n"/>
    </row>
    <row r="146" ht="18" customHeight="1">
      <c r="B146" s="89" t="n"/>
      <c r="C146" s="67" t="n"/>
      <c r="D146" s="67" t="n"/>
      <c r="E146" s="67" t="n"/>
      <c r="F146" s="67" t="n"/>
      <c r="G146" s="67" t="n"/>
      <c r="H146" s="67" t="n"/>
      <c r="I146" s="67" t="n"/>
      <c r="J146" s="67" t="n"/>
      <c r="K146" s="67" t="n"/>
      <c r="L146" s="67" t="n"/>
      <c r="M146" s="67" t="n"/>
      <c r="N146" s="67" t="n"/>
      <c r="O146" s="67" t="n"/>
      <c r="P146" s="67" t="n"/>
      <c r="Q146" s="67" t="n"/>
      <c r="R146" s="67" t="n"/>
      <c r="S146" s="67" t="n"/>
      <c r="T146" s="67" t="n"/>
      <c r="U146" s="67" t="n"/>
      <c r="V146" s="67" t="n"/>
      <c r="W146" s="67" t="n"/>
      <c r="X146" s="67" t="n"/>
      <c r="Y146" s="67" t="n"/>
      <c r="Z146" s="67" t="n"/>
      <c r="AA146" s="67" t="n"/>
      <c r="AB146" s="67" t="n"/>
      <c r="AC146" s="67" t="n"/>
      <c r="AD146" s="67" t="n"/>
      <c r="AE146" s="67" t="n"/>
      <c r="AF146" s="67" t="n"/>
      <c r="AG146" s="67" t="n"/>
      <c r="GB146" s="81" t="n"/>
    </row>
    <row r="147" ht="18" customHeight="1">
      <c r="B147" s="88" t="n"/>
      <c r="C147" s="67" t="n"/>
      <c r="D147" s="91" t="n"/>
      <c r="E147" s="91" t="n"/>
      <c r="F147" s="91" t="n"/>
      <c r="G147" s="91" t="n"/>
      <c r="H147" s="91" t="n"/>
      <c r="I147" s="67" t="n"/>
      <c r="J147" s="67" t="n"/>
      <c r="K147" s="91" t="n"/>
      <c r="L147" s="91" t="n"/>
      <c r="M147" s="91" t="n"/>
      <c r="N147" s="91" t="n"/>
      <c r="O147" s="91" t="n"/>
      <c r="P147" s="67" t="n"/>
      <c r="Q147" s="67" t="n"/>
      <c r="R147" s="91" t="n"/>
      <c r="S147" s="91" t="n"/>
      <c r="T147" s="91" t="n"/>
      <c r="U147" s="91" t="n"/>
      <c r="V147" s="91" t="n"/>
      <c r="W147" s="67" t="n"/>
      <c r="X147" s="67" t="n"/>
      <c r="Y147" s="67" t="n"/>
      <c r="Z147" s="67" t="n"/>
      <c r="AA147" s="67" t="n"/>
      <c r="AB147" s="67" t="n"/>
      <c r="AC147" s="102" t="n"/>
      <c r="AD147" s="67" t="n"/>
      <c r="AE147" s="67" t="n"/>
      <c r="AF147" s="67" t="n"/>
      <c r="AG147" s="82" t="n"/>
      <c r="GB147" s="81" t="n"/>
    </row>
    <row r="148" ht="18" customHeight="1">
      <c r="B148" s="89" t="n"/>
      <c r="C148" s="67" t="n"/>
      <c r="D148" s="67" t="n"/>
      <c r="E148" s="67" t="n"/>
      <c r="F148" s="67" t="n"/>
      <c r="G148" s="67" t="n"/>
      <c r="H148" s="67" t="n"/>
      <c r="I148" s="67" t="n"/>
      <c r="J148" s="67" t="n"/>
      <c r="K148" s="67" t="n"/>
      <c r="L148" s="67" t="n"/>
      <c r="M148" s="67" t="n"/>
      <c r="N148" s="67" t="n"/>
      <c r="O148" s="67" t="n"/>
      <c r="P148" s="67" t="n"/>
      <c r="Q148" s="67" t="n"/>
      <c r="R148" s="67" t="n"/>
      <c r="S148" s="67" t="n"/>
      <c r="T148" s="67" t="n"/>
      <c r="U148" s="67" t="n"/>
      <c r="V148" s="67" t="n"/>
      <c r="W148" s="67" t="n"/>
      <c r="X148" s="67" t="n"/>
      <c r="Y148" s="67" t="n"/>
      <c r="Z148" s="67" t="n"/>
      <c r="AA148" s="67" t="n"/>
      <c r="AB148" s="67" t="n"/>
      <c r="AC148" s="102" t="n"/>
      <c r="AD148" s="67" t="n"/>
      <c r="AE148" s="67" t="n"/>
      <c r="AF148" s="67" t="n"/>
      <c r="AG148" s="103" t="n"/>
      <c r="GB148" s="81" t="n"/>
    </row>
    <row r="149" ht="18" customHeight="1">
      <c r="B149" s="88" t="n"/>
      <c r="C149" s="67" t="n"/>
      <c r="D149" s="91" t="n"/>
      <c r="E149" s="91" t="n"/>
      <c r="F149" s="91" t="n"/>
      <c r="G149" s="91" t="n"/>
      <c r="H149" s="91" t="n"/>
      <c r="I149" s="67" t="n"/>
      <c r="J149" s="67" t="n"/>
      <c r="K149" s="91" t="n"/>
      <c r="L149" s="91" t="n"/>
      <c r="M149" s="91" t="n"/>
      <c r="N149" s="91" t="n"/>
      <c r="O149" s="91" t="n"/>
      <c r="P149" s="67" t="n"/>
      <c r="Q149" s="67" t="n"/>
      <c r="R149" s="91" t="n"/>
      <c r="S149" s="91" t="n"/>
      <c r="T149" s="91" t="n"/>
      <c r="U149" s="91" t="n"/>
      <c r="V149" s="91" t="n"/>
      <c r="W149" s="67" t="n"/>
      <c r="X149" s="67" t="n"/>
      <c r="Y149" s="67" t="n"/>
      <c r="Z149" s="67" t="n"/>
      <c r="AA149" s="67" t="n"/>
      <c r="AB149" s="67" t="n"/>
      <c r="AC149" s="102" t="n"/>
      <c r="AD149" s="67" t="n"/>
      <c r="AE149" s="67" t="n"/>
      <c r="AF149" s="67" t="n"/>
      <c r="AG149" s="67" t="n"/>
      <c r="GB149" s="81" t="n"/>
    </row>
    <row r="150" ht="18" customHeight="1">
      <c r="B150" s="89" t="n"/>
      <c r="C150" s="67" t="n"/>
      <c r="D150" s="67" t="n"/>
      <c r="E150" s="67" t="n"/>
      <c r="F150" s="67" t="n"/>
      <c r="G150" s="67" t="n"/>
      <c r="H150" s="67" t="n"/>
      <c r="I150" s="67" t="n"/>
      <c r="J150" s="67" t="n"/>
      <c r="K150" s="67" t="n"/>
      <c r="L150" s="67" t="n"/>
      <c r="M150" s="67" t="n"/>
      <c r="N150" s="67" t="n"/>
      <c r="O150" s="67" t="n"/>
      <c r="P150" s="67" t="n"/>
      <c r="Q150" s="67" t="n"/>
      <c r="R150" s="67" t="n"/>
      <c r="S150" s="67" t="n"/>
      <c r="T150" s="67" t="n"/>
      <c r="U150" s="67" t="n"/>
      <c r="V150" s="67" t="n"/>
      <c r="W150" s="67" t="n"/>
      <c r="X150" s="67" t="n"/>
      <c r="Y150" s="67" t="n"/>
      <c r="Z150" s="67" t="n"/>
      <c r="AA150" s="67" t="n"/>
      <c r="AB150" s="67" t="n"/>
      <c r="AC150" s="102" t="n"/>
      <c r="AD150" s="67" t="n"/>
      <c r="AE150" s="67" t="n"/>
      <c r="AF150" s="67" t="n"/>
      <c r="AG150" s="67" t="n"/>
      <c r="GB150" s="81" t="n"/>
    </row>
    <row r="151" ht="18" customHeight="1">
      <c r="B151" s="88" t="n"/>
      <c r="C151" s="67" t="n"/>
      <c r="D151" s="91" t="n"/>
      <c r="E151" s="91" t="n"/>
      <c r="F151" s="91" t="n"/>
      <c r="G151" s="91" t="n"/>
      <c r="H151" s="91" t="n"/>
      <c r="I151" s="67" t="n"/>
      <c r="J151" s="67" t="n"/>
      <c r="K151" s="91" t="n"/>
      <c r="L151" s="91" t="n"/>
      <c r="M151" s="91" t="n"/>
      <c r="N151" s="91" t="n"/>
      <c r="O151" s="91" t="n"/>
      <c r="P151" s="67" t="n"/>
      <c r="Q151" s="67" t="n"/>
      <c r="R151" s="91" t="n"/>
      <c r="S151" s="91" t="n"/>
      <c r="T151" s="91" t="n"/>
      <c r="U151" s="91" t="n"/>
      <c r="V151" s="91" t="n"/>
      <c r="W151" s="67" t="n"/>
      <c r="X151" s="67" t="n"/>
      <c r="Y151" s="67" t="n"/>
      <c r="Z151" s="67" t="n"/>
      <c r="AA151" s="67" t="n"/>
      <c r="AB151" s="67" t="n"/>
      <c r="AC151" s="102" t="n"/>
      <c r="AD151" s="67" t="n"/>
      <c r="AE151" s="67" t="n"/>
      <c r="AF151" s="67" t="n"/>
      <c r="AG151" s="67" t="n"/>
      <c r="GB151" s="81" t="n"/>
    </row>
    <row r="152" ht="18" customHeight="1">
      <c r="B152" s="89" t="n"/>
      <c r="C152" s="67" t="n"/>
      <c r="D152" s="67" t="n"/>
      <c r="E152" s="67" t="n"/>
      <c r="F152" s="67" t="n"/>
      <c r="G152" s="67" t="n"/>
      <c r="H152" s="67" t="n"/>
      <c r="I152" s="67" t="n"/>
      <c r="J152" s="67" t="n"/>
      <c r="K152" s="67" t="n"/>
      <c r="L152" s="67" t="n"/>
      <c r="M152" s="67" t="n"/>
      <c r="N152" s="67" t="n"/>
      <c r="O152" s="67" t="n"/>
      <c r="P152" s="67" t="n"/>
      <c r="Q152" s="67" t="n"/>
      <c r="R152" s="67" t="n"/>
      <c r="S152" s="67" t="n"/>
      <c r="T152" s="67" t="n"/>
      <c r="U152" s="67" t="n"/>
      <c r="V152" s="67" t="n"/>
      <c r="W152" s="67" t="n"/>
      <c r="X152" s="67" t="n"/>
      <c r="Y152" s="67" t="n"/>
      <c r="Z152" s="67" t="n"/>
      <c r="AA152" s="67" t="n"/>
      <c r="AB152" s="67" t="n"/>
      <c r="AC152" s="102" t="n"/>
      <c r="AD152" s="67" t="n"/>
      <c r="AE152" s="67" t="n"/>
      <c r="AF152" s="67" t="n"/>
      <c r="AG152" s="67" t="n"/>
      <c r="GB152" s="81" t="n"/>
    </row>
    <row r="153" ht="18" customHeight="1">
      <c r="H153" s="67" t="n"/>
      <c r="GB153" s="81" t="n"/>
    </row>
    <row r="154" ht="18" customHeight="1">
      <c r="B154" s="88" t="n"/>
      <c r="C154" s="104" t="n"/>
      <c r="D154" s="104" t="n"/>
      <c r="E154" s="104" t="n"/>
      <c r="F154" s="104" t="n"/>
      <c r="G154" s="104" t="n"/>
      <c r="H154" s="104" t="n"/>
      <c r="I154" s="104" t="n"/>
      <c r="J154" s="104" t="n"/>
      <c r="K154" s="104" t="n"/>
      <c r="L154" s="104" t="n"/>
      <c r="M154" s="104" t="n"/>
      <c r="N154" s="104" t="n"/>
      <c r="O154" s="104" t="n"/>
      <c r="P154" s="104" t="n"/>
      <c r="Q154" s="104" t="n"/>
      <c r="R154" s="104" t="n"/>
      <c r="S154" s="104" t="n"/>
      <c r="T154" s="104" t="n"/>
      <c r="U154" s="104" t="n"/>
      <c r="V154" s="104" t="n"/>
      <c r="W154" s="104" t="n"/>
      <c r="X154" s="104" t="n"/>
      <c r="Y154" s="104" t="n"/>
      <c r="Z154" s="104" t="n"/>
      <c r="AA154" s="104" t="n"/>
      <c r="AB154" s="104" t="n"/>
      <c r="AC154" s="104" t="n"/>
      <c r="AD154" s="104" t="n"/>
      <c r="AE154" s="104" t="n"/>
      <c r="AF154" s="104" t="n"/>
      <c r="GB154" s="81" t="n"/>
    </row>
    <row r="155" ht="18" customHeight="1">
      <c r="B155" s="88" t="n"/>
      <c r="C155" s="104" t="n"/>
      <c r="D155" s="104" t="n"/>
      <c r="E155" s="104" t="n"/>
      <c r="F155" s="104" t="n"/>
      <c r="G155" s="104" t="n"/>
      <c r="H155" s="104" t="n"/>
      <c r="I155" s="104" t="n"/>
      <c r="J155" s="104" t="n"/>
      <c r="K155" s="104" t="n"/>
      <c r="L155" s="104" t="n"/>
      <c r="M155" s="104" t="n"/>
      <c r="N155" s="104" t="n"/>
      <c r="O155" s="104" t="n"/>
      <c r="P155" s="104" t="n"/>
      <c r="Q155" s="104" t="n"/>
      <c r="R155" s="104" t="n"/>
      <c r="S155" s="104" t="n"/>
      <c r="T155" s="104" t="n"/>
      <c r="U155" s="104" t="n"/>
      <c r="V155" s="104" t="n"/>
      <c r="W155" s="104" t="n"/>
      <c r="X155" s="104" t="n"/>
      <c r="Y155" s="104" t="n"/>
      <c r="Z155" s="104" t="n"/>
      <c r="AA155" s="104" t="n"/>
      <c r="AB155" s="104" t="n"/>
      <c r="AC155" s="104" t="n"/>
      <c r="AD155" s="104" t="n"/>
      <c r="AE155" s="104" t="n"/>
      <c r="AF155" s="104" t="n"/>
      <c r="AJ155" s="67" t="n"/>
      <c r="AK155" s="91" t="n"/>
      <c r="AL155" s="91" t="n"/>
      <c r="AM155" s="67" t="n"/>
      <c r="AN155" s="67" t="n"/>
      <c r="GB155" s="81" t="n"/>
    </row>
    <row r="156" ht="18" customHeight="1">
      <c r="B156" s="88" t="n"/>
      <c r="C156" s="67" t="n"/>
      <c r="D156" s="67" t="n"/>
      <c r="E156" s="67" t="n"/>
      <c r="F156" s="67" t="n"/>
      <c r="G156" s="67" t="n"/>
      <c r="H156" s="67" t="n"/>
      <c r="I156" s="67" t="n"/>
      <c r="J156" s="67" t="n"/>
      <c r="K156" s="67" t="n"/>
      <c r="L156" s="67" t="n"/>
      <c r="M156" s="67" t="n"/>
      <c r="N156" s="67" t="n"/>
      <c r="O156" s="67" t="n"/>
      <c r="P156" s="67" t="n"/>
      <c r="Q156" s="67" t="n"/>
      <c r="R156" s="67" t="n"/>
      <c r="S156" s="67" t="n"/>
      <c r="T156" s="67" t="n"/>
      <c r="U156" s="67" t="n"/>
      <c r="V156" s="67" t="n"/>
      <c r="W156" s="67" t="n"/>
      <c r="X156" s="67" t="n"/>
      <c r="Y156" s="67" t="n"/>
      <c r="Z156" s="67" t="n"/>
      <c r="AA156" s="67" t="n"/>
      <c r="AB156" s="67" t="n"/>
      <c r="AC156" s="67" t="n"/>
      <c r="AD156" s="67" t="n"/>
      <c r="AE156" s="67" t="n"/>
      <c r="AF156" s="91" t="n"/>
      <c r="AI156" s="67" t="n"/>
      <c r="AJ156" s="67" t="n"/>
      <c r="AK156" s="67" t="n"/>
      <c r="AL156" s="67" t="n"/>
      <c r="AM156" s="67" t="n"/>
      <c r="AN156" s="67" t="n"/>
      <c r="GB156" s="81" t="n"/>
    </row>
    <row r="157" ht="18" customHeight="1">
      <c r="B157" s="89" t="n"/>
      <c r="C157" s="67" t="n"/>
      <c r="D157" s="67" t="n"/>
      <c r="E157" s="67" t="n"/>
      <c r="F157" s="67" t="n"/>
      <c r="G157" s="67" t="n"/>
      <c r="H157" s="67" t="n"/>
      <c r="I157" s="67" t="n"/>
      <c r="J157" s="67" t="n"/>
      <c r="K157" s="67" t="n"/>
      <c r="L157" s="67" t="n"/>
      <c r="M157" s="67" t="n"/>
      <c r="N157" s="67" t="n"/>
      <c r="O157" s="67" t="n"/>
      <c r="P157" s="67" t="n"/>
      <c r="Q157" s="67" t="n"/>
      <c r="R157" s="67" t="n"/>
      <c r="S157" s="67" t="n"/>
      <c r="T157" s="67" t="n"/>
      <c r="U157" s="67" t="n"/>
      <c r="V157" s="67" t="n"/>
      <c r="W157" s="67" t="n"/>
      <c r="X157" s="67" t="n"/>
      <c r="Y157" s="67" t="n"/>
      <c r="Z157" s="67" t="n"/>
      <c r="AA157" s="67" t="n"/>
      <c r="AB157" s="67" t="n"/>
      <c r="AC157" s="67" t="n"/>
      <c r="AD157" s="67" t="n"/>
      <c r="AE157" s="67" t="n"/>
      <c r="AF157" s="67" t="n"/>
      <c r="AI157" s="67" t="n"/>
      <c r="AJ157" s="67" t="n"/>
      <c r="AK157" s="67" t="n"/>
      <c r="AL157" s="67" t="n"/>
      <c r="GB157" s="81" t="n"/>
    </row>
    <row r="158" ht="18" customHeight="1">
      <c r="B158" s="88" t="n"/>
      <c r="C158" s="67" t="n"/>
      <c r="D158" s="67" t="n"/>
      <c r="E158" s="67" t="n"/>
      <c r="F158" s="67" t="n"/>
      <c r="G158" s="67" t="n"/>
      <c r="H158" s="67" t="n"/>
      <c r="I158" s="67" t="n"/>
      <c r="J158" s="67" t="n"/>
      <c r="K158" s="67" t="n"/>
      <c r="L158" s="67" t="n"/>
      <c r="M158" s="67" t="n"/>
      <c r="N158" s="67" t="n"/>
      <c r="O158" s="67" t="n"/>
      <c r="P158" s="67" t="n"/>
      <c r="Q158" s="67" t="n"/>
      <c r="R158" s="67" t="n"/>
      <c r="S158" s="67" t="n"/>
      <c r="T158" s="67" t="n"/>
      <c r="U158" s="67" t="n"/>
      <c r="V158" s="67" t="n"/>
      <c r="W158" s="67" t="n"/>
      <c r="X158" s="91" t="n"/>
      <c r="Y158" s="91" t="n"/>
      <c r="Z158" s="67" t="n"/>
      <c r="AA158" s="67" t="n"/>
      <c r="AB158" s="67" t="n"/>
      <c r="AC158" s="67" t="n"/>
      <c r="AD158" s="67" t="n"/>
      <c r="AE158" s="67" t="n"/>
      <c r="AF158" s="67" t="n"/>
      <c r="GB158" s="81" t="n"/>
    </row>
    <row r="159" ht="18" customHeight="1">
      <c r="B159" s="89" t="n"/>
      <c r="C159" s="67" t="n"/>
      <c r="D159" s="67" t="n"/>
      <c r="E159" s="67" t="n"/>
      <c r="F159" s="67" t="n"/>
      <c r="G159" s="67" t="n"/>
      <c r="H159" s="67" t="n"/>
      <c r="I159" s="67" t="n"/>
      <c r="J159" s="67" t="n"/>
      <c r="K159" s="67" t="n"/>
      <c r="L159" s="67" t="n"/>
      <c r="M159" s="67" t="n"/>
      <c r="N159" s="67" t="n"/>
      <c r="O159" s="67" t="n"/>
      <c r="P159" s="67" t="n"/>
      <c r="Q159" s="67" t="n"/>
      <c r="R159" s="67" t="n"/>
      <c r="S159" s="67" t="n"/>
      <c r="T159" s="67" t="n"/>
      <c r="U159" s="67" t="n"/>
      <c r="V159" s="67" t="n"/>
      <c r="W159" s="67" t="n"/>
      <c r="X159" s="67" t="n"/>
      <c r="Y159" s="67" t="n"/>
      <c r="Z159" s="67" t="n"/>
      <c r="AA159" s="67" t="n"/>
      <c r="AB159" s="67" t="n"/>
      <c r="AC159" s="67" t="n"/>
      <c r="AD159" s="67" t="n"/>
      <c r="AE159" s="67" t="n"/>
      <c r="AF159" s="67" t="n"/>
      <c r="GB159" s="81" t="n"/>
    </row>
    <row r="160" ht="18" customHeight="1">
      <c r="B160" s="88" t="n"/>
      <c r="C160" s="67" t="n"/>
      <c r="D160" s="67" t="n"/>
      <c r="E160" s="67" t="n"/>
      <c r="F160" s="67" t="n"/>
      <c r="G160" s="67" t="n"/>
      <c r="H160" s="67" t="n"/>
      <c r="I160" s="67" t="n"/>
      <c r="J160" s="67" t="n"/>
      <c r="K160" s="67" t="n"/>
      <c r="L160" s="67" t="n"/>
      <c r="M160" s="67" t="n"/>
      <c r="N160" s="67" t="n"/>
      <c r="O160" s="67" t="n"/>
      <c r="P160" s="91" t="n"/>
      <c r="Q160" s="91" t="n"/>
      <c r="R160" s="91" t="n"/>
      <c r="S160" s="91" t="n"/>
      <c r="T160" s="67" t="n"/>
      <c r="U160" s="67" t="n"/>
      <c r="V160" s="67" t="n"/>
      <c r="W160" s="91" t="n"/>
      <c r="X160" s="67" t="n"/>
      <c r="Y160" s="67" t="n"/>
      <c r="Z160" s="91" t="n"/>
      <c r="AA160" s="67" t="n"/>
      <c r="AB160" s="67" t="n"/>
      <c r="AC160" s="67" t="n"/>
      <c r="AD160" s="67" t="n"/>
      <c r="AE160" s="91" t="n"/>
      <c r="AF160" s="67" t="n"/>
      <c r="GB160" s="81" t="n"/>
    </row>
    <row r="161" ht="18" customHeight="1">
      <c r="B161" s="89" t="n"/>
      <c r="C161" s="67" t="n"/>
      <c r="D161" s="67" t="n"/>
      <c r="E161" s="67" t="n"/>
      <c r="F161" s="67" t="n"/>
      <c r="G161" s="67" t="n"/>
      <c r="H161" s="67" t="n"/>
      <c r="I161" s="67" t="n"/>
      <c r="J161" s="67" t="n"/>
      <c r="K161" s="67" t="n"/>
      <c r="L161" s="67" t="n"/>
      <c r="M161" s="67" t="n"/>
      <c r="N161" s="67" t="n"/>
      <c r="O161" s="67" t="n"/>
      <c r="P161" s="67" t="n"/>
      <c r="Q161" s="67" t="n"/>
      <c r="R161" s="67" t="n"/>
      <c r="S161" s="67" t="n"/>
      <c r="T161" s="67" t="n"/>
      <c r="U161" s="67" t="n"/>
      <c r="V161" s="67" t="n"/>
      <c r="W161" s="67" t="n"/>
      <c r="X161" s="67" t="n"/>
      <c r="Y161" s="67" t="n"/>
      <c r="Z161" s="67" t="n"/>
      <c r="AA161" s="67" t="n"/>
      <c r="AB161" s="67" t="n"/>
      <c r="AC161" s="67" t="n"/>
      <c r="AD161" s="67" t="n"/>
      <c r="AE161" s="67" t="n"/>
      <c r="AF161" s="67" t="n"/>
      <c r="GB161" s="81" t="n"/>
    </row>
    <row r="162" ht="18" customHeight="1">
      <c r="B162" s="88" t="n"/>
      <c r="C162" s="67" t="n"/>
      <c r="D162" s="67" t="n"/>
      <c r="E162" s="67" t="n"/>
      <c r="F162" s="67" t="n"/>
      <c r="G162" s="67" t="n"/>
      <c r="H162" s="67" t="n"/>
      <c r="I162" s="67" t="n"/>
      <c r="J162" s="67" t="n"/>
      <c r="K162" s="67" t="n"/>
      <c r="L162" s="67" t="n"/>
      <c r="M162" s="67" t="n"/>
      <c r="N162" s="67" t="n"/>
      <c r="O162" s="67" t="n"/>
      <c r="P162" s="67" t="n"/>
      <c r="Q162" s="67" t="n"/>
      <c r="R162" s="67" t="n"/>
      <c r="S162" s="91" t="n"/>
      <c r="T162" s="67" t="n"/>
      <c r="U162" s="67" t="n"/>
      <c r="V162" s="67" t="n"/>
      <c r="W162" s="67" t="n"/>
      <c r="X162" s="67" t="n"/>
      <c r="Y162" s="67" t="n"/>
      <c r="Z162" s="67" t="n"/>
      <c r="AA162" s="67" t="n"/>
      <c r="AB162" s="67" t="n"/>
      <c r="AC162" s="67" t="n"/>
      <c r="AD162" s="91" t="n"/>
      <c r="AE162" s="67" t="n"/>
      <c r="AF162" s="67" t="n"/>
      <c r="GB162" s="81" t="n"/>
    </row>
    <row r="163" ht="18" customHeight="1">
      <c r="B163" s="89" t="n"/>
      <c r="C163" s="67" t="n"/>
      <c r="D163" s="67" t="n"/>
      <c r="E163" s="67" t="n"/>
      <c r="F163" s="67" t="n"/>
      <c r="G163" s="67" t="n"/>
      <c r="H163" s="67" t="n"/>
      <c r="I163" s="67" t="n"/>
      <c r="J163" s="67" t="n"/>
      <c r="K163" s="67" t="n"/>
      <c r="L163" s="67" t="n"/>
      <c r="M163" s="67" t="n"/>
      <c r="N163" s="67" t="n"/>
      <c r="O163" s="67" t="n"/>
      <c r="P163" s="67" t="n"/>
      <c r="Q163" s="67" t="n"/>
      <c r="R163" s="67" t="n"/>
      <c r="S163" s="67" t="n"/>
      <c r="T163" s="67" t="n"/>
      <c r="U163" s="67" t="n"/>
      <c r="V163" s="67" t="n"/>
      <c r="W163" s="67" t="n"/>
      <c r="X163" s="67" t="n"/>
      <c r="Y163" s="67" t="n"/>
      <c r="Z163" s="67" t="n"/>
      <c r="AA163" s="67" t="n"/>
      <c r="AB163" s="67" t="n"/>
      <c r="AC163" s="67" t="n"/>
      <c r="AD163" s="80" t="n"/>
      <c r="AE163" s="67" t="n"/>
      <c r="AF163" s="67" t="n"/>
      <c r="GB163" s="81" t="n"/>
    </row>
    <row r="164" ht="18" customHeight="1">
      <c r="B164" s="88" t="n"/>
      <c r="C164" s="67" t="n"/>
      <c r="D164" s="67" t="n"/>
      <c r="E164" s="67" t="n"/>
      <c r="F164" s="67" t="n"/>
      <c r="G164" s="67" t="n"/>
      <c r="H164" s="67" t="n"/>
      <c r="I164" s="91" t="n"/>
      <c r="J164" s="67" t="n"/>
      <c r="K164" s="67" t="n"/>
      <c r="L164" s="67" t="n"/>
      <c r="M164" s="67" t="n"/>
      <c r="N164" s="67" t="n"/>
      <c r="O164" s="67" t="n"/>
      <c r="P164" s="67" t="n"/>
      <c r="Q164" s="67" t="n"/>
      <c r="R164" s="67" t="n"/>
      <c r="S164" s="67" t="n"/>
      <c r="T164" s="67" t="n"/>
      <c r="U164" s="67" t="n"/>
      <c r="V164" s="67" t="n"/>
      <c r="W164" s="67" t="n"/>
      <c r="X164" s="67" t="n"/>
      <c r="Y164" s="67" t="n"/>
      <c r="Z164" s="67" t="n"/>
      <c r="AA164" s="67" t="n"/>
      <c r="AB164" s="67" t="n"/>
      <c r="AC164" s="67" t="n"/>
      <c r="AD164" s="91" t="n"/>
      <c r="AE164" s="67" t="n"/>
      <c r="AF164" s="67" t="n"/>
      <c r="GB164" s="81" t="n"/>
    </row>
    <row r="165" ht="18" customHeight="1">
      <c r="B165" s="89" t="n"/>
      <c r="C165" s="67" t="n"/>
      <c r="D165" s="67" t="n"/>
      <c r="E165" s="67" t="n"/>
      <c r="F165" s="67" t="n"/>
      <c r="G165" s="67" t="n"/>
      <c r="H165" s="67" t="n"/>
      <c r="I165" s="67" t="n"/>
      <c r="J165" s="67" t="n"/>
      <c r="K165" s="67" t="n"/>
      <c r="L165" s="67" t="n"/>
      <c r="M165" s="67" t="n"/>
      <c r="N165" s="67" t="n"/>
      <c r="O165" s="67" t="n"/>
      <c r="P165" s="67" t="n"/>
      <c r="Q165" s="67" t="n"/>
      <c r="R165" s="67" t="n"/>
      <c r="S165" s="67" t="n"/>
      <c r="T165" s="67" t="n"/>
      <c r="U165" s="67" t="n"/>
      <c r="V165" s="67" t="n"/>
      <c r="W165" s="67" t="n"/>
      <c r="X165" s="67" t="n"/>
      <c r="Y165" s="67" t="n"/>
      <c r="Z165" s="67" t="n"/>
      <c r="AA165" s="67" t="n"/>
      <c r="AB165" s="67" t="n"/>
      <c r="AC165" s="67" t="n"/>
      <c r="AD165" s="91" t="n"/>
      <c r="AE165" s="67" t="n"/>
      <c r="AF165" s="67" t="n"/>
      <c r="GB165" s="81" t="n"/>
    </row>
    <row r="166" ht="18" customHeight="1">
      <c r="B166" s="88" t="n"/>
      <c r="C166" s="67" t="n"/>
      <c r="D166" s="67" t="n"/>
      <c r="E166" s="67" t="n"/>
      <c r="F166" s="67" t="n"/>
      <c r="G166" s="67" t="n"/>
      <c r="H166" s="67" t="n"/>
      <c r="I166" s="67" t="n"/>
      <c r="J166" s="67" t="n"/>
      <c r="K166" s="67" t="n"/>
      <c r="L166" s="67" t="n"/>
      <c r="M166" s="67" t="n"/>
      <c r="N166" s="67" t="n"/>
      <c r="O166" s="67" t="n"/>
      <c r="P166" s="67" t="n"/>
      <c r="Q166" s="67" t="n"/>
      <c r="R166" s="67" t="n"/>
      <c r="S166" s="67" t="n"/>
      <c r="T166" s="67" t="n"/>
      <c r="U166" s="67" t="n"/>
      <c r="V166" s="67" t="n"/>
      <c r="W166" s="67" t="n"/>
      <c r="X166" s="67" t="n"/>
      <c r="Y166" s="67" t="n"/>
      <c r="Z166" s="67" t="n"/>
      <c r="AA166" s="67" t="n"/>
      <c r="AB166" s="67" t="n"/>
      <c r="AC166" s="67" t="n"/>
      <c r="AD166" s="67" t="n"/>
      <c r="AE166" s="67" t="n"/>
      <c r="AF166" s="67" t="n"/>
      <c r="GB166" s="81" t="n"/>
    </row>
    <row r="167" ht="18" customHeight="1">
      <c r="B167" s="89" t="n"/>
      <c r="C167" s="67" t="n"/>
      <c r="D167" s="67" t="n"/>
      <c r="E167" s="67" t="n"/>
      <c r="F167" s="67" t="n"/>
      <c r="G167" s="67" t="n"/>
      <c r="H167" s="67" t="n"/>
      <c r="I167" s="67" t="n"/>
      <c r="J167" s="67" t="n"/>
      <c r="K167" s="67" t="n"/>
      <c r="L167" s="67" t="n"/>
      <c r="M167" s="67" t="n"/>
      <c r="N167" s="67" t="n"/>
      <c r="O167" s="67" t="n"/>
      <c r="P167" s="67" t="n"/>
      <c r="Q167" s="67" t="n"/>
      <c r="R167" s="67" t="n"/>
      <c r="S167" s="67" t="n"/>
      <c r="T167" s="67" t="n"/>
      <c r="U167" s="67" t="n"/>
      <c r="V167" s="67" t="n"/>
      <c r="W167" s="67" t="n"/>
      <c r="X167" s="67" t="n"/>
      <c r="Y167" s="67" t="n"/>
      <c r="Z167" s="67" t="n"/>
      <c r="AA167" s="67" t="n"/>
      <c r="AB167" s="67" t="n"/>
      <c r="AC167" s="67" t="n"/>
      <c r="AD167" s="67" t="n"/>
      <c r="AE167" s="67" t="n"/>
      <c r="AF167" s="67" t="n"/>
      <c r="GB167" s="81" t="n"/>
    </row>
    <row r="168" ht="18" customHeight="1">
      <c r="B168" s="88" t="n"/>
      <c r="C168" s="67" t="n"/>
      <c r="D168" s="67" t="n"/>
      <c r="E168" s="67" t="n"/>
      <c r="F168" s="67" t="n"/>
      <c r="G168" s="67" t="n"/>
      <c r="H168" s="67" t="n"/>
      <c r="I168" s="67" t="n"/>
      <c r="J168" s="67" t="n"/>
      <c r="K168" s="67" t="n"/>
      <c r="L168" s="67" t="n"/>
      <c r="M168" s="67" t="n"/>
      <c r="N168" s="67" t="n"/>
      <c r="O168" s="67" t="n"/>
      <c r="P168" s="67" t="n"/>
      <c r="Q168" s="67" t="n"/>
      <c r="R168" s="67" t="n"/>
      <c r="S168" s="67" t="n"/>
      <c r="T168" s="67" t="n"/>
      <c r="U168" s="67" t="n"/>
      <c r="V168" s="67" t="n"/>
      <c r="W168" s="67" t="n"/>
      <c r="X168" s="67" t="n"/>
      <c r="Y168" s="67" t="n"/>
      <c r="Z168" s="67" t="n"/>
      <c r="AA168" s="67" t="n"/>
      <c r="AB168" s="67" t="n"/>
      <c r="AC168" s="67" t="n"/>
      <c r="AD168" s="67" t="n"/>
      <c r="AE168" s="67" t="n"/>
      <c r="AF168" s="67" t="n"/>
      <c r="AH168" s="67" t="n"/>
      <c r="AI168" s="67" t="n"/>
      <c r="AJ168" s="67" t="n"/>
      <c r="AK168" s="67" t="n"/>
      <c r="AL168" s="67" t="n"/>
      <c r="AM168" s="67" t="n"/>
      <c r="AN168" s="67" t="n"/>
      <c r="AO168" s="67" t="n"/>
      <c r="AP168" s="82" t="n"/>
      <c r="AQ168" s="67" t="n"/>
      <c r="AR168" s="67" t="n"/>
      <c r="GB168" s="81" t="n"/>
    </row>
    <row r="169" ht="18" customHeight="1">
      <c r="B169" s="89" t="n"/>
      <c r="C169" s="67" t="n"/>
      <c r="D169" s="67" t="n"/>
      <c r="E169" s="67" t="n"/>
      <c r="F169" s="67" t="n"/>
      <c r="G169" s="67" t="n"/>
      <c r="H169" s="67" t="n"/>
      <c r="I169" s="67" t="n"/>
      <c r="J169" s="67" t="n"/>
      <c r="K169" s="67" t="n"/>
      <c r="L169" s="67" t="n"/>
      <c r="M169" s="67" t="n"/>
      <c r="N169" s="67" t="n"/>
      <c r="O169" s="67" t="n"/>
      <c r="P169" s="67" t="n"/>
      <c r="Q169" s="67" t="n"/>
      <c r="R169" s="67" t="n"/>
      <c r="S169" s="67" t="n"/>
      <c r="T169" s="67" t="n"/>
      <c r="U169" s="67" t="n"/>
      <c r="V169" s="67" t="n"/>
      <c r="W169" s="67" t="n"/>
      <c r="X169" s="67" t="n"/>
      <c r="Y169" s="67" t="n"/>
      <c r="Z169" s="67" t="n"/>
      <c r="AA169" s="67" t="n"/>
      <c r="AB169" s="67" t="n"/>
      <c r="AC169" s="67" t="n"/>
      <c r="AD169" s="67" t="n"/>
      <c r="AE169" s="67" t="n"/>
      <c r="AF169" s="67" t="n"/>
      <c r="AH169" s="67" t="n"/>
      <c r="AI169" s="67" t="n"/>
      <c r="AJ169" s="67" t="n"/>
      <c r="AK169" s="67" t="n"/>
      <c r="AL169" s="67" t="n"/>
      <c r="AM169" s="67" t="n"/>
      <c r="AN169" s="67" t="n"/>
      <c r="AO169" s="67" t="n"/>
      <c r="AP169" s="67" t="n"/>
      <c r="AQ169" s="67" t="n"/>
      <c r="AR169" s="67" t="n"/>
      <c r="GB169" s="81" t="n"/>
    </row>
    <row r="170" ht="18" customHeight="1">
      <c r="B170" s="88" t="n"/>
      <c r="C170" s="67" t="n"/>
      <c r="D170" s="67" t="n"/>
      <c r="E170" s="67" t="n"/>
      <c r="F170" s="67" t="n"/>
      <c r="G170" s="67" t="n"/>
      <c r="H170" s="67" t="n"/>
      <c r="I170" s="67" t="n"/>
      <c r="J170" s="67" t="n"/>
      <c r="K170" s="67" t="n"/>
      <c r="L170" s="67" t="n"/>
      <c r="M170" s="67" t="n"/>
      <c r="N170" s="67" t="n"/>
      <c r="O170" s="67" t="n"/>
      <c r="P170" s="67" t="n"/>
      <c r="Q170" s="67" t="n"/>
      <c r="R170" s="67" t="n"/>
      <c r="S170" s="67" t="n"/>
      <c r="T170" s="67" t="n"/>
      <c r="U170" s="67" t="n"/>
      <c r="V170" s="67" t="n"/>
      <c r="W170" s="67" t="n"/>
      <c r="X170" s="67" t="n"/>
      <c r="Y170" s="67" t="n"/>
      <c r="Z170" s="67" t="n"/>
      <c r="AA170" s="67" t="n"/>
      <c r="AB170" s="67" t="n"/>
      <c r="AC170" s="67" t="n"/>
      <c r="AD170" s="67" t="n"/>
      <c r="AE170" s="67" t="n"/>
      <c r="AF170" s="67" t="n"/>
      <c r="GB170" s="81" t="n"/>
    </row>
    <row r="171" ht="18" customHeight="1">
      <c r="B171" s="89" t="n"/>
      <c r="C171" s="67" t="n"/>
      <c r="D171" s="67" t="n"/>
      <c r="E171" s="67" t="n"/>
      <c r="F171" s="67" t="n"/>
      <c r="G171" s="67" t="n"/>
      <c r="H171" s="67" t="n"/>
      <c r="I171" s="67" t="n"/>
      <c r="J171" s="67" t="n"/>
      <c r="K171" s="67" t="n"/>
      <c r="L171" s="67" t="n"/>
      <c r="M171" s="67" t="n"/>
      <c r="N171" s="67" t="n"/>
      <c r="O171" s="67" t="n"/>
      <c r="P171" s="67" t="n"/>
      <c r="Q171" s="67" t="n"/>
      <c r="R171" s="67" t="n"/>
      <c r="S171" s="67" t="n"/>
      <c r="T171" s="67" t="n"/>
      <c r="U171" s="67" t="n"/>
      <c r="V171" s="67" t="n"/>
      <c r="W171" s="67" t="n"/>
      <c r="X171" s="67" t="n"/>
      <c r="Y171" s="67" t="n"/>
      <c r="Z171" s="67" t="n"/>
      <c r="AA171" s="67" t="n"/>
      <c r="AB171" s="67" t="n"/>
      <c r="AC171" s="67" t="n"/>
      <c r="AD171" s="67" t="n"/>
      <c r="AE171" s="67" t="n"/>
      <c r="AF171" s="67" t="n"/>
      <c r="GB171" s="81" t="n"/>
    </row>
    <row r="172" ht="18" customHeight="1">
      <c r="GB172" s="81" t="n"/>
    </row>
    <row r="173" ht="18" customHeight="1">
      <c r="B173" s="88" t="n"/>
      <c r="C173" s="104" t="n"/>
      <c r="D173" s="104" t="n"/>
      <c r="E173" s="104" t="n"/>
      <c r="F173" s="104" t="n"/>
      <c r="G173" s="104" t="n"/>
      <c r="H173" s="104" t="n"/>
      <c r="I173" s="104" t="n"/>
      <c r="J173" s="104" t="n"/>
      <c r="K173" s="104" t="n"/>
      <c r="L173" s="104" t="n"/>
      <c r="M173" s="104" t="n"/>
      <c r="N173" s="104" t="n"/>
      <c r="O173" s="104" t="n"/>
      <c r="P173" s="104" t="n"/>
      <c r="Q173" s="104" t="n"/>
      <c r="R173" s="104" t="n"/>
      <c r="S173" s="104" t="n"/>
      <c r="T173" s="104" t="n"/>
      <c r="U173" s="104" t="n"/>
      <c r="V173" s="104" t="n"/>
      <c r="W173" s="104" t="n"/>
      <c r="X173" s="104" t="n"/>
      <c r="Y173" s="104" t="n"/>
      <c r="Z173" s="104" t="n"/>
      <c r="AA173" s="104" t="n"/>
      <c r="AB173" s="104" t="n"/>
      <c r="AC173" s="104" t="n"/>
      <c r="AD173" s="104" t="n"/>
      <c r="AE173" s="104" t="n"/>
      <c r="AF173" s="104" t="n"/>
      <c r="AG173" s="104" t="n"/>
      <c r="GB173" s="81" t="n"/>
    </row>
    <row r="174" ht="18" customHeight="1">
      <c r="B174" s="88" t="n"/>
      <c r="C174" s="104" t="n"/>
      <c r="D174" s="104" t="n"/>
      <c r="E174" s="104" t="n"/>
      <c r="F174" s="104" t="n"/>
      <c r="G174" s="104" t="n"/>
      <c r="H174" s="104" t="n"/>
      <c r="I174" s="104" t="n"/>
      <c r="J174" s="104" t="n"/>
      <c r="K174" s="104" t="n"/>
      <c r="L174" s="104" t="n"/>
      <c r="M174" s="104" t="n"/>
      <c r="N174" s="104" t="n"/>
      <c r="O174" s="104" t="n"/>
      <c r="P174" s="104" t="n"/>
      <c r="Q174" s="104" t="n"/>
      <c r="R174" s="104" t="n"/>
      <c r="S174" s="104" t="n"/>
      <c r="T174" s="104" t="n"/>
      <c r="U174" s="104" t="n"/>
      <c r="V174" s="104" t="n"/>
      <c r="W174" s="104" t="n"/>
      <c r="X174" s="104" t="n"/>
      <c r="Y174" s="104" t="n"/>
      <c r="Z174" s="104" t="n"/>
      <c r="AA174" s="104" t="n"/>
      <c r="AB174" s="104" t="n"/>
      <c r="AC174" s="104" t="n"/>
      <c r="AD174" s="104" t="n"/>
      <c r="AE174" s="104" t="n"/>
      <c r="AF174" s="104" t="n"/>
      <c r="AG174" s="104" t="n"/>
      <c r="GB174" s="81" t="n"/>
    </row>
    <row r="175" ht="18" customHeight="1">
      <c r="B175" s="88" t="n"/>
      <c r="C175" s="91" t="n"/>
      <c r="D175" s="67" t="n"/>
      <c r="E175" s="67" t="n"/>
      <c r="F175" s="67" t="n"/>
      <c r="G175" s="67" t="n"/>
      <c r="H175" s="67" t="n"/>
      <c r="I175" s="67" t="n"/>
      <c r="J175" s="67" t="n"/>
      <c r="K175" s="67" t="n"/>
      <c r="L175" s="67" t="n"/>
      <c r="M175" s="67" t="n"/>
      <c r="N175" s="67" t="n"/>
      <c r="O175" s="105" t="n"/>
      <c r="P175" s="105" t="n"/>
      <c r="Q175" s="105" t="n"/>
      <c r="R175" s="67" t="n"/>
      <c r="S175" s="67" t="n"/>
      <c r="T175" s="67" t="n"/>
      <c r="U175" s="105" t="n"/>
      <c r="V175" s="105" t="n"/>
      <c r="W175" s="105" t="n"/>
      <c r="X175" s="82" t="n"/>
      <c r="Y175" s="67" t="n"/>
      <c r="Z175" s="67" t="n"/>
      <c r="AA175" s="67" t="n"/>
      <c r="AB175" s="91" t="n"/>
      <c r="AC175" s="91" t="n"/>
      <c r="AD175" s="91" t="n"/>
      <c r="AE175" s="91" t="n"/>
      <c r="AF175" s="67" t="n"/>
      <c r="AG175" s="67" t="n"/>
      <c r="AH175" s="106" t="n"/>
      <c r="GB175" s="81" t="n"/>
    </row>
    <row r="176" ht="18" customHeight="1">
      <c r="B176" s="89" t="n"/>
      <c r="C176" s="67" t="n"/>
      <c r="D176" s="67" t="n"/>
      <c r="E176" s="67" t="n"/>
      <c r="F176" s="67" t="n"/>
      <c r="G176" s="67" t="n"/>
      <c r="H176" s="67" t="n"/>
      <c r="I176" s="67" t="n"/>
      <c r="J176" s="67" t="n"/>
      <c r="K176" s="67" t="n"/>
      <c r="L176" s="67" t="n"/>
      <c r="M176" s="67" t="n"/>
      <c r="N176" s="67" t="n"/>
      <c r="O176" s="82" t="n"/>
      <c r="P176" s="82" t="n"/>
      <c r="Q176" s="82" t="n"/>
      <c r="R176" s="67" t="n"/>
      <c r="S176" s="67" t="n"/>
      <c r="T176" s="67" t="n"/>
      <c r="U176" s="67" t="n"/>
      <c r="V176" s="105" t="n"/>
      <c r="W176" s="82" t="n"/>
      <c r="X176" s="107" t="n"/>
      <c r="Y176" s="67" t="n"/>
      <c r="Z176" s="67" t="n"/>
      <c r="AA176" s="67" t="n"/>
      <c r="AB176" s="67" t="n"/>
      <c r="AC176" s="67" t="n"/>
      <c r="AD176" s="67" t="n"/>
      <c r="AE176" s="67" t="n"/>
      <c r="AF176" s="67" t="n"/>
      <c r="AG176" s="67" t="n"/>
      <c r="GB176" s="81" t="n"/>
    </row>
    <row r="177" ht="18" customHeight="1">
      <c r="B177" s="88" t="n"/>
      <c r="C177" s="67" t="n"/>
      <c r="D177" s="67" t="n"/>
      <c r="E177" s="67" t="n"/>
      <c r="F177" s="67" t="n"/>
      <c r="G177" s="91" t="n"/>
      <c r="H177" s="91" t="n"/>
      <c r="I177" s="91" t="n"/>
      <c r="J177" s="91" t="n"/>
      <c r="K177" s="67" t="n"/>
      <c r="L177" s="67" t="n"/>
      <c r="M177" s="67" t="n"/>
      <c r="N177" s="67" t="n"/>
      <c r="O177" s="91" t="n"/>
      <c r="P177" s="91" t="n"/>
      <c r="Q177" s="67" t="n"/>
      <c r="R177" s="67" t="n"/>
      <c r="S177" s="67" t="n"/>
      <c r="T177" s="67" t="n"/>
      <c r="U177" s="67" t="n"/>
      <c r="V177" s="91" t="n"/>
      <c r="W177" s="91" t="n"/>
      <c r="X177" s="91" t="n"/>
      <c r="Y177" s="67" t="n"/>
      <c r="Z177" s="67" t="n"/>
      <c r="AA177" s="67" t="n"/>
      <c r="AB177" s="67" t="n"/>
      <c r="AC177" s="67" t="n"/>
      <c r="AD177" s="67" t="n"/>
      <c r="AE177" s="103" t="n"/>
      <c r="AF177" s="67" t="n"/>
      <c r="AG177" s="67" t="n"/>
      <c r="GB177" s="81" t="n"/>
    </row>
    <row r="178" ht="18" customHeight="1">
      <c r="B178" s="89" t="n"/>
      <c r="C178" s="67" t="n"/>
      <c r="D178" s="67" t="n"/>
      <c r="E178" s="67" t="n"/>
      <c r="F178" s="67" t="n"/>
      <c r="G178" s="67" t="n"/>
      <c r="H178" s="67" t="n"/>
      <c r="I178" s="67" t="n"/>
      <c r="J178" s="67" t="n"/>
      <c r="K178" s="67" t="n"/>
      <c r="L178" s="67" t="n"/>
      <c r="M178" s="67" t="n"/>
      <c r="N178" s="67" t="n"/>
      <c r="O178" s="67" t="n"/>
      <c r="P178" s="67" t="n"/>
      <c r="Q178" s="67" t="n"/>
      <c r="R178" s="67" t="n"/>
      <c r="S178" s="67" t="n"/>
      <c r="T178" s="67" t="n"/>
      <c r="U178" s="67" t="n"/>
      <c r="V178" s="67" t="n"/>
      <c r="W178" s="67" t="n"/>
      <c r="X178" s="67" t="n"/>
      <c r="Y178" s="67" t="n"/>
      <c r="Z178" s="67" t="n"/>
      <c r="AA178" s="67" t="n"/>
      <c r="AB178" s="67" t="n"/>
      <c r="AC178" s="67" t="n"/>
      <c r="AD178" s="67" t="n"/>
      <c r="AE178" s="103" t="n"/>
      <c r="AF178" s="67" t="n"/>
      <c r="AG178" s="67" t="n"/>
      <c r="GB178" s="81" t="n"/>
    </row>
    <row r="179" ht="18" customHeight="1">
      <c r="B179" s="88" t="n"/>
      <c r="C179" s="67" t="n"/>
      <c r="D179" s="67" t="n"/>
      <c r="E179" s="67" t="n"/>
      <c r="F179" s="67" t="n"/>
      <c r="G179" s="91" t="n"/>
      <c r="H179" s="91" t="n"/>
      <c r="I179" s="91" t="n"/>
      <c r="J179" s="91" t="n"/>
      <c r="K179" s="67" t="n"/>
      <c r="L179" s="67" t="n"/>
      <c r="M179" s="67" t="n"/>
      <c r="N179" s="67" t="n"/>
      <c r="O179" s="67" t="n"/>
      <c r="P179" s="67" t="n"/>
      <c r="Q179" s="103" t="n"/>
      <c r="R179" s="67" t="n"/>
      <c r="S179" s="67" t="n"/>
      <c r="T179" s="67" t="n"/>
      <c r="U179" s="91" t="n"/>
      <c r="V179" s="91" t="n"/>
      <c r="W179" s="67" t="n"/>
      <c r="X179" s="67" t="n"/>
      <c r="Y179" s="67" t="n"/>
      <c r="Z179" s="67" t="n"/>
      <c r="AA179" s="67" t="n"/>
      <c r="AB179" s="67" t="n"/>
      <c r="AC179" s="67" t="n"/>
      <c r="AD179" s="67" t="n"/>
      <c r="AE179" s="67" t="n"/>
      <c r="AF179" s="67" t="n"/>
      <c r="AG179" s="67" t="n"/>
      <c r="GB179" s="81" t="n"/>
    </row>
    <row r="180" ht="18" customHeight="1">
      <c r="B180" s="89" t="n"/>
      <c r="C180" s="67" t="n"/>
      <c r="D180" s="67" t="n"/>
      <c r="E180" s="67" t="n"/>
      <c r="F180" s="67" t="n"/>
      <c r="G180" s="67" t="n"/>
      <c r="H180" s="67" t="n"/>
      <c r="I180" s="67" t="n"/>
      <c r="J180" s="67" t="n"/>
      <c r="K180" s="67" t="n"/>
      <c r="L180" s="67" t="n"/>
      <c r="M180" s="67" t="n"/>
      <c r="N180" s="67" t="n"/>
      <c r="O180" s="67" t="n"/>
      <c r="P180" s="67" t="n"/>
      <c r="Q180" s="103" t="n"/>
      <c r="R180" s="67" t="n"/>
      <c r="S180" s="67" t="n"/>
      <c r="T180" s="67" t="n"/>
      <c r="U180" s="67" t="n"/>
      <c r="V180" s="67" t="n"/>
      <c r="W180" s="67" t="n"/>
      <c r="X180" s="67" t="n"/>
      <c r="Y180" s="67" t="n"/>
      <c r="Z180" s="67" t="n"/>
      <c r="AA180" s="67" t="n"/>
      <c r="AB180" s="67" t="n"/>
      <c r="AC180" s="67" t="n"/>
      <c r="AD180" s="67" t="n"/>
      <c r="AE180" s="67" t="n"/>
      <c r="AF180" s="67" t="n"/>
      <c r="AG180" s="67" t="n"/>
      <c r="GB180" s="81" t="n"/>
    </row>
    <row r="181" ht="18" customHeight="1">
      <c r="B181" s="88" t="n"/>
      <c r="C181" s="67" t="n"/>
      <c r="D181" s="67" t="n"/>
      <c r="E181" s="67" t="n"/>
      <c r="F181" s="67" t="n"/>
      <c r="G181" s="67" t="n"/>
      <c r="H181" s="67" t="n"/>
      <c r="I181" s="67" t="n"/>
      <c r="J181" s="103" t="n"/>
      <c r="K181" s="67" t="n"/>
      <c r="L181" s="67" t="n"/>
      <c r="M181" s="67" t="n"/>
      <c r="N181" s="67" t="n"/>
      <c r="O181" s="67" t="n"/>
      <c r="P181" s="67" t="n"/>
      <c r="Q181" s="91" t="n"/>
      <c r="R181" s="67" t="n"/>
      <c r="S181" s="67" t="n"/>
      <c r="T181" s="67" t="n"/>
      <c r="U181" s="67" t="n"/>
      <c r="V181" s="67" t="n"/>
      <c r="W181" s="67" t="n"/>
      <c r="X181" s="103" t="n"/>
      <c r="Y181" s="67" t="n"/>
      <c r="Z181" s="67" t="n"/>
      <c r="AA181" s="67" t="n"/>
      <c r="AB181" s="67" t="n"/>
      <c r="AC181" s="67" t="n"/>
      <c r="AD181" s="67" t="n"/>
      <c r="AE181" s="67" t="n"/>
      <c r="AF181" s="67" t="n"/>
      <c r="AG181" s="67" t="n"/>
      <c r="GB181" s="81" t="n"/>
    </row>
    <row r="182" ht="18" customHeight="1">
      <c r="B182" s="89" t="n"/>
      <c r="C182" s="67" t="n"/>
      <c r="D182" s="67" t="n"/>
      <c r="E182" s="67" t="n"/>
      <c r="F182" s="67" t="n"/>
      <c r="G182" s="67" t="n"/>
      <c r="H182" s="67" t="n"/>
      <c r="I182" s="67" t="n"/>
      <c r="J182" s="103" t="n"/>
      <c r="K182" s="67" t="n"/>
      <c r="L182" s="67" t="n"/>
      <c r="M182" s="67" t="n"/>
      <c r="N182" s="67" t="n"/>
      <c r="O182" s="67" t="n"/>
      <c r="P182" s="67" t="n"/>
      <c r="Q182" s="67" t="n"/>
      <c r="R182" s="67" t="n"/>
      <c r="S182" s="67" t="n"/>
      <c r="T182" s="67" t="n"/>
      <c r="U182" s="67" t="n"/>
      <c r="V182" s="67" t="n"/>
      <c r="W182" s="67" t="n"/>
      <c r="X182" s="103" t="n"/>
      <c r="Y182" s="67" t="n"/>
      <c r="Z182" s="67" t="n"/>
      <c r="AA182" s="67" t="n"/>
      <c r="AB182" s="67" t="n"/>
      <c r="AC182" s="67" t="n"/>
      <c r="AD182" s="67" t="n"/>
      <c r="AE182" s="67" t="n"/>
      <c r="AF182" s="67" t="n"/>
      <c r="AG182" s="67" t="n"/>
      <c r="GB182" s="81" t="n"/>
    </row>
    <row r="183" ht="18" customHeight="1">
      <c r="B183" s="88" t="n"/>
      <c r="C183" s="67" t="n"/>
      <c r="D183" s="67" t="n"/>
      <c r="E183" s="67" t="n"/>
      <c r="F183" s="67" t="n"/>
      <c r="G183" s="67" t="n"/>
      <c r="H183" s="67" t="n"/>
      <c r="I183" s="67" t="n"/>
      <c r="J183" s="67" t="n"/>
      <c r="K183" s="67" t="n"/>
      <c r="L183" s="67" t="n"/>
      <c r="M183" s="67" t="n"/>
      <c r="N183" s="91" t="n"/>
      <c r="O183" s="67" t="n"/>
      <c r="P183" s="67" t="n"/>
      <c r="Q183" s="67" t="n"/>
      <c r="R183" s="67" t="n"/>
      <c r="S183" s="67" t="n"/>
      <c r="T183" s="67" t="n"/>
      <c r="U183" s="67" t="n"/>
      <c r="V183" s="67" t="n"/>
      <c r="W183" s="67" t="n"/>
      <c r="X183" s="67" t="n"/>
      <c r="Y183" s="67" t="n"/>
      <c r="Z183" s="67" t="n"/>
      <c r="AA183" s="67" t="n"/>
      <c r="AB183" s="105" t="n"/>
      <c r="AC183" s="105" t="n"/>
      <c r="AD183" s="105" t="n"/>
      <c r="AE183" s="105" t="n"/>
      <c r="AF183" s="67" t="n"/>
      <c r="AG183" s="67" t="n"/>
      <c r="GB183" s="81" t="n"/>
    </row>
    <row r="184" ht="18" customHeight="1">
      <c r="B184" s="89" t="n"/>
      <c r="C184" s="67" t="n"/>
      <c r="D184" s="67" t="n"/>
      <c r="E184" s="67" t="n"/>
      <c r="F184" s="67" t="n"/>
      <c r="G184" s="67" t="n"/>
      <c r="H184" s="67" t="n"/>
      <c r="I184" s="67" t="n"/>
      <c r="J184" s="67" t="n"/>
      <c r="K184" s="67" t="n"/>
      <c r="L184" s="67" t="n"/>
      <c r="M184" s="67" t="n"/>
      <c r="N184" s="108" t="n"/>
      <c r="O184" s="67" t="n"/>
      <c r="P184" s="67" t="n"/>
      <c r="Q184" s="67" t="n"/>
      <c r="R184" s="67" t="n"/>
      <c r="S184" s="67" t="n"/>
      <c r="T184" s="67" t="n"/>
      <c r="U184" s="67" t="n"/>
      <c r="V184" s="67" t="n"/>
      <c r="W184" s="67" t="n"/>
      <c r="X184" s="67" t="n"/>
      <c r="Y184" s="67" t="n"/>
      <c r="Z184" s="67" t="n"/>
      <c r="AA184" s="67" t="n"/>
      <c r="AB184" s="67" t="n"/>
      <c r="AC184" s="67" t="n"/>
      <c r="AD184" s="67" t="n"/>
      <c r="AE184" s="67" t="n"/>
      <c r="AF184" s="67" t="n"/>
      <c r="AG184" s="67" t="n"/>
      <c r="GB184" s="81" t="n"/>
    </row>
    <row r="185" ht="18" customHeight="1">
      <c r="B185" s="88" t="n"/>
      <c r="C185" s="67" t="n"/>
      <c r="D185" s="67" t="n"/>
      <c r="E185" s="67" t="n"/>
      <c r="F185" s="67" t="n"/>
      <c r="G185" s="67" t="n"/>
      <c r="H185" s="67" t="n"/>
      <c r="I185" s="67" t="n"/>
      <c r="J185" s="67" t="n"/>
      <c r="K185" s="67" t="n"/>
      <c r="L185" s="67" t="n"/>
      <c r="M185" s="67" t="n"/>
      <c r="N185" s="67" t="n"/>
      <c r="O185" s="67" t="n"/>
      <c r="P185" s="67" t="n"/>
      <c r="Q185" s="67" t="n"/>
      <c r="R185" s="67" t="n"/>
      <c r="S185" s="67" t="n"/>
      <c r="T185" s="67" t="n"/>
      <c r="U185" s="67" t="n"/>
      <c r="V185" s="67" t="n"/>
      <c r="W185" s="67" t="n"/>
      <c r="X185" s="67" t="n"/>
      <c r="Y185" s="67" t="n"/>
      <c r="Z185" s="67" t="n"/>
      <c r="AA185" s="67" t="n"/>
      <c r="AB185" s="67" t="n"/>
      <c r="AC185" s="67" t="n"/>
      <c r="AD185" s="67" t="n"/>
      <c r="AE185" s="67" t="n"/>
      <c r="AF185" s="67" t="n"/>
      <c r="AG185" s="67" t="n"/>
      <c r="GB185" s="81" t="n"/>
    </row>
    <row r="186" ht="18" customHeight="1">
      <c r="B186" s="89" t="n"/>
      <c r="C186" s="67" t="n"/>
      <c r="D186" s="67" t="n"/>
      <c r="E186" s="67" t="n"/>
      <c r="F186" s="67" t="n"/>
      <c r="G186" s="67" t="n"/>
      <c r="H186" s="67" t="n"/>
      <c r="I186" s="67" t="n"/>
      <c r="J186" s="67" t="n"/>
      <c r="K186" s="67" t="n"/>
      <c r="L186" s="67" t="n"/>
      <c r="M186" s="67" t="n"/>
      <c r="N186" s="67" t="n"/>
      <c r="O186" s="67" t="n"/>
      <c r="P186" s="67" t="n"/>
      <c r="Q186" s="67" t="n"/>
      <c r="R186" s="67" t="n"/>
      <c r="S186" s="67" t="n"/>
      <c r="T186" s="67" t="n"/>
      <c r="U186" s="67" t="n"/>
      <c r="V186" s="67" t="n"/>
      <c r="W186" s="67" t="n"/>
      <c r="X186" s="67" t="n"/>
      <c r="Y186" s="67" t="n"/>
      <c r="Z186" s="67" t="n"/>
      <c r="AA186" s="67" t="n"/>
      <c r="AB186" s="67" t="n"/>
      <c r="AC186" s="67" t="n"/>
      <c r="AD186" s="67" t="n"/>
      <c r="AE186" s="67" t="n"/>
      <c r="AF186" s="67" t="n"/>
      <c r="AG186" s="67" t="n"/>
      <c r="GB186" s="81" t="n"/>
    </row>
    <row r="187" ht="18" customHeight="1">
      <c r="B187" s="88" t="n"/>
      <c r="C187" s="67" t="n"/>
      <c r="D187" s="67" t="n"/>
      <c r="E187" s="67" t="n"/>
      <c r="F187" s="67" t="n"/>
      <c r="G187" s="67" t="n"/>
      <c r="H187" s="67" t="n"/>
      <c r="I187" s="67" t="n"/>
      <c r="J187" s="67" t="n"/>
      <c r="K187" s="67" t="n"/>
      <c r="L187" s="67" t="n"/>
      <c r="M187" s="67" t="n"/>
      <c r="N187" s="67" t="n"/>
      <c r="O187" s="91" t="n"/>
      <c r="P187" s="91" t="n"/>
      <c r="Q187" s="91" t="n"/>
      <c r="R187" s="67" t="n"/>
      <c r="S187" s="67" t="n"/>
      <c r="T187" s="67" t="n"/>
      <c r="U187" s="91" t="n"/>
      <c r="V187" s="91" t="n"/>
      <c r="W187" s="91" t="n"/>
      <c r="X187" s="67" t="n"/>
      <c r="Y187" s="67" t="n"/>
      <c r="Z187" s="67" t="n"/>
      <c r="AA187" s="67" t="n"/>
      <c r="AB187" s="67" t="n"/>
      <c r="AC187" s="67" t="n"/>
      <c r="AD187" s="67" t="n"/>
      <c r="AE187" s="67" t="n"/>
      <c r="AF187" s="67" t="n"/>
      <c r="AG187" s="67" t="n"/>
      <c r="GB187" s="81" t="n"/>
    </row>
    <row r="188" ht="18" customHeight="1">
      <c r="B188" s="89" t="n"/>
      <c r="C188" s="67" t="n"/>
      <c r="D188" s="67" t="n"/>
      <c r="E188" s="67" t="n"/>
      <c r="F188" s="67" t="n"/>
      <c r="G188" s="67" t="n"/>
      <c r="H188" s="67" t="n"/>
      <c r="I188" s="67" t="n"/>
      <c r="J188" s="67" t="n"/>
      <c r="K188" s="67" t="n"/>
      <c r="L188" s="67" t="n"/>
      <c r="M188" s="67" t="n"/>
      <c r="N188" s="67" t="n"/>
      <c r="O188" s="67" t="n"/>
      <c r="P188" s="67" t="n"/>
      <c r="Q188" s="67" t="n"/>
      <c r="R188" s="67" t="n"/>
      <c r="S188" s="67" t="n"/>
      <c r="T188" s="67" t="n"/>
      <c r="U188" s="67" t="n"/>
      <c r="V188" s="67" t="n"/>
      <c r="W188" s="67" t="n"/>
      <c r="X188" s="67" t="n"/>
      <c r="Y188" s="67" t="n"/>
      <c r="Z188" s="67" t="n"/>
      <c r="AA188" s="67" t="n"/>
      <c r="AB188" s="67" t="n"/>
      <c r="AC188" s="67" t="n"/>
      <c r="AD188" s="67" t="n"/>
      <c r="AE188" s="67" t="n"/>
      <c r="AF188" s="67" t="n"/>
      <c r="AG188" s="67" t="n"/>
      <c r="GB188" s="81" t="n"/>
    </row>
    <row r="189" ht="18" customHeight="1">
      <c r="B189" s="88" t="n"/>
      <c r="C189" s="67" t="n"/>
      <c r="D189" s="67" t="n"/>
      <c r="E189" s="67" t="n"/>
      <c r="F189" s="67" t="n"/>
      <c r="G189" s="67" t="n"/>
      <c r="H189" s="67" t="n"/>
      <c r="I189" s="67" t="n"/>
      <c r="J189" s="67" t="n"/>
      <c r="K189" s="67" t="n"/>
      <c r="L189" s="67" t="n"/>
      <c r="M189" s="67" t="n"/>
      <c r="N189" s="91" t="n"/>
      <c r="O189" s="67" t="n"/>
      <c r="P189" s="67" t="n"/>
      <c r="Q189" s="67" t="n"/>
      <c r="R189" s="67" t="n"/>
      <c r="S189" s="67" t="n"/>
      <c r="T189" s="67" t="n"/>
      <c r="U189" s="67" t="n"/>
      <c r="V189" s="67" t="n"/>
      <c r="W189" s="67" t="n"/>
      <c r="X189" s="67" t="n"/>
      <c r="Y189" s="67" t="n"/>
      <c r="Z189" s="67" t="n"/>
      <c r="AA189" s="67" t="n"/>
      <c r="AB189" s="67" t="n"/>
      <c r="AC189" s="67" t="n"/>
      <c r="AD189" s="67" t="n"/>
      <c r="AE189" s="67" t="n"/>
      <c r="AF189" s="67" t="n"/>
      <c r="AG189" s="67" t="n"/>
      <c r="GB189" s="81" t="n"/>
    </row>
    <row r="190" ht="18" customHeight="1">
      <c r="B190" s="89" t="n"/>
      <c r="C190" s="67" t="n"/>
      <c r="D190" s="67" t="n"/>
      <c r="E190" s="67" t="n"/>
      <c r="F190" s="67" t="n"/>
      <c r="G190" s="67" t="n"/>
      <c r="H190" s="67" t="n"/>
      <c r="I190" s="67" t="n"/>
      <c r="J190" s="67" t="n"/>
      <c r="K190" s="67" t="n"/>
      <c r="L190" s="67" t="n"/>
      <c r="M190" s="67" t="n"/>
      <c r="N190" s="67" t="n"/>
      <c r="O190" s="67" t="n"/>
      <c r="P190" s="67" t="n"/>
      <c r="Q190" s="67" t="n"/>
      <c r="R190" s="67" t="n"/>
      <c r="S190" s="67" t="n"/>
      <c r="T190" s="67" t="n"/>
      <c r="U190" s="67" t="n"/>
      <c r="V190" s="67" t="n"/>
      <c r="W190" s="67" t="n"/>
      <c r="X190" s="67" t="n"/>
      <c r="Y190" s="67" t="n"/>
      <c r="Z190" s="67" t="n"/>
      <c r="AA190" s="67" t="n"/>
      <c r="AB190" s="67" t="n"/>
      <c r="AC190" s="67" t="n"/>
      <c r="AD190" s="67" t="n"/>
      <c r="AE190" s="67" t="n"/>
      <c r="AF190" s="67" t="n"/>
      <c r="AG190" s="67" t="n"/>
      <c r="GB190" s="81" t="n"/>
    </row>
    <row r="191" ht="18" customHeight="1">
      <c r="GB191" s="81" t="n"/>
    </row>
    <row r="192" ht="18" customHeight="1">
      <c r="B192" s="88" t="n"/>
      <c r="C192" s="104" t="n"/>
      <c r="D192" s="104" t="n"/>
      <c r="E192" s="104" t="n"/>
      <c r="F192" s="104" t="n"/>
      <c r="G192" s="104" t="n"/>
      <c r="H192" s="104" t="n"/>
      <c r="I192" s="104" t="n"/>
      <c r="J192" s="104" t="n"/>
      <c r="K192" s="104" t="n"/>
      <c r="L192" s="104" t="n"/>
      <c r="M192" s="104" t="n"/>
      <c r="N192" s="104" t="n"/>
      <c r="O192" s="104" t="n"/>
      <c r="P192" s="104" t="n"/>
      <c r="Q192" s="104" t="n"/>
      <c r="R192" s="104" t="n"/>
      <c r="S192" s="104" t="n"/>
      <c r="T192" s="104" t="n"/>
      <c r="U192" s="104" t="n"/>
      <c r="V192" s="104" t="n"/>
      <c r="W192" s="104" t="n"/>
      <c r="X192" s="104" t="n"/>
      <c r="Y192" s="104" t="n"/>
      <c r="Z192" s="104" t="n"/>
      <c r="AA192" s="104" t="n"/>
      <c r="AB192" s="104" t="n"/>
      <c r="AC192" s="104" t="n"/>
      <c r="AD192" s="104" t="n"/>
      <c r="AE192" s="104" t="n"/>
      <c r="AF192" s="104" t="n"/>
      <c r="GB192" s="81" t="n"/>
    </row>
    <row r="193" ht="18" customHeight="1">
      <c r="B193" s="88" t="n"/>
      <c r="C193" s="104" t="n"/>
      <c r="D193" s="104" t="n"/>
      <c r="E193" s="104" t="n"/>
      <c r="F193" s="104" t="n"/>
      <c r="G193" s="104" t="n"/>
      <c r="H193" s="104" t="n"/>
      <c r="I193" s="104" t="n"/>
      <c r="J193" s="104" t="n"/>
      <c r="K193" s="104" t="n"/>
      <c r="L193" s="104" t="n"/>
      <c r="M193" s="104" t="n"/>
      <c r="N193" s="104" t="n"/>
      <c r="O193" s="104" t="n"/>
      <c r="P193" s="104" t="n"/>
      <c r="Q193" s="104" t="n"/>
      <c r="R193" s="104" t="n"/>
      <c r="S193" s="104" t="n"/>
      <c r="T193" s="104" t="n"/>
      <c r="U193" s="104" t="n"/>
      <c r="V193" s="104" t="n"/>
      <c r="W193" s="104" t="n"/>
      <c r="X193" s="104" t="n"/>
      <c r="Y193" s="104" t="n"/>
      <c r="Z193" s="104" t="n"/>
      <c r="AA193" s="104" t="n"/>
      <c r="AB193" s="104" t="n"/>
      <c r="AC193" s="104" t="n"/>
      <c r="AD193" s="104" t="n"/>
      <c r="AE193" s="104" t="n"/>
      <c r="AF193" s="104" t="n"/>
      <c r="GB193" s="81" t="n"/>
    </row>
    <row r="194" ht="18" customHeight="1">
      <c r="B194" s="88" t="n"/>
      <c r="C194" s="67" t="n"/>
      <c r="D194" s="67" t="n"/>
      <c r="E194" s="67" t="n"/>
      <c r="F194" s="67" t="n"/>
      <c r="G194" s="67" t="n"/>
      <c r="H194" s="67" t="n"/>
      <c r="I194" s="67" t="n"/>
      <c r="J194" s="67" t="n"/>
      <c r="K194" s="67" t="n"/>
      <c r="L194" s="67" t="n"/>
      <c r="M194" s="67" t="n"/>
      <c r="N194" s="67" t="n"/>
      <c r="O194" s="67" t="n"/>
      <c r="P194" s="67" t="n"/>
      <c r="Q194" s="67" t="n"/>
      <c r="R194" s="67" t="n"/>
      <c r="S194" s="67" t="n"/>
      <c r="T194" s="67" t="n"/>
      <c r="U194" s="103" t="n"/>
      <c r="V194" s="67" t="n"/>
      <c r="W194" s="67" t="n"/>
      <c r="X194" s="67" t="n"/>
      <c r="Y194" s="67" t="n"/>
      <c r="Z194" s="67" t="n"/>
      <c r="AA194" s="67" t="n"/>
      <c r="AB194" s="67" t="n"/>
      <c r="AC194" s="67" t="n"/>
      <c r="AD194" s="67" t="n"/>
      <c r="AE194" s="67" t="n"/>
      <c r="AF194" s="67" t="n"/>
      <c r="GB194" s="81" t="n"/>
    </row>
    <row r="195" ht="18" customHeight="1">
      <c r="B195" s="89" t="n"/>
      <c r="C195" s="67" t="n"/>
      <c r="D195" s="103" t="n"/>
      <c r="E195" s="103" t="n"/>
      <c r="F195" s="103" t="n"/>
      <c r="G195" s="103" t="n"/>
      <c r="H195" s="67" t="n"/>
      <c r="I195" s="67" t="n"/>
      <c r="J195" s="67" t="n"/>
      <c r="K195" s="67" t="n"/>
      <c r="L195" s="67" t="n"/>
      <c r="M195" s="67" t="n"/>
      <c r="N195" s="67" t="n"/>
      <c r="O195" s="67" t="n"/>
      <c r="P195" s="67" t="n"/>
      <c r="Q195" s="67" t="n"/>
      <c r="R195" s="67" t="n"/>
      <c r="S195" s="67" t="n"/>
      <c r="T195" s="67" t="n"/>
      <c r="U195" s="103" t="n"/>
      <c r="V195" s="67" t="n"/>
      <c r="W195" s="67" t="n"/>
      <c r="X195" s="67" t="n"/>
      <c r="Y195" s="67" t="n"/>
      <c r="Z195" s="67" t="n"/>
      <c r="AA195" s="67" t="n"/>
      <c r="AB195" s="67" t="n"/>
      <c r="AC195" s="67" t="n"/>
      <c r="AD195" s="67" t="n"/>
      <c r="AE195" s="67" t="n"/>
      <c r="AF195" s="67" t="n"/>
      <c r="GB195" s="81" t="n"/>
    </row>
    <row r="196" ht="18" customHeight="1">
      <c r="B196" s="88" t="n"/>
      <c r="C196" s="67" t="n"/>
      <c r="D196" s="67" t="n"/>
      <c r="E196" s="67" t="n"/>
      <c r="F196" s="67" t="n"/>
      <c r="G196" s="67" t="n"/>
      <c r="H196" s="67" t="n"/>
      <c r="I196" s="67" t="n"/>
      <c r="J196" s="67" t="n"/>
      <c r="K196" s="91" t="n"/>
      <c r="L196" s="91" t="n"/>
      <c r="M196" s="91" t="n"/>
      <c r="N196" s="67" t="n"/>
      <c r="O196" s="67" t="n"/>
      <c r="P196" s="67" t="n"/>
      <c r="Q196" s="67" t="n"/>
      <c r="R196" s="67" t="n"/>
      <c r="S196" s="67" t="n"/>
      <c r="T196" s="67" t="n"/>
      <c r="U196" s="67" t="n"/>
      <c r="V196" s="67" t="n"/>
      <c r="W196" s="67" t="n"/>
      <c r="X196" s="67" t="n"/>
      <c r="Y196" s="67" t="n"/>
      <c r="Z196" s="105" t="n"/>
      <c r="AA196" s="105" t="n"/>
      <c r="AB196" s="67" t="n"/>
      <c r="AC196" s="67" t="n"/>
      <c r="AD196" s="67" t="n"/>
      <c r="AE196" s="67" t="n"/>
      <c r="AF196" s="67" t="n"/>
      <c r="GB196" s="81" t="n"/>
    </row>
    <row r="197" ht="18" customHeight="1">
      <c r="B197" s="89" t="n"/>
      <c r="C197" s="67" t="n"/>
      <c r="D197" s="67" t="n"/>
      <c r="E197" s="67" t="n"/>
      <c r="F197" s="67" t="n"/>
      <c r="G197" s="67" t="n"/>
      <c r="H197" s="67" t="n"/>
      <c r="I197" s="67" t="n"/>
      <c r="J197" s="67" t="n"/>
      <c r="K197" s="67" t="n"/>
      <c r="L197" s="67" t="n"/>
      <c r="M197" s="67" t="n"/>
      <c r="N197" s="67" t="n"/>
      <c r="O197" s="67" t="n"/>
      <c r="P197" s="67" t="n"/>
      <c r="Q197" s="67" t="n"/>
      <c r="R197" s="67" t="n"/>
      <c r="S197" s="67" t="n"/>
      <c r="T197" s="67" t="n"/>
      <c r="U197" s="67" t="n"/>
      <c r="V197" s="67" t="n"/>
      <c r="W197" s="67" t="n"/>
      <c r="X197" s="67" t="n"/>
      <c r="Y197" s="67" t="n"/>
      <c r="Z197" s="67" t="n"/>
      <c r="AA197" s="67" t="n"/>
      <c r="AB197" s="67" t="n"/>
      <c r="AC197" s="67" t="n"/>
      <c r="AD197" s="67" t="n"/>
      <c r="AE197" s="67" t="n"/>
      <c r="AF197" s="67" t="n"/>
      <c r="GB197" s="81" t="n"/>
    </row>
    <row r="198" ht="18" customHeight="1">
      <c r="B198" s="88" t="n"/>
      <c r="C198" s="67" t="n"/>
      <c r="D198" s="67" t="n"/>
      <c r="E198" s="67" t="n"/>
      <c r="F198" s="67" t="n"/>
      <c r="G198" s="67" t="n"/>
      <c r="H198" s="67" t="n"/>
      <c r="I198" s="67" t="n"/>
      <c r="J198" s="67" t="n"/>
      <c r="K198" s="67" t="n"/>
      <c r="L198" s="67" t="n"/>
      <c r="M198" s="67" t="n"/>
      <c r="N198" s="91" t="n"/>
      <c r="O198" s="67" t="n"/>
      <c r="P198" s="67" t="n"/>
      <c r="Q198" s="67" t="n"/>
      <c r="R198" s="91" t="n"/>
      <c r="S198" s="91" t="n"/>
      <c r="T198" s="91" t="n"/>
      <c r="U198" s="91" t="n"/>
      <c r="V198" s="67" t="n"/>
      <c r="W198" s="67" t="n"/>
      <c r="X198" s="67" t="n"/>
      <c r="Y198" s="105" t="n"/>
      <c r="Z198" s="67" t="n"/>
      <c r="AA198" s="67" t="n"/>
      <c r="AB198" s="67" t="n"/>
      <c r="AC198" s="67" t="n"/>
      <c r="AD198" s="67" t="n"/>
      <c r="AE198" s="67" t="n"/>
      <c r="AF198" s="103" t="n"/>
      <c r="GB198" s="81" t="n"/>
    </row>
    <row r="199" ht="18" customHeight="1">
      <c r="B199" s="89" t="n"/>
      <c r="C199" s="67" t="n"/>
      <c r="D199" s="67" t="n"/>
      <c r="E199" s="67" t="n"/>
      <c r="F199" s="67" t="n"/>
      <c r="G199" s="67" t="n"/>
      <c r="H199" s="67" t="n"/>
      <c r="I199" s="67" t="n"/>
      <c r="J199" s="67" t="n"/>
      <c r="K199" s="67" t="n"/>
      <c r="L199" s="67" t="n"/>
      <c r="M199" s="67" t="n"/>
      <c r="N199" s="67" t="n"/>
      <c r="O199" s="67" t="n"/>
      <c r="P199" s="67" t="n"/>
      <c r="Q199" s="67" t="n"/>
      <c r="R199" s="67" t="n"/>
      <c r="S199" s="67" t="n"/>
      <c r="T199" s="67" t="n"/>
      <c r="U199" s="67" t="n"/>
      <c r="V199" s="67" t="n"/>
      <c r="W199" s="67" t="n"/>
      <c r="X199" s="67" t="n"/>
      <c r="Y199" s="67" t="n"/>
      <c r="Z199" s="67" t="n"/>
      <c r="AA199" s="67" t="n"/>
      <c r="AB199" s="67" t="n"/>
      <c r="AC199" s="67" t="n"/>
      <c r="AD199" s="67" t="n"/>
      <c r="AE199" s="67" t="n"/>
      <c r="AF199" s="67" t="n"/>
      <c r="GB199" s="81" t="n"/>
    </row>
    <row r="200" ht="18" customHeight="1">
      <c r="B200" s="88" t="n"/>
      <c r="C200" s="67" t="n"/>
      <c r="D200" s="91" t="n"/>
      <c r="E200" s="67" t="n"/>
      <c r="F200" s="67" t="n"/>
      <c r="G200" s="67" t="n"/>
      <c r="H200" s="67" t="n"/>
      <c r="I200" s="67" t="n"/>
      <c r="J200" s="67" t="n"/>
      <c r="K200" s="67" t="n"/>
      <c r="L200" s="67" t="n"/>
      <c r="M200" s="67" t="n"/>
      <c r="N200" s="103" t="n"/>
      <c r="O200" s="67" t="n"/>
      <c r="P200" s="67" t="n"/>
      <c r="Q200" s="67" t="n"/>
      <c r="R200" s="67" t="n"/>
      <c r="S200" s="67" t="n"/>
      <c r="T200" s="67" t="n"/>
      <c r="U200" s="67" t="n"/>
      <c r="V200" s="67" t="n"/>
      <c r="W200" s="67" t="n"/>
      <c r="X200" s="67" t="n"/>
      <c r="Y200" s="67" t="n"/>
      <c r="Z200" s="67" t="n"/>
      <c r="AA200" s="105" t="n"/>
      <c r="AB200" s="67" t="n"/>
      <c r="AC200" s="67" t="n"/>
      <c r="AD200" s="67" t="n"/>
      <c r="AE200" s="67" t="n"/>
      <c r="AF200" s="91" t="n"/>
      <c r="GB200" s="81" t="n"/>
    </row>
    <row r="201" ht="18" customHeight="1">
      <c r="B201" s="89" t="n"/>
      <c r="C201" s="67" t="n"/>
      <c r="D201" s="67" t="n"/>
      <c r="E201" s="67" t="n"/>
      <c r="F201" s="67" t="n"/>
      <c r="G201" s="67" t="n"/>
      <c r="H201" s="67" t="n"/>
      <c r="I201" s="67" t="n"/>
      <c r="J201" s="67" t="n"/>
      <c r="K201" s="67" t="n"/>
      <c r="L201" s="67" t="n"/>
      <c r="M201" s="67" t="n"/>
      <c r="N201" s="103" t="n"/>
      <c r="O201" s="67" t="n"/>
      <c r="P201" s="67" t="n"/>
      <c r="Q201" s="67" t="n"/>
      <c r="R201" s="67" t="n"/>
      <c r="S201" s="67" t="n"/>
      <c r="T201" s="67" t="n"/>
      <c r="U201" s="67" t="n"/>
      <c r="V201" s="67" t="n"/>
      <c r="W201" s="67" t="n"/>
      <c r="X201" s="67" t="n"/>
      <c r="Y201" s="67" t="n"/>
      <c r="Z201" s="67" t="n"/>
      <c r="AA201" s="67" t="n"/>
      <c r="AB201" s="67" t="n"/>
      <c r="AC201" s="67" t="n"/>
      <c r="AD201" s="67" t="n"/>
      <c r="AE201" s="67" t="n"/>
      <c r="AF201" s="67" t="n"/>
      <c r="GB201" s="81" t="n"/>
    </row>
    <row r="202" ht="18" customHeight="1">
      <c r="B202" s="88" t="n"/>
      <c r="C202" s="67" t="n"/>
      <c r="D202" s="67" t="n"/>
      <c r="E202" s="67" t="n"/>
      <c r="F202" s="91" t="n"/>
      <c r="G202" s="91" t="n"/>
      <c r="H202" s="67" t="n"/>
      <c r="I202" s="67" t="n"/>
      <c r="J202" s="67" t="n"/>
      <c r="K202" s="67" t="n"/>
      <c r="L202" s="67" t="n"/>
      <c r="M202" s="91" t="n"/>
      <c r="N202" s="67" t="n"/>
      <c r="O202" s="67" t="n"/>
      <c r="P202" s="67" t="n"/>
      <c r="Q202" s="67" t="n"/>
      <c r="R202" s="67" t="n"/>
      <c r="S202" s="67" t="n"/>
      <c r="T202" s="67" t="n"/>
      <c r="U202" s="91" t="n"/>
      <c r="V202" s="67" t="n"/>
      <c r="W202" s="67" t="n"/>
      <c r="X202" s="67" t="n"/>
      <c r="Y202" s="91" t="n"/>
      <c r="Z202" s="91" t="n"/>
      <c r="AA202" s="91" t="n"/>
      <c r="AB202" s="91" t="n"/>
      <c r="AC202" s="67" t="n"/>
      <c r="AD202" s="67" t="n"/>
      <c r="AE202" s="67" t="n"/>
      <c r="AF202" s="67" t="n"/>
      <c r="GB202" s="81" t="n"/>
    </row>
    <row r="203" ht="18" customHeight="1">
      <c r="B203" s="89" t="n"/>
      <c r="C203" s="67" t="n"/>
      <c r="D203" s="67" t="n"/>
      <c r="E203" s="67" t="n"/>
      <c r="F203" s="67" t="n"/>
      <c r="G203" s="67" t="n"/>
      <c r="H203" s="67" t="n"/>
      <c r="I203" s="67" t="n"/>
      <c r="J203" s="67" t="n"/>
      <c r="K203" s="67" t="n"/>
      <c r="L203" s="67" t="n"/>
      <c r="M203" s="67" t="n"/>
      <c r="N203" s="67" t="n"/>
      <c r="O203" s="67" t="n"/>
      <c r="P203" s="67" t="n"/>
      <c r="Q203" s="67" t="n"/>
      <c r="R203" s="67" t="n"/>
      <c r="S203" s="67" t="n"/>
      <c r="T203" s="67" t="n"/>
      <c r="U203" s="91" t="n"/>
      <c r="V203" s="67" t="n"/>
      <c r="W203" s="67" t="n"/>
      <c r="X203" s="67" t="n"/>
      <c r="Y203" s="67" t="n"/>
      <c r="Z203" s="67" t="n"/>
      <c r="AA203" s="67" t="n"/>
      <c r="AB203" s="67" t="n"/>
      <c r="AC203" s="67" t="n"/>
      <c r="AD203" s="67" t="n"/>
      <c r="AE203" s="67" t="n"/>
      <c r="AF203" s="67" t="n"/>
      <c r="GB203" s="81" t="n"/>
    </row>
    <row r="204" ht="18" customHeight="1">
      <c r="B204" s="88" t="n"/>
      <c r="C204" s="67" t="n"/>
      <c r="D204" s="67" t="n"/>
      <c r="E204" s="67" t="n"/>
      <c r="F204" s="67" t="n"/>
      <c r="G204" s="91" t="n"/>
      <c r="H204" s="67" t="n"/>
      <c r="I204" s="67" t="n"/>
      <c r="J204" s="67" t="n"/>
      <c r="K204" s="67" t="n"/>
      <c r="L204" s="67" t="n"/>
      <c r="M204" s="67" t="n"/>
      <c r="N204" s="67" t="n"/>
      <c r="O204" s="67" t="n"/>
      <c r="P204" s="67" t="n"/>
      <c r="Q204" s="67" t="n"/>
      <c r="R204" s="67" t="n"/>
      <c r="S204" s="67" t="n"/>
      <c r="T204" s="67" t="n"/>
      <c r="U204" s="103" t="n"/>
      <c r="V204" s="67" t="n"/>
      <c r="W204" s="67" t="n"/>
      <c r="X204" s="67" t="n"/>
      <c r="Y204" s="67" t="n"/>
      <c r="Z204" s="67" t="n"/>
      <c r="AA204" s="67" t="n"/>
      <c r="AB204" s="105" t="n"/>
      <c r="AC204" s="67" t="n"/>
      <c r="AD204" s="67" t="n"/>
      <c r="AE204" s="67" t="n"/>
      <c r="AF204" s="67" t="n"/>
      <c r="GB204" s="81" t="n"/>
    </row>
    <row r="205" ht="18" customHeight="1">
      <c r="B205" s="89" t="n"/>
      <c r="C205" s="67" t="n"/>
      <c r="D205" s="67" t="n"/>
      <c r="E205" s="67" t="n"/>
      <c r="F205" s="67" t="n"/>
      <c r="G205" s="67" t="n"/>
      <c r="H205" s="67" t="n"/>
      <c r="I205" s="67" t="n"/>
      <c r="J205" s="67" t="n"/>
      <c r="K205" s="67" t="n"/>
      <c r="L205" s="67" t="n"/>
      <c r="M205" s="67" t="n"/>
      <c r="N205" s="67" t="n"/>
      <c r="O205" s="67" t="n"/>
      <c r="P205" s="67" t="n"/>
      <c r="Q205" s="67" t="n"/>
      <c r="R205" s="67" t="n"/>
      <c r="S205" s="67" t="n"/>
      <c r="T205" s="67" t="n"/>
      <c r="U205" s="67" t="n"/>
      <c r="V205" s="67" t="n"/>
      <c r="W205" s="67" t="n"/>
      <c r="X205" s="67" t="n"/>
      <c r="Y205" s="67" t="n"/>
      <c r="Z205" s="67" t="n"/>
      <c r="AA205" s="67" t="n"/>
      <c r="AB205" s="67" t="n"/>
      <c r="AC205" s="67" t="n"/>
      <c r="AD205" s="67" t="n"/>
      <c r="AE205" s="67" t="n"/>
      <c r="AF205" s="67" t="n"/>
      <c r="GB205" s="81" t="n"/>
    </row>
    <row r="206" ht="18" customHeight="1">
      <c r="B206" s="88" t="n"/>
      <c r="C206" s="67" t="n"/>
      <c r="D206" s="67" t="n"/>
      <c r="E206" s="67" t="n"/>
      <c r="F206" s="67" t="n"/>
      <c r="G206" s="67" t="n"/>
      <c r="H206" s="67" t="n"/>
      <c r="I206" s="67" t="n"/>
      <c r="J206" s="67" t="n"/>
      <c r="K206" s="67" t="n"/>
      <c r="L206" s="67" t="n"/>
      <c r="M206" s="67" t="n"/>
      <c r="N206" s="67" t="n"/>
      <c r="O206" s="67" t="n"/>
      <c r="P206" s="67" t="n"/>
      <c r="Q206" s="67" t="n"/>
      <c r="R206" s="67" t="n"/>
      <c r="S206" s="67" t="n"/>
      <c r="T206" s="67" t="n"/>
      <c r="U206" s="67" t="n"/>
      <c r="V206" s="67" t="n"/>
      <c r="W206" s="67" t="n"/>
      <c r="X206" s="67" t="n"/>
      <c r="Y206" s="67" t="n"/>
      <c r="Z206" s="67" t="n"/>
      <c r="AA206" s="67" t="n"/>
      <c r="AB206" s="105" t="n"/>
      <c r="AC206" s="67" t="n"/>
      <c r="AD206" s="67" t="n"/>
      <c r="AE206" s="67" t="n"/>
      <c r="AF206" s="67" t="n"/>
      <c r="AG206" s="67" t="n"/>
      <c r="GB206" s="81" t="n"/>
    </row>
    <row r="207" ht="18" customHeight="1">
      <c r="B207" s="89" t="n"/>
      <c r="C207" s="67" t="n"/>
      <c r="D207" s="67" t="n"/>
      <c r="E207" s="67" t="n"/>
      <c r="F207" s="67" t="n"/>
      <c r="G207" s="67" t="n"/>
      <c r="H207" s="67" t="n"/>
      <c r="I207" s="67" t="n"/>
      <c r="J207" s="67" t="n"/>
      <c r="K207" s="67" t="n"/>
      <c r="L207" s="67" t="n"/>
      <c r="M207" s="67" t="n"/>
      <c r="N207" s="67" t="n"/>
      <c r="O207" s="67" t="n"/>
      <c r="P207" s="67" t="n"/>
      <c r="Q207" s="67" t="n"/>
      <c r="R207" s="67" t="n"/>
      <c r="S207" s="67" t="n"/>
      <c r="T207" s="67" t="n"/>
      <c r="U207" s="67" t="n"/>
      <c r="V207" s="67" t="n"/>
      <c r="W207" s="67" t="n"/>
      <c r="X207" s="67" t="n"/>
      <c r="Y207" s="67" t="n"/>
      <c r="Z207" s="67" t="n"/>
      <c r="AA207" s="67" t="n"/>
      <c r="AB207" s="67" t="n"/>
      <c r="AC207" s="67" t="n"/>
      <c r="AD207" s="67" t="n"/>
      <c r="AE207" s="67" t="n"/>
      <c r="AF207" s="67" t="n"/>
      <c r="AG207" s="67" t="n"/>
      <c r="GB207" s="81" t="n"/>
    </row>
    <row r="208" ht="18" customHeight="1">
      <c r="B208" s="88" t="n"/>
      <c r="C208" s="67" t="n"/>
      <c r="D208" s="91" t="n"/>
      <c r="E208" s="67" t="n"/>
      <c r="F208" s="67" t="n"/>
      <c r="G208" s="67" t="n"/>
      <c r="H208" s="67" t="n"/>
      <c r="I208" s="67" t="n"/>
      <c r="J208" s="67" t="n"/>
      <c r="K208" s="67" t="n"/>
      <c r="L208" s="67" t="n"/>
      <c r="M208" s="67" t="n"/>
      <c r="N208" s="67" t="n"/>
      <c r="O208" s="67" t="n"/>
      <c r="P208" s="67" t="n"/>
      <c r="Q208" s="67" t="n"/>
      <c r="R208" s="67" t="n"/>
      <c r="S208" s="67" t="n"/>
      <c r="T208" s="67" t="n"/>
      <c r="U208" s="67" t="n"/>
      <c r="V208" s="67" t="n"/>
      <c r="W208" s="67" t="n"/>
      <c r="X208" s="67" t="n"/>
      <c r="Y208" s="67" t="n"/>
      <c r="Z208" s="67" t="n"/>
      <c r="AA208" s="67" t="n"/>
      <c r="AB208" s="67" t="n"/>
      <c r="AC208" s="67" t="n"/>
      <c r="AD208" s="67" t="n"/>
      <c r="AE208" s="67" t="n"/>
      <c r="AF208" s="67" t="n"/>
      <c r="AG208" s="67" t="n"/>
      <c r="GB208" s="81" t="n"/>
    </row>
    <row r="209" ht="18" customHeight="1">
      <c r="B209" s="89" t="n"/>
      <c r="C209" s="67" t="n"/>
      <c r="D209" s="67" t="n"/>
      <c r="E209" s="67" t="n"/>
      <c r="F209" s="67" t="n"/>
      <c r="G209" s="67" t="n"/>
      <c r="H209" s="67" t="n"/>
      <c r="I209" s="67" t="n"/>
      <c r="J209" s="67" t="n"/>
      <c r="K209" s="67" t="n"/>
      <c r="L209" s="67" t="n"/>
      <c r="M209" s="67" t="n"/>
      <c r="N209" s="67" t="n"/>
      <c r="O209" s="67" t="n"/>
      <c r="P209" s="67" t="n"/>
      <c r="Q209" s="67" t="n"/>
      <c r="R209" s="67" t="n"/>
      <c r="S209" s="67" t="n"/>
      <c r="T209" s="67" t="n"/>
      <c r="U209" s="67" t="n"/>
      <c r="V209" s="67" t="n"/>
      <c r="W209" s="67" t="n"/>
      <c r="X209" s="67" t="n"/>
      <c r="Y209" s="67" t="n"/>
      <c r="Z209" s="67" t="n"/>
      <c r="AA209" s="67" t="n"/>
      <c r="AB209" s="67" t="n"/>
      <c r="AC209" s="67" t="n"/>
      <c r="AD209" s="67" t="n"/>
      <c r="AE209" s="67" t="n"/>
      <c r="AF209" s="67" t="n"/>
      <c r="AG209" s="67" t="n"/>
      <c r="GB209" s="81" t="n"/>
    </row>
    <row r="210" ht="18" customHeight="1">
      <c r="GB210" s="81" t="n"/>
    </row>
    <row r="211" ht="18" customHeight="1">
      <c r="B211" s="88" t="n"/>
      <c r="C211" s="104" t="n"/>
      <c r="D211" s="104" t="n"/>
      <c r="E211" s="104" t="n"/>
      <c r="F211" s="104" t="n"/>
      <c r="G211" s="104" t="n"/>
      <c r="H211" s="104" t="n"/>
      <c r="I211" s="104" t="n"/>
      <c r="J211" s="104" t="n"/>
      <c r="K211" s="104" t="n"/>
      <c r="L211" s="104" t="n"/>
      <c r="M211" s="104" t="n"/>
      <c r="N211" s="104" t="n"/>
      <c r="O211" s="104" t="n"/>
      <c r="P211" s="104" t="n"/>
      <c r="Q211" s="104" t="n"/>
      <c r="R211" s="104" t="n"/>
      <c r="S211" s="104" t="n"/>
      <c r="T211" s="104" t="n"/>
      <c r="U211" s="104" t="n"/>
      <c r="V211" s="104" t="n"/>
      <c r="W211" s="104" t="n"/>
      <c r="X211" s="104" t="n"/>
      <c r="Y211" s="104" t="n"/>
      <c r="Z211" s="104" t="n"/>
      <c r="AA211" s="104" t="n"/>
      <c r="AB211" s="104" t="n"/>
      <c r="AC211" s="104" t="n"/>
      <c r="AD211" s="104" t="n"/>
      <c r="AE211" s="104" t="n"/>
      <c r="AF211" s="104" t="n"/>
      <c r="AG211" s="104" t="n"/>
      <c r="GB211" s="81" t="n"/>
    </row>
    <row r="212" ht="18" customHeight="1">
      <c r="B212" s="88" t="n"/>
      <c r="C212" s="104" t="n"/>
      <c r="D212" s="104" t="n"/>
      <c r="E212" s="104" t="n"/>
      <c r="F212" s="104" t="n"/>
      <c r="G212" s="104" t="n"/>
      <c r="H212" s="104" t="n"/>
      <c r="I212" s="104" t="n"/>
      <c r="J212" s="104" t="n"/>
      <c r="K212" s="104" t="n"/>
      <c r="L212" s="104" t="n"/>
      <c r="M212" s="104" t="n"/>
      <c r="N212" s="104" t="n"/>
      <c r="O212" s="104" t="n"/>
      <c r="P212" s="104" t="n"/>
      <c r="Q212" s="104" t="n"/>
      <c r="R212" s="104" t="n"/>
      <c r="S212" s="104" t="n"/>
      <c r="T212" s="104" t="n"/>
      <c r="U212" s="104" t="n"/>
      <c r="V212" s="104" t="n"/>
      <c r="W212" s="104" t="n"/>
      <c r="X212" s="104" t="n"/>
      <c r="Y212" s="104" t="n"/>
      <c r="Z212" s="104" t="n"/>
      <c r="AA212" s="104" t="n"/>
      <c r="AB212" s="104" t="n"/>
      <c r="AC212" s="104" t="n"/>
      <c r="AD212" s="104" t="n"/>
      <c r="AE212" s="104" t="n"/>
      <c r="AF212" s="104" t="n"/>
      <c r="AG212" s="104" t="n"/>
      <c r="GB212" s="81" t="n"/>
    </row>
    <row r="213" ht="18" customHeight="1">
      <c r="B213" s="88" t="n"/>
      <c r="C213" s="67" t="n"/>
      <c r="D213" s="67" t="n"/>
      <c r="E213" s="67" t="n"/>
      <c r="F213" s="67" t="n"/>
      <c r="G213" s="67" t="n"/>
      <c r="H213" s="67" t="n"/>
      <c r="I213" s="67" t="n"/>
      <c r="J213" s="67" t="n"/>
      <c r="K213" s="67" t="n"/>
      <c r="L213" s="67" t="n"/>
      <c r="M213" s="67" t="n"/>
      <c r="N213" s="67" t="n"/>
      <c r="O213" s="67" t="n"/>
      <c r="P213" s="67" t="n"/>
      <c r="Q213" s="67" t="n"/>
      <c r="R213" s="67" t="n"/>
      <c r="S213" s="67" t="n"/>
      <c r="T213" s="67" t="n"/>
      <c r="U213" s="67" t="n"/>
      <c r="V213" s="67" t="n"/>
      <c r="W213" s="67" t="n"/>
      <c r="X213" s="67" t="n"/>
      <c r="Y213" s="67" t="n"/>
      <c r="Z213" s="67" t="n"/>
      <c r="AA213" s="67" t="n"/>
      <c r="AB213" s="67" t="n"/>
      <c r="AC213" s="67" t="n"/>
      <c r="AD213" s="91" t="n"/>
      <c r="AE213" s="91" t="n"/>
      <c r="AF213" s="91" t="n"/>
      <c r="AG213" s="67" t="n"/>
      <c r="GB213" s="81" t="n"/>
    </row>
    <row r="214" ht="18" customHeight="1">
      <c r="B214" s="89" t="n"/>
      <c r="C214" s="67" t="n"/>
      <c r="D214" s="67" t="n"/>
      <c r="E214" s="67" t="n"/>
      <c r="F214" s="67" t="n"/>
      <c r="G214" s="67" t="n"/>
      <c r="H214" s="67" t="n"/>
      <c r="I214" s="67" t="n"/>
      <c r="J214" s="67" t="n"/>
      <c r="K214" s="67" t="n"/>
      <c r="L214" s="67" t="n"/>
      <c r="M214" s="67" t="n"/>
      <c r="N214" s="67" t="n"/>
      <c r="O214" s="67" t="n"/>
      <c r="P214" s="67" t="n"/>
      <c r="Q214" s="67" t="n"/>
      <c r="R214" s="67" t="n"/>
      <c r="S214" s="67" t="n"/>
      <c r="T214" s="67" t="n"/>
      <c r="U214" s="67" t="n"/>
      <c r="V214" s="67" t="n"/>
      <c r="W214" s="67" t="n"/>
      <c r="X214" s="67" t="n"/>
      <c r="Y214" s="67" t="n"/>
      <c r="Z214" s="67" t="n"/>
      <c r="AA214" s="67" t="n"/>
      <c r="AB214" s="67" t="n"/>
      <c r="AC214" s="67" t="n"/>
      <c r="AD214" s="67" t="n"/>
      <c r="AE214" s="67" t="n"/>
      <c r="AF214" s="67" t="n"/>
      <c r="AG214" s="67" t="n"/>
      <c r="GB214" s="81" t="n"/>
    </row>
    <row r="215" ht="18" customHeight="1">
      <c r="B215" s="88" t="n"/>
      <c r="C215" s="67" t="n"/>
      <c r="D215" s="67" t="n"/>
      <c r="E215" s="67" t="n"/>
      <c r="F215" s="67" t="n"/>
      <c r="G215" s="67" t="n"/>
      <c r="H215" s="67" t="n"/>
      <c r="I215" s="67" t="n"/>
      <c r="J215" s="67" t="n"/>
      <c r="K215" s="67" t="n"/>
      <c r="L215" s="67" t="n"/>
      <c r="M215" s="67" t="n"/>
      <c r="N215" s="67" t="n"/>
      <c r="O215" s="67" t="n"/>
      <c r="P215" s="67" t="n"/>
      <c r="Q215" s="91" t="n"/>
      <c r="R215" s="91" t="n"/>
      <c r="S215" s="67" t="n"/>
      <c r="T215" s="67" t="n"/>
      <c r="U215" s="67" t="n"/>
      <c r="V215" s="67" t="n"/>
      <c r="W215" s="91" t="n"/>
      <c r="X215" s="91" t="n"/>
      <c r="Y215" s="91" t="n"/>
      <c r="Z215" s="67" t="n"/>
      <c r="AA215" s="67" t="n"/>
      <c r="AB215" s="67" t="n"/>
      <c r="AC215" s="67" t="n"/>
      <c r="AD215" s="91" t="n"/>
      <c r="AE215" s="91" t="n"/>
      <c r="AF215" s="91" t="n"/>
      <c r="AG215" s="67" t="n"/>
      <c r="GB215" s="81" t="n"/>
    </row>
    <row r="216" ht="18" customHeight="1">
      <c r="B216" s="89" t="n"/>
      <c r="C216" s="67" t="n"/>
      <c r="D216" s="67" t="n"/>
      <c r="E216" s="67" t="n"/>
      <c r="F216" s="67" t="n"/>
      <c r="G216" s="67" t="n"/>
      <c r="H216" s="67" t="n"/>
      <c r="I216" s="67" t="n"/>
      <c r="J216" s="67" t="n"/>
      <c r="K216" s="67" t="n"/>
      <c r="L216" s="67" t="n"/>
      <c r="M216" s="67" t="n"/>
      <c r="N216" s="67" t="n"/>
      <c r="O216" s="67" t="n"/>
      <c r="P216" s="67" t="n"/>
      <c r="Q216" s="67" t="n"/>
      <c r="R216" s="67" t="n"/>
      <c r="S216" s="67" t="n"/>
      <c r="T216" s="67" t="n"/>
      <c r="U216" s="67" t="n"/>
      <c r="V216" s="67" t="n"/>
      <c r="W216" s="67" t="n"/>
      <c r="X216" s="67" t="n"/>
      <c r="Y216" s="67" t="n"/>
      <c r="Z216" s="67" t="n"/>
      <c r="AA216" s="67" t="n"/>
      <c r="AB216" s="67" t="n"/>
      <c r="AC216" s="67" t="n"/>
      <c r="AD216" s="67" t="n"/>
      <c r="AE216" s="67" t="n"/>
      <c r="AF216" s="67" t="n"/>
      <c r="AG216" s="67" t="n"/>
      <c r="GB216" s="81" t="n"/>
    </row>
    <row r="217" ht="18" customHeight="1">
      <c r="B217" s="88" t="n"/>
      <c r="C217" s="67" t="n"/>
      <c r="D217" s="67" t="n"/>
      <c r="E217" s="91" t="n"/>
      <c r="F217" s="67" t="n"/>
      <c r="G217" s="67" t="n"/>
      <c r="H217" s="91" t="n"/>
      <c r="I217" s="91" t="n"/>
      <c r="J217" s="91" t="n"/>
      <c r="K217" s="91" t="n"/>
      <c r="L217" s="91" t="n"/>
      <c r="M217" s="67" t="n"/>
      <c r="N217" s="67" t="n"/>
      <c r="O217" s="67" t="n"/>
      <c r="P217" s="67" t="n"/>
      <c r="Q217" s="67" t="n"/>
      <c r="R217" s="67" t="n"/>
      <c r="S217" s="67" t="n"/>
      <c r="T217" s="67" t="n"/>
      <c r="U217" s="67" t="n"/>
      <c r="V217" s="67" t="n"/>
      <c r="W217" s="91" t="n"/>
      <c r="X217" s="91" t="n"/>
      <c r="Y217" s="91" t="n"/>
      <c r="Z217" s="67" t="n"/>
      <c r="AA217" s="67" t="n"/>
      <c r="AB217" s="67" t="n"/>
      <c r="AC217" s="67" t="n"/>
      <c r="AD217" s="91" t="n"/>
      <c r="AE217" s="91" t="n"/>
      <c r="AF217" s="91" t="n"/>
      <c r="AG217" s="67" t="n"/>
      <c r="GB217" s="81" t="n"/>
    </row>
    <row r="218" ht="18" customHeight="1">
      <c r="B218" s="89" t="n"/>
      <c r="C218" s="67" t="n"/>
      <c r="D218" s="67" t="n"/>
      <c r="E218" s="67" t="n"/>
      <c r="F218" s="67" t="n"/>
      <c r="G218" s="67" t="n"/>
      <c r="H218" s="67" t="n"/>
      <c r="I218" s="67" t="n"/>
      <c r="J218" s="67" t="n"/>
      <c r="K218" s="67" t="n"/>
      <c r="L218" s="67" t="n"/>
      <c r="M218" s="67" t="n"/>
      <c r="N218" s="67" t="n"/>
      <c r="O218" s="67" t="n"/>
      <c r="P218" s="67" t="n"/>
      <c r="Q218" s="67" t="n"/>
      <c r="R218" s="67" t="n"/>
      <c r="S218" s="67" t="n"/>
      <c r="T218" s="67" t="n"/>
      <c r="U218" s="67" t="n"/>
      <c r="V218" s="67" t="n"/>
      <c r="W218" s="67" t="n"/>
      <c r="X218" s="67" t="n"/>
      <c r="Y218" s="67" t="n"/>
      <c r="Z218" s="67" t="n"/>
      <c r="AA218" s="67" t="n"/>
      <c r="AB218" s="67" t="n"/>
      <c r="AC218" s="67" t="n"/>
      <c r="AD218" s="67" t="n"/>
      <c r="AE218" s="67" t="n"/>
      <c r="AF218" s="67" t="n"/>
      <c r="AG218" s="67" t="n"/>
      <c r="GB218" s="81" t="n"/>
    </row>
    <row r="219" ht="18" customHeight="1">
      <c r="B219" s="88" t="n"/>
      <c r="C219" s="91" t="n"/>
      <c r="D219" s="91" t="n"/>
      <c r="E219" s="91" t="n"/>
      <c r="F219" s="67" t="n"/>
      <c r="G219" s="67" t="n"/>
      <c r="H219" s="67" t="n"/>
      <c r="I219" s="91" t="n"/>
      <c r="J219" s="67" t="n"/>
      <c r="K219" s="67" t="n"/>
      <c r="L219" s="67" t="n"/>
      <c r="M219" s="67" t="n"/>
      <c r="N219" s="67" t="n"/>
      <c r="O219" s="67" t="n"/>
      <c r="P219" s="91" t="n"/>
      <c r="Q219" s="91" t="n"/>
      <c r="R219" s="91" t="n"/>
      <c r="S219" s="91" t="n"/>
      <c r="T219" s="67" t="n"/>
      <c r="U219" s="67" t="n"/>
      <c r="V219" s="67" t="n"/>
      <c r="W219" s="91" t="n"/>
      <c r="X219" s="91" t="n"/>
      <c r="Y219" s="91" t="n"/>
      <c r="Z219" s="67" t="n"/>
      <c r="AA219" s="67" t="n"/>
      <c r="AB219" s="67" t="n"/>
      <c r="AC219" s="67" t="n"/>
      <c r="AD219" s="91" t="n"/>
      <c r="AE219" s="91" t="n"/>
      <c r="AF219" s="91" t="n"/>
      <c r="AG219" s="67" t="n"/>
      <c r="GB219" s="81" t="n"/>
    </row>
    <row r="220" ht="18" customHeight="1">
      <c r="B220" s="89" t="n"/>
      <c r="C220" s="67" t="n"/>
      <c r="D220" s="67" t="n"/>
      <c r="E220" s="67" t="n"/>
      <c r="F220" s="67" t="n"/>
      <c r="G220" s="67" t="n"/>
      <c r="H220" s="67" t="n"/>
      <c r="I220" s="67" t="n"/>
      <c r="J220" s="67" t="n"/>
      <c r="K220" s="67" t="n"/>
      <c r="L220" s="67" t="n"/>
      <c r="M220" s="67" t="n"/>
      <c r="N220" s="67" t="n"/>
      <c r="O220" s="67" t="n"/>
      <c r="P220" s="67" t="n"/>
      <c r="Q220" s="67" t="n"/>
      <c r="R220" s="67" t="n"/>
      <c r="S220" s="67" t="n"/>
      <c r="T220" s="67" t="n"/>
      <c r="U220" s="67" t="n"/>
      <c r="V220" s="67" t="n"/>
      <c r="W220" s="67" t="n"/>
      <c r="X220" s="67" t="n"/>
      <c r="Y220" s="67" t="n"/>
      <c r="Z220" s="67" t="n"/>
      <c r="AA220" s="67" t="n"/>
      <c r="AB220" s="67" t="n"/>
      <c r="AC220" s="67" t="n"/>
      <c r="AD220" s="67" t="n"/>
      <c r="AE220" s="67" t="n"/>
      <c r="AF220" s="67" t="n"/>
      <c r="AG220" s="67" t="n"/>
      <c r="GB220" s="81" t="n"/>
    </row>
    <row r="221" ht="18" customHeight="1">
      <c r="B221" s="88" t="n"/>
      <c r="C221" s="67" t="n"/>
      <c r="D221" s="67" t="n"/>
      <c r="E221" s="67" t="n"/>
      <c r="F221" s="67" t="n"/>
      <c r="G221" s="67" t="n"/>
      <c r="H221" s="105" t="n"/>
      <c r="I221" s="67" t="n"/>
      <c r="J221" s="67" t="n"/>
      <c r="K221" s="67" t="n"/>
      <c r="L221" s="67" t="n"/>
      <c r="M221" s="67" t="n"/>
      <c r="N221" s="67" t="n"/>
      <c r="O221" s="67" t="n"/>
      <c r="P221" s="91" t="n"/>
      <c r="Q221" s="91" t="n"/>
      <c r="R221" s="91" t="n"/>
      <c r="S221" s="91" t="n"/>
      <c r="T221" s="67" t="n"/>
      <c r="U221" s="67" t="n"/>
      <c r="V221" s="67" t="n"/>
      <c r="W221" s="91" t="n"/>
      <c r="X221" s="91" t="n"/>
      <c r="Y221" s="91" t="n"/>
      <c r="Z221" s="67" t="n"/>
      <c r="AA221" s="67" t="n"/>
      <c r="AB221" s="67" t="n"/>
      <c r="AC221" s="67" t="n"/>
      <c r="AD221" s="91" t="n"/>
      <c r="AE221" s="91" t="n"/>
      <c r="AF221" s="91" t="n"/>
      <c r="AG221" s="67" t="n"/>
      <c r="GB221" s="81" t="n"/>
    </row>
    <row r="222" ht="18" customHeight="1">
      <c r="B222" s="89" t="n"/>
      <c r="C222" s="67" t="n"/>
      <c r="D222" s="67" t="n"/>
      <c r="E222" s="67" t="n"/>
      <c r="F222" s="67" t="n"/>
      <c r="G222" s="67" t="n"/>
      <c r="H222" s="105" t="n"/>
      <c r="I222" s="67" t="n"/>
      <c r="J222" s="67" t="n"/>
      <c r="K222" s="67" t="n"/>
      <c r="L222" s="67" t="n"/>
      <c r="M222" s="67" t="n"/>
      <c r="N222" s="67" t="n"/>
      <c r="O222" s="67" t="n"/>
      <c r="P222" s="67" t="n"/>
      <c r="Q222" s="67" t="n"/>
      <c r="R222" s="67" t="n"/>
      <c r="S222" s="67" t="n"/>
      <c r="T222" s="67" t="n"/>
      <c r="U222" s="67" t="n"/>
      <c r="V222" s="67" t="n"/>
      <c r="W222" s="67" t="n"/>
      <c r="X222" s="67" t="n"/>
      <c r="Y222" s="67" t="n"/>
      <c r="Z222" s="67" t="n"/>
      <c r="AA222" s="67" t="n"/>
      <c r="AB222" s="67" t="n"/>
      <c r="AC222" s="67" t="n"/>
      <c r="AD222" s="67" t="n"/>
      <c r="AE222" s="67" t="n"/>
      <c r="AF222" s="67" t="n"/>
      <c r="AG222" s="67" t="n"/>
      <c r="GB222" s="81" t="n"/>
    </row>
    <row r="223" ht="18" customHeight="1">
      <c r="B223" s="88" t="n"/>
      <c r="C223" s="67" t="n"/>
      <c r="D223" s="67" t="n"/>
      <c r="E223" s="67" t="n"/>
      <c r="F223" s="67" t="n"/>
      <c r="G223" s="67" t="n"/>
      <c r="H223" s="67" t="n"/>
      <c r="I223" s="67" t="n"/>
      <c r="J223" s="67" t="n"/>
      <c r="K223" s="67" t="n"/>
      <c r="L223" s="67" t="n"/>
      <c r="M223" s="67" t="n"/>
      <c r="N223" s="67" t="n"/>
      <c r="O223" s="67" t="n"/>
      <c r="P223" s="67" t="n"/>
      <c r="Q223" s="67" t="n"/>
      <c r="R223" s="67" t="n"/>
      <c r="S223" s="67" t="n"/>
      <c r="T223" s="67" t="n"/>
      <c r="U223" s="67" t="n"/>
      <c r="V223" s="67" t="n"/>
      <c r="W223" s="91" t="n"/>
      <c r="X223" s="91" t="n"/>
      <c r="Y223" s="91" t="n"/>
      <c r="Z223" s="67" t="n"/>
      <c r="AA223" s="67" t="n"/>
      <c r="AB223" s="67" t="n"/>
      <c r="AC223" s="67" t="n"/>
      <c r="AD223" s="91" t="n"/>
      <c r="AE223" s="91" t="n"/>
      <c r="AF223" s="91" t="n"/>
      <c r="AG223" s="67" t="n"/>
      <c r="GB223" s="81" t="n"/>
    </row>
    <row r="224" ht="18" customHeight="1">
      <c r="B224" s="89" t="n"/>
      <c r="C224" s="67" t="n"/>
      <c r="D224" s="67" t="n"/>
      <c r="E224" s="67" t="n"/>
      <c r="F224" s="67" t="n"/>
      <c r="G224" s="67" t="n"/>
      <c r="H224" s="67" t="n"/>
      <c r="I224" s="67" t="n"/>
      <c r="J224" s="67" t="n"/>
      <c r="K224" s="67" t="n"/>
      <c r="L224" s="67" t="n"/>
      <c r="M224" s="67" t="n"/>
      <c r="N224" s="67" t="n"/>
      <c r="O224" s="67" t="n"/>
      <c r="P224" s="67" t="n"/>
      <c r="Q224" s="67" t="n"/>
      <c r="R224" s="67" t="n"/>
      <c r="S224" s="67" t="n"/>
      <c r="T224" s="67" t="n"/>
      <c r="U224" s="67" t="n"/>
      <c r="V224" s="67" t="n"/>
      <c r="W224" s="67" t="n"/>
      <c r="X224" s="67" t="n"/>
      <c r="Y224" s="67" t="n"/>
      <c r="Z224" s="67" t="n"/>
      <c r="AA224" s="67" t="n"/>
      <c r="AB224" s="67" t="n"/>
      <c r="AC224" s="67" t="n"/>
      <c r="AD224" s="67" t="n"/>
      <c r="AE224" s="67" t="n"/>
      <c r="AF224" s="67" t="n"/>
      <c r="AG224" s="67" t="n"/>
      <c r="GB224" s="81" t="n"/>
    </row>
    <row r="225" ht="18" customHeight="1">
      <c r="B225" s="88" t="n"/>
      <c r="C225" s="67" t="n"/>
      <c r="D225" s="67" t="n"/>
      <c r="E225" s="91" t="n"/>
      <c r="F225" s="67" t="n"/>
      <c r="G225" s="67" t="n"/>
      <c r="H225" s="67" t="n"/>
      <c r="I225" s="91" t="n"/>
      <c r="J225" s="67" t="n"/>
      <c r="K225" s="67" t="n"/>
      <c r="L225" s="67" t="n"/>
      <c r="M225" s="67" t="n"/>
      <c r="N225" s="67" t="n"/>
      <c r="O225" s="67" t="n"/>
      <c r="P225" s="67" t="n"/>
      <c r="Q225" s="67" t="n"/>
      <c r="R225" s="67" t="n"/>
      <c r="S225" s="67" t="n"/>
      <c r="T225" s="67" t="n"/>
      <c r="U225" s="67" t="n"/>
      <c r="V225" s="67" t="n"/>
      <c r="W225" s="91" t="n"/>
      <c r="X225" s="91" t="n"/>
      <c r="Y225" s="91" t="n"/>
      <c r="Z225" s="67" t="n"/>
      <c r="AA225" s="67" t="n"/>
      <c r="AB225" s="67" t="n"/>
      <c r="AC225" s="67" t="n"/>
      <c r="AD225" s="91" t="n"/>
      <c r="AE225" s="91" t="n"/>
      <c r="AF225" s="91" t="n"/>
      <c r="AG225" s="67" t="n"/>
      <c r="GB225" s="81" t="n"/>
    </row>
    <row r="226" ht="18" customHeight="1">
      <c r="B226" s="89" t="n"/>
      <c r="C226" s="67" t="n"/>
      <c r="D226" s="67" t="n"/>
      <c r="E226" s="67" t="n"/>
      <c r="F226" s="67" t="n"/>
      <c r="G226" s="67" t="n"/>
      <c r="H226" s="67" t="n"/>
      <c r="I226" s="67" t="n"/>
      <c r="J226" s="67" t="n"/>
      <c r="K226" s="67" t="n"/>
      <c r="L226" s="67" t="n"/>
      <c r="M226" s="67" t="n"/>
      <c r="N226" s="67" t="n"/>
      <c r="O226" s="67" t="n"/>
      <c r="P226" s="67" t="n"/>
      <c r="Q226" s="67" t="n"/>
      <c r="R226" s="67" t="n"/>
      <c r="S226" s="67" t="n"/>
      <c r="T226" s="67" t="n"/>
      <c r="U226" s="67" t="n"/>
      <c r="V226" s="67" t="n"/>
      <c r="W226" s="67" t="n"/>
      <c r="X226" s="67" t="n"/>
      <c r="Y226" s="67" t="n"/>
      <c r="Z226" s="67" t="n"/>
      <c r="AA226" s="67" t="n"/>
      <c r="AB226" s="67" t="n"/>
      <c r="AC226" s="67" t="n"/>
      <c r="AD226" s="67" t="n"/>
      <c r="AE226" s="67" t="n"/>
      <c r="AF226" s="67" t="n"/>
      <c r="AG226" s="67" t="n"/>
      <c r="GB226" s="81" t="n"/>
    </row>
    <row r="227" ht="18" customHeight="1">
      <c r="B227" s="88" t="n"/>
      <c r="C227" s="67" t="n"/>
      <c r="D227" s="67" t="n"/>
      <c r="E227" s="67" t="n"/>
      <c r="F227" s="67" t="n"/>
      <c r="G227" s="67" t="n"/>
      <c r="H227" s="67" t="n"/>
      <c r="I227" s="91" t="n"/>
      <c r="J227" s="91" t="n"/>
      <c r="K227" s="91" t="n"/>
      <c r="L227" s="91" t="n"/>
      <c r="M227" s="67" t="n"/>
      <c r="N227" s="67" t="n"/>
      <c r="O227" s="67" t="n"/>
      <c r="P227" s="91" t="n"/>
      <c r="Q227" s="91" t="n"/>
      <c r="R227" s="91" t="n"/>
      <c r="S227" s="91" t="n"/>
      <c r="T227" s="67" t="n"/>
      <c r="U227" s="67" t="n"/>
      <c r="V227" s="67" t="n"/>
      <c r="W227" s="91" t="n"/>
      <c r="X227" s="91" t="n"/>
      <c r="Y227" s="91" t="n"/>
      <c r="Z227" s="67" t="n"/>
      <c r="AA227" s="67" t="n"/>
      <c r="AB227" s="67" t="n"/>
      <c r="AC227" s="67" t="n"/>
      <c r="AD227" s="91" t="n"/>
      <c r="AE227" s="91" t="n"/>
      <c r="AF227" s="91" t="n"/>
      <c r="AG227" s="67" t="n"/>
      <c r="GB227" s="81" t="n"/>
    </row>
    <row r="228" ht="18" customHeight="1">
      <c r="B228" s="89" t="n"/>
      <c r="C228" s="67" t="n"/>
      <c r="D228" s="67" t="n"/>
      <c r="E228" s="67" t="n"/>
      <c r="F228" s="67" t="n"/>
      <c r="G228" s="67" t="n"/>
      <c r="H228" s="67" t="n"/>
      <c r="I228" s="67" t="n"/>
      <c r="J228" s="67" t="n"/>
      <c r="K228" s="67" t="n"/>
      <c r="L228" s="67" t="n"/>
      <c r="M228" s="67" t="n"/>
      <c r="N228" s="67" t="n"/>
      <c r="O228" s="67" t="n"/>
      <c r="P228" s="67" t="n"/>
      <c r="Q228" s="67" t="n"/>
      <c r="R228" s="67" t="n"/>
      <c r="S228" s="67" t="n"/>
      <c r="T228" s="67" t="n"/>
      <c r="U228" s="67" t="n"/>
      <c r="V228" s="67" t="n"/>
      <c r="W228" s="67" t="n"/>
      <c r="X228" s="67" t="n"/>
      <c r="Y228" s="67" t="n"/>
      <c r="Z228" s="67" t="n"/>
      <c r="AA228" s="67" t="n"/>
      <c r="AB228" s="67" t="n"/>
      <c r="AC228" s="67" t="n"/>
      <c r="AD228" s="67" t="n"/>
      <c r="AE228" s="67" t="n"/>
      <c r="AF228" s="67" t="n"/>
      <c r="AG228" s="67" t="n"/>
      <c r="GB228" s="81" t="n"/>
    </row>
    <row r="229" ht="18" customHeight="1">
      <c r="GB229" s="81" t="n"/>
    </row>
    <row r="230" ht="18" customHeight="1">
      <c r="B230" s="88" t="n"/>
      <c r="C230" s="104" t="n"/>
      <c r="D230" s="104" t="n"/>
      <c r="E230" s="104" t="n"/>
      <c r="F230" s="104" t="n"/>
      <c r="G230" s="104" t="n"/>
      <c r="H230" s="104" t="n"/>
      <c r="I230" s="104" t="n"/>
      <c r="J230" s="104" t="n"/>
      <c r="K230" s="104" t="n"/>
      <c r="L230" s="104" t="n"/>
      <c r="M230" s="104" t="n"/>
      <c r="N230" s="104" t="n"/>
      <c r="O230" s="104" t="n"/>
      <c r="P230" s="104" t="n"/>
      <c r="Q230" s="104" t="n"/>
      <c r="R230" s="104" t="n"/>
      <c r="S230" s="104" t="n"/>
      <c r="T230" s="104" t="n"/>
      <c r="U230" s="104" t="n"/>
      <c r="V230" s="104" t="n"/>
      <c r="W230" s="104" t="n"/>
      <c r="X230" s="104" t="n"/>
      <c r="Y230" s="104" t="n"/>
      <c r="Z230" s="104" t="n"/>
      <c r="AA230" s="104" t="n"/>
      <c r="AB230" s="104" t="n"/>
      <c r="AC230" s="104" t="n"/>
      <c r="AD230" s="104" t="n"/>
      <c r="AE230" s="104" t="n"/>
      <c r="AF230" s="104" t="n"/>
      <c r="AG230" s="104" t="n"/>
      <c r="GB230" s="81" t="n"/>
    </row>
    <row r="231" ht="18" customHeight="1">
      <c r="B231" s="88" t="n"/>
      <c r="C231" s="104" t="n"/>
      <c r="D231" s="104" t="n"/>
      <c r="E231" s="104" t="n"/>
      <c r="F231" s="104" t="n"/>
      <c r="G231" s="104" t="n"/>
      <c r="H231" s="104" t="n"/>
      <c r="I231" s="104" t="n"/>
      <c r="J231" s="104" t="n"/>
      <c r="K231" s="104" t="n"/>
      <c r="L231" s="104" t="n"/>
      <c r="M231" s="104" t="n"/>
      <c r="N231" s="104" t="n"/>
      <c r="O231" s="104" t="n"/>
      <c r="P231" s="104" t="n"/>
      <c r="Q231" s="104" t="n"/>
      <c r="R231" s="104" t="n"/>
      <c r="S231" s="104" t="n"/>
      <c r="T231" s="104" t="n"/>
      <c r="U231" s="104" t="n"/>
      <c r="V231" s="104" t="n"/>
      <c r="W231" s="104" t="n"/>
      <c r="X231" s="104" t="n"/>
      <c r="Y231" s="104" t="n"/>
      <c r="Z231" s="104" t="n"/>
      <c r="AA231" s="104" t="n"/>
      <c r="AB231" s="104" t="n"/>
      <c r="AC231" s="104" t="n"/>
      <c r="AD231" s="104" t="n"/>
      <c r="AE231" s="104" t="n"/>
      <c r="AF231" s="104" t="n"/>
      <c r="AG231" s="104" t="n"/>
      <c r="GB231" s="81" t="n"/>
    </row>
    <row r="232" ht="18" customHeight="1">
      <c r="B232" s="88" t="n"/>
      <c r="C232" s="67" t="n"/>
      <c r="D232" s="67" t="n"/>
      <c r="E232" s="67" t="n"/>
      <c r="F232" s="91" t="n"/>
      <c r="G232" s="91" t="n"/>
      <c r="H232" s="67" t="n"/>
      <c r="I232" s="91" t="n"/>
      <c r="J232" s="67" t="n"/>
      <c r="K232" s="67" t="n"/>
      <c r="L232" s="67" t="n"/>
      <c r="M232" s="103" t="n"/>
      <c r="N232" s="103" t="n"/>
      <c r="O232" s="103" t="n"/>
      <c r="P232" s="103" t="n"/>
      <c r="Q232" s="67" t="n"/>
      <c r="R232" s="67" t="n"/>
      <c r="S232" s="67" t="n"/>
      <c r="T232" s="67" t="n"/>
      <c r="U232" s="67" t="n"/>
      <c r="V232" s="67" t="n"/>
      <c r="W232" s="67" t="n"/>
      <c r="X232" s="67" t="n"/>
      <c r="Y232" s="67" t="n"/>
      <c r="Z232" s="67" t="n"/>
      <c r="AA232" s="67" t="n"/>
      <c r="AB232" s="67" t="n"/>
      <c r="AC232" s="67" t="n"/>
      <c r="AD232" s="67" t="n"/>
      <c r="AE232" s="67" t="n"/>
      <c r="AF232" s="67" t="n"/>
      <c r="AG232" s="67" t="n"/>
      <c r="GB232" s="81" t="n"/>
    </row>
    <row r="233" ht="18" customHeight="1">
      <c r="B233" s="89" t="n"/>
      <c r="C233" s="67" t="n"/>
      <c r="D233" s="67" t="n"/>
      <c r="E233" s="67" t="n"/>
      <c r="F233" s="67" t="n"/>
      <c r="G233" s="67" t="n"/>
      <c r="H233" s="67" t="n"/>
      <c r="I233" s="67" t="n"/>
      <c r="J233" s="67" t="n"/>
      <c r="K233" s="67" t="n"/>
      <c r="L233" s="67" t="n"/>
      <c r="M233" s="103" t="n"/>
      <c r="N233" s="103" t="n"/>
      <c r="O233" s="103" t="n"/>
      <c r="P233" s="103" t="n"/>
      <c r="Q233" s="67" t="n"/>
      <c r="R233" s="67" t="n"/>
      <c r="S233" s="67" t="n"/>
      <c r="T233" s="67" t="n"/>
      <c r="U233" s="67" t="n"/>
      <c r="V233" s="67" t="n"/>
      <c r="W233" s="67" t="n"/>
      <c r="X233" s="67" t="n"/>
      <c r="Y233" s="67" t="n"/>
      <c r="Z233" s="67" t="n"/>
      <c r="AA233" s="67" t="n"/>
      <c r="AB233" s="67" t="n"/>
      <c r="AC233" s="67" t="n"/>
      <c r="AD233" s="67" t="n"/>
      <c r="AE233" s="67" t="n"/>
      <c r="AF233" s="67" t="n"/>
      <c r="AG233" s="67" t="n"/>
      <c r="GB233" s="81" t="n"/>
    </row>
    <row r="234" ht="18" customHeight="1">
      <c r="B234" s="88" t="n"/>
      <c r="C234" s="67" t="n"/>
      <c r="D234" s="67" t="n"/>
      <c r="E234" s="67" t="n"/>
      <c r="F234" s="91" t="n"/>
      <c r="G234" s="91" t="n"/>
      <c r="H234" s="67" t="n"/>
      <c r="I234" s="91" t="n"/>
      <c r="J234" s="67" t="n"/>
      <c r="K234" s="67" t="n"/>
      <c r="L234" s="67" t="n"/>
      <c r="M234" s="103" t="n"/>
      <c r="N234" s="103" t="n"/>
      <c r="O234" s="103" t="n"/>
      <c r="P234" s="103" t="n"/>
      <c r="Q234" s="67" t="n"/>
      <c r="R234" s="67" t="n"/>
      <c r="S234" s="67" t="n"/>
      <c r="T234" s="67" t="n"/>
      <c r="U234" s="67" t="n"/>
      <c r="V234" s="67" t="n"/>
      <c r="W234" s="67" t="n"/>
      <c r="X234" s="67" t="n"/>
      <c r="Y234" s="67" t="n"/>
      <c r="Z234" s="67" t="n"/>
      <c r="AA234" s="67" t="n"/>
      <c r="AB234" s="67" t="n"/>
      <c r="AC234" s="67" t="n"/>
      <c r="AD234" s="67" t="n"/>
      <c r="AE234" s="67" t="n"/>
      <c r="AF234" s="67" t="n"/>
      <c r="AG234" s="67" t="n"/>
      <c r="GB234" s="81" t="n"/>
    </row>
    <row r="235" ht="18" customHeight="1">
      <c r="B235" s="89" t="n"/>
      <c r="C235" s="67" t="n"/>
      <c r="D235" s="67" t="n"/>
      <c r="E235" s="67" t="n"/>
      <c r="F235" s="67" t="n"/>
      <c r="G235" s="67" t="n"/>
      <c r="H235" s="67" t="n"/>
      <c r="I235" s="67" t="n"/>
      <c r="J235" s="67" t="n"/>
      <c r="K235" s="67" t="n"/>
      <c r="L235" s="67" t="n"/>
      <c r="M235" s="103" t="n"/>
      <c r="N235" s="103" t="n"/>
      <c r="O235" s="103" t="n"/>
      <c r="P235" s="103" t="n"/>
      <c r="Q235" s="67" t="n"/>
      <c r="R235" s="67" t="n"/>
      <c r="S235" s="67" t="n"/>
      <c r="T235" s="67" t="n"/>
      <c r="U235" s="67" t="n"/>
      <c r="V235" s="67" t="n"/>
      <c r="W235" s="67" t="n"/>
      <c r="X235" s="67" t="n"/>
      <c r="Y235" s="67" t="n"/>
      <c r="Z235" s="67" t="n"/>
      <c r="AA235" s="67" t="n"/>
      <c r="AB235" s="67" t="n"/>
      <c r="AC235" s="67" t="n"/>
      <c r="AD235" s="67" t="n"/>
      <c r="AE235" s="67" t="n"/>
      <c r="AF235" s="67" t="n"/>
      <c r="AG235" s="67" t="n"/>
      <c r="GB235" s="81" t="n"/>
    </row>
    <row r="236" ht="18" customHeight="1">
      <c r="B236" s="88" t="n"/>
      <c r="C236" s="67" t="n"/>
      <c r="D236" s="67" t="n"/>
      <c r="E236" s="67" t="n"/>
      <c r="F236" s="91" t="n"/>
      <c r="G236" s="91" t="n"/>
      <c r="H236" s="67" t="n"/>
      <c r="I236" s="91" t="n"/>
      <c r="J236" s="67" t="n"/>
      <c r="K236" s="67" t="n"/>
      <c r="L236" s="67" t="n"/>
      <c r="M236" s="103" t="n"/>
      <c r="N236" s="103" t="n"/>
      <c r="O236" s="67" t="n"/>
      <c r="P236" s="103" t="n"/>
      <c r="Q236" s="67" t="n"/>
      <c r="R236" s="67" t="n"/>
      <c r="S236" s="67" t="n"/>
      <c r="T236" s="67" t="n"/>
      <c r="U236" s="67" t="n"/>
      <c r="V236" s="67" t="n"/>
      <c r="W236" s="67" t="n"/>
      <c r="X236" s="67" t="n"/>
      <c r="Y236" s="67" t="n"/>
      <c r="Z236" s="67" t="n"/>
      <c r="AA236" s="67" t="n"/>
      <c r="AB236" s="67" t="n"/>
      <c r="AC236" s="67" t="n"/>
      <c r="AD236" s="67" t="n"/>
      <c r="AE236" s="67" t="n"/>
      <c r="AF236" s="67" t="n"/>
      <c r="AG236" s="67" t="n"/>
      <c r="GB236" s="81" t="n"/>
    </row>
    <row r="237" ht="18" customHeight="1">
      <c r="B237" s="89" t="n"/>
      <c r="C237" s="67" t="n"/>
      <c r="D237" s="67" t="n"/>
      <c r="E237" s="67" t="n"/>
      <c r="F237" s="67" t="n"/>
      <c r="G237" s="67" t="n"/>
      <c r="H237" s="67" t="n"/>
      <c r="I237" s="67" t="n"/>
      <c r="J237" s="67" t="n"/>
      <c r="K237" s="67" t="n"/>
      <c r="L237" s="67" t="n"/>
      <c r="M237" s="103" t="n"/>
      <c r="N237" s="103" t="n"/>
      <c r="O237" s="67" t="n"/>
      <c r="P237" s="103" t="n"/>
      <c r="Q237" s="67" t="n"/>
      <c r="R237" s="67" t="n"/>
      <c r="S237" s="67" t="n"/>
      <c r="T237" s="67" t="n"/>
      <c r="U237" s="67" t="n"/>
      <c r="V237" s="67" t="n"/>
      <c r="W237" s="67" t="n"/>
      <c r="X237" s="67" t="n"/>
      <c r="Y237" s="67" t="n"/>
      <c r="Z237" s="67" t="n"/>
      <c r="AA237" s="67" t="n"/>
      <c r="AB237" s="67" t="n"/>
      <c r="AC237" s="67" t="n"/>
      <c r="AD237" s="67" t="n"/>
      <c r="AE237" s="67" t="n"/>
      <c r="AF237" s="67" t="n"/>
      <c r="AG237" s="67" t="n"/>
      <c r="GB237" s="81" t="n"/>
    </row>
    <row r="238" ht="18" customHeight="1">
      <c r="B238" s="88" t="n"/>
      <c r="C238" s="67" t="n"/>
      <c r="D238" s="67" t="n"/>
      <c r="E238" s="67" t="n"/>
      <c r="F238" s="67" t="n"/>
      <c r="G238" s="67" t="n"/>
      <c r="H238" s="67" t="n"/>
      <c r="I238" s="67" t="n"/>
      <c r="J238" s="67" t="n"/>
      <c r="K238" s="67" t="n"/>
      <c r="L238" s="67" t="n"/>
      <c r="M238" s="103" t="n"/>
      <c r="N238" s="103" t="n"/>
      <c r="O238" s="103" t="n"/>
      <c r="P238" s="103" t="n"/>
      <c r="Q238" s="67" t="n"/>
      <c r="R238" s="67" t="n"/>
      <c r="S238" s="67" t="n"/>
      <c r="T238" s="67" t="n"/>
      <c r="U238" s="67" t="n"/>
      <c r="V238" s="67" t="n"/>
      <c r="W238" s="67" t="n"/>
      <c r="X238" s="67" t="n"/>
      <c r="Y238" s="67" t="n"/>
      <c r="Z238" s="67" t="n"/>
      <c r="AA238" s="67" t="n"/>
      <c r="AB238" s="67" t="n"/>
      <c r="AC238" s="67" t="n"/>
      <c r="AD238" s="67" t="n"/>
      <c r="AE238" s="67" t="n"/>
      <c r="AF238" s="67" t="n"/>
      <c r="AG238" s="67" t="n"/>
      <c r="GB238" s="81" t="n"/>
    </row>
    <row r="239" ht="18" customHeight="1">
      <c r="B239" s="89" t="n"/>
      <c r="C239" s="67" t="n"/>
      <c r="D239" s="67" t="n"/>
      <c r="E239" s="67" t="n"/>
      <c r="F239" s="67" t="n"/>
      <c r="G239" s="67" t="n"/>
      <c r="H239" s="67" t="n"/>
      <c r="I239" s="67" t="n"/>
      <c r="J239" s="67" t="n"/>
      <c r="K239" s="67" t="n"/>
      <c r="L239" s="67" t="n"/>
      <c r="M239" s="103" t="n"/>
      <c r="N239" s="103" t="n"/>
      <c r="O239" s="103" t="n"/>
      <c r="P239" s="103" t="n"/>
      <c r="Q239" s="67" t="n"/>
      <c r="R239" s="67" t="n"/>
      <c r="S239" s="67" t="n"/>
      <c r="T239" s="67" t="n"/>
      <c r="U239" s="67" t="n"/>
      <c r="V239" s="67" t="n"/>
      <c r="W239" s="67" t="n"/>
      <c r="X239" s="67" t="n"/>
      <c r="Y239" s="67" t="n"/>
      <c r="Z239" s="67" t="n"/>
      <c r="AA239" s="67" t="n"/>
      <c r="AB239" s="67" t="n"/>
      <c r="AC239" s="67" t="n"/>
      <c r="AD239" s="67" t="n"/>
      <c r="AE239" s="67" t="n"/>
      <c r="AF239" s="67" t="n"/>
      <c r="AG239" s="67" t="n"/>
      <c r="GB239" s="81" t="n"/>
    </row>
    <row r="240" ht="18" customHeight="1">
      <c r="B240" s="88" t="n"/>
      <c r="C240" s="67" t="n"/>
      <c r="D240" s="67" t="n"/>
      <c r="E240" s="67" t="n"/>
      <c r="F240" s="91" t="n"/>
      <c r="G240" s="91" t="n"/>
      <c r="H240" s="67" t="n"/>
      <c r="I240" s="91" t="n"/>
      <c r="J240" s="67" t="n"/>
      <c r="K240" s="67" t="n"/>
      <c r="L240" s="67" t="n"/>
      <c r="M240" s="103" t="n"/>
      <c r="N240" s="103" t="n"/>
      <c r="O240" s="103" t="n"/>
      <c r="P240" s="67" t="n"/>
      <c r="Q240" s="67" t="n"/>
      <c r="R240" s="67" t="n"/>
      <c r="S240" s="67" t="n"/>
      <c r="T240" s="67" t="n"/>
      <c r="U240" s="67" t="n"/>
      <c r="V240" s="67" t="n"/>
      <c r="W240" s="67" t="n"/>
      <c r="X240" s="67" t="n"/>
      <c r="Y240" s="67" t="n"/>
      <c r="Z240" s="67" t="n"/>
      <c r="AA240" s="67" t="n"/>
      <c r="AB240" s="67" t="n"/>
      <c r="AC240" s="67" t="n"/>
      <c r="AD240" s="67" t="n"/>
      <c r="AE240" s="67" t="n"/>
      <c r="AF240" s="67" t="n"/>
      <c r="AG240" s="67" t="n"/>
      <c r="GB240" s="81" t="n"/>
    </row>
    <row r="241" ht="18" customHeight="1">
      <c r="B241" s="89" t="n"/>
      <c r="C241" s="67" t="n"/>
      <c r="D241" s="67" t="n"/>
      <c r="E241" s="67" t="n"/>
      <c r="F241" s="67" t="n"/>
      <c r="G241" s="67" t="n"/>
      <c r="H241" s="67" t="n"/>
      <c r="I241" s="67" t="n"/>
      <c r="J241" s="67" t="n"/>
      <c r="K241" s="67" t="n"/>
      <c r="L241" s="67" t="n"/>
      <c r="M241" s="103" t="n"/>
      <c r="N241" s="103" t="n"/>
      <c r="O241" s="103" t="n"/>
      <c r="P241" s="67" t="n"/>
      <c r="Q241" s="67" t="n"/>
      <c r="R241" s="67" t="n"/>
      <c r="S241" s="67" t="n"/>
      <c r="T241" s="67" t="n"/>
      <c r="U241" s="67" t="n"/>
      <c r="V241" s="67" t="n"/>
      <c r="W241" s="67" t="n"/>
      <c r="X241" s="67" t="n"/>
      <c r="Y241" s="67" t="n"/>
      <c r="Z241" s="67" t="n"/>
      <c r="AA241" s="67" t="n"/>
      <c r="AB241" s="67" t="n"/>
      <c r="AC241" s="67" t="n"/>
      <c r="AD241" s="67" t="n"/>
      <c r="AE241" s="67" t="n"/>
      <c r="AF241" s="67" t="n"/>
      <c r="AG241" s="67" t="n"/>
      <c r="GB241" s="81" t="n"/>
    </row>
    <row r="242" ht="18" customHeight="1">
      <c r="B242" s="88" t="n"/>
      <c r="C242" s="67" t="n"/>
      <c r="D242" s="67" t="n"/>
      <c r="E242" s="67" t="n"/>
      <c r="F242" s="91" t="n"/>
      <c r="G242" s="91" t="n"/>
      <c r="H242" s="67" t="n"/>
      <c r="I242" s="91" t="n"/>
      <c r="J242" s="67" t="n"/>
      <c r="K242" s="67" t="n"/>
      <c r="L242" s="67" t="n"/>
      <c r="M242" s="67" t="n"/>
      <c r="N242" s="67" t="n"/>
      <c r="O242" s="103" t="n"/>
      <c r="P242" s="103" t="n"/>
      <c r="Q242" s="67" t="n"/>
      <c r="R242" s="67" t="n"/>
      <c r="S242" s="67" t="n"/>
      <c r="T242" s="67" t="n"/>
      <c r="U242" s="67" t="n"/>
      <c r="V242" s="67" t="n"/>
      <c r="W242" s="67" t="n"/>
      <c r="X242" s="67" t="n"/>
      <c r="Y242" s="67" t="n"/>
      <c r="Z242" s="67" t="n"/>
      <c r="AA242" s="67" t="n"/>
      <c r="AB242" s="67" t="n"/>
      <c r="AC242" s="67" t="n"/>
      <c r="AD242" s="67" t="n"/>
      <c r="AE242" s="67" t="n"/>
      <c r="AF242" s="67" t="n"/>
      <c r="AG242" s="67" t="n"/>
      <c r="GB242" s="81" t="n"/>
    </row>
    <row r="243" ht="18" customHeight="1">
      <c r="B243" s="89" t="n"/>
      <c r="C243" s="67" t="n"/>
      <c r="D243" s="67" t="n"/>
      <c r="E243" s="67" t="n"/>
      <c r="F243" s="67" t="n"/>
      <c r="G243" s="67" t="n"/>
      <c r="H243" s="67" t="n"/>
      <c r="I243" s="67" t="n"/>
      <c r="J243" s="67" t="n"/>
      <c r="K243" s="67" t="n"/>
      <c r="L243" s="67" t="n"/>
      <c r="M243" s="67" t="n"/>
      <c r="N243" s="67" t="n"/>
      <c r="O243" s="103" t="n"/>
      <c r="P243" s="103" t="n"/>
      <c r="Q243" s="67" t="n"/>
      <c r="R243" s="67" t="n"/>
      <c r="S243" s="67" t="n"/>
      <c r="T243" s="67" t="n"/>
      <c r="U243" s="67" t="n"/>
      <c r="V243" s="67" t="n"/>
      <c r="W243" s="67" t="n"/>
      <c r="X243" s="67" t="n"/>
      <c r="Y243" s="67" t="n"/>
      <c r="Z243" s="67" t="n"/>
      <c r="AA243" s="67" t="n"/>
      <c r="AB243" s="67" t="n"/>
      <c r="AC243" s="67" t="n"/>
      <c r="AD243" s="67" t="n"/>
      <c r="AE243" s="67" t="n"/>
      <c r="AF243" s="67" t="n"/>
      <c r="AG243" s="67" t="n"/>
      <c r="GB243" s="81" t="n"/>
    </row>
    <row r="244" ht="18" customHeight="1">
      <c r="B244" s="88" t="n"/>
      <c r="C244" s="67" t="n"/>
      <c r="D244" s="67" t="n"/>
      <c r="E244" s="67" t="n"/>
      <c r="F244" s="91" t="n"/>
      <c r="G244" s="91" t="n"/>
      <c r="H244" s="67" t="n"/>
      <c r="I244" s="91" t="n"/>
      <c r="J244" s="67" t="n"/>
      <c r="K244" s="67" t="n"/>
      <c r="L244" s="67" t="n"/>
      <c r="M244" s="103" t="n"/>
      <c r="N244" s="103" t="n"/>
      <c r="O244" s="103" t="n"/>
      <c r="P244" s="103" t="n"/>
      <c r="Q244" s="67" t="n"/>
      <c r="R244" s="67" t="n"/>
      <c r="S244" s="67" t="n"/>
      <c r="T244" s="67" t="n"/>
      <c r="U244" s="67" t="n"/>
      <c r="V244" s="67" t="n"/>
      <c r="W244" s="67" t="n"/>
      <c r="X244" s="67" t="n"/>
      <c r="Y244" s="67" t="n"/>
      <c r="Z244" s="67" t="n"/>
      <c r="AA244" s="67" t="n"/>
      <c r="AB244" s="67" t="n"/>
      <c r="AC244" s="67" t="n"/>
      <c r="AD244" s="67" t="n"/>
      <c r="AE244" s="67" t="n"/>
      <c r="AF244" s="67" t="n"/>
      <c r="AG244" s="67" t="n"/>
      <c r="GB244" s="81" t="n"/>
    </row>
    <row r="245" ht="18" customHeight="1">
      <c r="B245" s="89" t="n"/>
      <c r="C245" s="67" t="n"/>
      <c r="D245" s="67" t="n"/>
      <c r="E245" s="67" t="n"/>
      <c r="F245" s="67" t="n"/>
      <c r="G245" s="67" t="n"/>
      <c r="H245" s="67" t="n"/>
      <c r="I245" s="67" t="n"/>
      <c r="J245" s="67" t="n"/>
      <c r="K245" s="67" t="n"/>
      <c r="L245" s="67" t="n"/>
      <c r="M245" s="103" t="n"/>
      <c r="N245" s="103" t="n"/>
      <c r="O245" s="103" t="n"/>
      <c r="P245" s="103" t="n"/>
      <c r="Q245" s="67" t="n"/>
      <c r="R245" s="67" t="n"/>
      <c r="S245" s="67" t="n"/>
      <c r="T245" s="67" t="n"/>
      <c r="U245" s="67" t="n"/>
      <c r="V245" s="67" t="n"/>
      <c r="W245" s="67" t="n"/>
      <c r="X245" s="67" t="n"/>
      <c r="Y245" s="67" t="n"/>
      <c r="Z245" s="67" t="n"/>
      <c r="AA245" s="67" t="n"/>
      <c r="AB245" s="67" t="n"/>
      <c r="AC245" s="67" t="n"/>
      <c r="AD245" s="67" t="n"/>
      <c r="AE245" s="67" t="n"/>
      <c r="AF245" s="67" t="n"/>
      <c r="AG245" s="67" t="n"/>
      <c r="GB245" s="81" t="n"/>
    </row>
    <row r="246" ht="18" customHeight="1">
      <c r="B246" s="88" t="n"/>
      <c r="C246" s="67" t="n"/>
      <c r="D246" s="67" t="n"/>
      <c r="E246" s="67" t="n"/>
      <c r="F246" s="91" t="n"/>
      <c r="G246" s="91" t="n"/>
      <c r="H246" s="67" t="n"/>
      <c r="I246" s="91" t="n"/>
      <c r="J246" s="67" t="n"/>
      <c r="K246" s="67" t="n"/>
      <c r="L246" s="67" t="n"/>
      <c r="M246" s="103" t="n"/>
      <c r="N246" s="103" t="n"/>
      <c r="O246" s="103" t="n"/>
      <c r="P246" s="103" t="n"/>
      <c r="Q246" s="67" t="n"/>
      <c r="R246" s="67" t="n"/>
      <c r="S246" s="67" t="n"/>
      <c r="T246" s="67" t="n"/>
      <c r="U246" s="67" t="n"/>
      <c r="V246" s="67" t="n"/>
      <c r="W246" s="67" t="n"/>
      <c r="X246" s="67" t="n"/>
      <c r="Y246" s="67" t="n"/>
      <c r="Z246" s="67" t="n"/>
      <c r="AA246" s="67" t="n"/>
      <c r="AB246" s="67" t="n"/>
      <c r="AC246" s="67" t="n"/>
      <c r="AD246" s="67" t="n"/>
      <c r="AE246" s="67" t="n"/>
      <c r="AF246" s="67" t="n"/>
      <c r="AG246" s="67" t="n"/>
      <c r="GB246" s="81" t="n"/>
    </row>
    <row r="247" ht="18" customHeight="1">
      <c r="B247" s="89" t="n"/>
      <c r="C247" s="67" t="n"/>
      <c r="D247" s="67" t="n"/>
      <c r="E247" s="67" t="n"/>
      <c r="F247" s="67" t="n"/>
      <c r="G247" s="67" t="n"/>
      <c r="H247" s="67" t="n"/>
      <c r="I247" s="67" t="n"/>
      <c r="J247" s="67" t="n"/>
      <c r="K247" s="67" t="n"/>
      <c r="L247" s="67" t="n"/>
      <c r="M247" s="103" t="n"/>
      <c r="N247" s="103" t="n"/>
      <c r="O247" s="103" t="n"/>
      <c r="P247" s="103" t="n"/>
      <c r="Q247" s="67" t="n"/>
      <c r="R247" s="67" t="n"/>
      <c r="S247" s="67" t="n"/>
      <c r="T247" s="67" t="n"/>
      <c r="U247" s="67" t="n"/>
      <c r="V247" s="67" t="n"/>
      <c r="W247" s="67" t="n"/>
      <c r="X247" s="67" t="n"/>
      <c r="Y247" s="67" t="n"/>
      <c r="Z247" s="67" t="n"/>
      <c r="AA247" s="67" t="n"/>
      <c r="AB247" s="67" t="n"/>
      <c r="AC247" s="67" t="n"/>
      <c r="AD247" s="67" t="n"/>
      <c r="AE247" s="67" t="n"/>
      <c r="AF247" s="67" t="n"/>
      <c r="AG247" s="67" t="n"/>
      <c r="GB247" s="81" t="n"/>
    </row>
    <row r="248">
      <c r="GB248" s="81" t="n"/>
    </row>
    <row r="249">
      <c r="GB249" s="81" t="n"/>
    </row>
    <row r="250">
      <c r="GB250" s="81" t="n"/>
    </row>
    <row r="251">
      <c r="GB251" s="81" t="n"/>
    </row>
    <row r="252">
      <c r="GB252" s="81" t="n"/>
    </row>
    <row r="253">
      <c r="GB253" s="81" t="n"/>
    </row>
    <row r="254">
      <c r="GB254" s="81" t="n"/>
    </row>
    <row r="255">
      <c r="GB255" s="81" t="n"/>
    </row>
    <row r="256">
      <c r="GB256" s="81" t="n"/>
    </row>
    <row r="257">
      <c r="GB257" s="81" t="n"/>
    </row>
    <row r="258">
      <c r="GB258" s="81" t="n"/>
    </row>
    <row r="259">
      <c r="GB259" s="81" t="n"/>
    </row>
    <row r="260">
      <c r="GB260" s="174" t="n"/>
    </row>
    <row r="261">
      <c r="GB261" s="174" t="n"/>
    </row>
    <row r="262">
      <c r="GB262" s="174" t="n"/>
    </row>
    <row r="263">
      <c r="GB263" s="174" t="n"/>
    </row>
    <row r="264">
      <c r="GB264" s="174" t="n"/>
    </row>
    <row r="265">
      <c r="GB265" s="174" t="n"/>
    </row>
    <row r="266">
      <c r="GB266" s="174" t="n"/>
    </row>
    <row r="267">
      <c r="GB267" s="174" t="n"/>
    </row>
    <row r="268">
      <c r="GB268" s="174" t="n"/>
    </row>
    <row r="269">
      <c r="GB269" s="174" t="n"/>
    </row>
    <row r="270">
      <c r="GB270" s="174" t="n"/>
    </row>
    <row r="271">
      <c r="GB271" s="174" t="n"/>
    </row>
    <row r="272">
      <c r="GB272" s="174" t="n"/>
    </row>
    <row r="273">
      <c r="GB273" s="174" t="n"/>
    </row>
    <row r="274">
      <c r="GB274" s="174" t="n"/>
    </row>
    <row r="275">
      <c r="GB275" s="174" t="n"/>
    </row>
    <row r="276">
      <c r="GB276" s="174" t="n"/>
    </row>
    <row r="277">
      <c r="GB277" s="174" t="n"/>
    </row>
    <row r="278">
      <c r="GB278" s="174" t="n"/>
    </row>
    <row r="279">
      <c r="GB279" s="174" t="n"/>
    </row>
    <row r="280">
      <c r="GB280" s="174" t="n"/>
    </row>
    <row r="281">
      <c r="GB281" s="174" t="n"/>
    </row>
    <row r="282">
      <c r="GB282" s="174" t="n"/>
    </row>
    <row r="283">
      <c r="GB283" s="174" t="n"/>
    </row>
    <row r="284">
      <c r="GB284" s="174" t="n"/>
    </row>
    <row r="285">
      <c r="GB285" s="174" t="n"/>
    </row>
    <row r="286">
      <c r="GB286" s="174" t="n"/>
    </row>
    <row r="287">
      <c r="GB287" s="174" t="n"/>
    </row>
    <row r="288">
      <c r="GB288" s="174" t="n"/>
    </row>
    <row r="289">
      <c r="GB289" s="174" t="n"/>
    </row>
    <row r="290">
      <c r="GB290" s="174" t="n"/>
    </row>
    <row r="291">
      <c r="GB291" s="174" t="n"/>
    </row>
    <row r="292">
      <c r="GB292" s="174" t="n"/>
    </row>
    <row r="293">
      <c r="GB293" s="174" t="n"/>
    </row>
    <row r="294">
      <c r="GB294" s="174" t="n"/>
    </row>
    <row r="295">
      <c r="GB295" s="174" t="n"/>
    </row>
    <row r="296">
      <c r="GB296" s="174" t="n"/>
    </row>
    <row r="297">
      <c r="GB297" s="174" t="n"/>
    </row>
    <row r="298">
      <c r="GB298" s="174" t="n"/>
    </row>
    <row r="299">
      <c r="GB299" s="174" t="n"/>
    </row>
    <row r="300">
      <c r="GB300" s="174" t="n"/>
    </row>
    <row r="301">
      <c r="GB301" s="174" t="n"/>
    </row>
    <row r="302">
      <c r="GB302" s="174" t="n"/>
    </row>
    <row r="303">
      <c r="GB303" s="174" t="n"/>
    </row>
    <row r="304">
      <c r="GB304" s="174" t="n"/>
    </row>
    <row r="305">
      <c r="GB305" s="174" t="n"/>
    </row>
    <row r="306">
      <c r="GB306" s="174" t="n"/>
    </row>
    <row r="307">
      <c r="GB307" s="174" t="n"/>
    </row>
  </sheetData>
  <mergeCells count="122">
    <mergeCell ref="FF22:FL22"/>
    <mergeCell ref="C39:F39"/>
    <mergeCell ref="DV5:EB5"/>
    <mergeCell ref="FM22:FS22"/>
    <mergeCell ref="BZ22:CF22"/>
    <mergeCell ref="C21:E21"/>
    <mergeCell ref="EE3:EH3"/>
    <mergeCell ref="ED22:EJ22"/>
    <mergeCell ref="U5:AA5"/>
    <mergeCell ref="AR3:AU3"/>
    <mergeCell ref="CQ8:CQ19"/>
    <mergeCell ref="O37:R37"/>
    <mergeCell ref="AI5:AO5"/>
    <mergeCell ref="AI39:AO39"/>
    <mergeCell ref="C42:C53"/>
    <mergeCell ref="AW39:BC39"/>
    <mergeCell ref="DW22:EC22"/>
    <mergeCell ref="G39:M39"/>
    <mergeCell ref="CG22:CM22"/>
    <mergeCell ref="AQ22:AW22"/>
    <mergeCell ref="AV3:AY3"/>
    <mergeCell ref="DA5:DG5"/>
    <mergeCell ref="CU22:DA22"/>
    <mergeCell ref="B40:B41"/>
    <mergeCell ref="EY22:FE22"/>
    <mergeCell ref="FN20:FP20"/>
    <mergeCell ref="FL3:FO3"/>
    <mergeCell ref="AU4:BC4"/>
    <mergeCell ref="C2:F2"/>
    <mergeCell ref="FE5:FK5"/>
    <mergeCell ref="BD39:BI39"/>
    <mergeCell ref="FY25:FY36"/>
    <mergeCell ref="BY20:CA20"/>
    <mergeCell ref="M3:P3"/>
    <mergeCell ref="BL22:BR22"/>
    <mergeCell ref="EP8:EP19"/>
    <mergeCell ref="GA22:GD22"/>
    <mergeCell ref="S20:V20"/>
    <mergeCell ref="DP22:DV22"/>
    <mergeCell ref="C38:L38"/>
    <mergeCell ref="H42:H53"/>
    <mergeCell ref="AJ22:AP22"/>
    <mergeCell ref="CN22:CT22"/>
    <mergeCell ref="Q3:T3"/>
    <mergeCell ref="CY3:DB3"/>
    <mergeCell ref="DE20:DG20"/>
    <mergeCell ref="C5:F5"/>
    <mergeCell ref="C22:G22"/>
    <mergeCell ref="AR20:AT20"/>
    <mergeCell ref="EI3:EL3"/>
    <mergeCell ref="CT5:CZ5"/>
    <mergeCell ref="FX25:FX36"/>
    <mergeCell ref="BY5:CE5"/>
    <mergeCell ref="DN21:DV21"/>
    <mergeCell ref="CS25:CS36"/>
    <mergeCell ref="GD25:GD36"/>
    <mergeCell ref="AW5:BC5"/>
    <mergeCell ref="BE22:BK22"/>
    <mergeCell ref="O22:U22"/>
    <mergeCell ref="CS8:CS19"/>
    <mergeCell ref="BT3:BW3"/>
    <mergeCell ref="DI22:DO22"/>
    <mergeCell ref="C4:H4"/>
    <mergeCell ref="BS22:BY22"/>
    <mergeCell ref="AX37:BA37"/>
    <mergeCell ref="AC22:AI22"/>
    <mergeCell ref="H22:N22"/>
    <mergeCell ref="FZ5:GA5"/>
    <mergeCell ref="DO5:DU5"/>
    <mergeCell ref="FS5:FY5"/>
    <mergeCell ref="BX3:CA3"/>
    <mergeCell ref="FH3:FK3"/>
    <mergeCell ref="V22:AB22"/>
    <mergeCell ref="BR5:BX5"/>
    <mergeCell ref="CT8:CT19"/>
    <mergeCell ref="GG24:GH24"/>
    <mergeCell ref="CK4:CZ4"/>
    <mergeCell ref="AP5:AV5"/>
    <mergeCell ref="AX22:BD22"/>
    <mergeCell ref="EJ5:EP5"/>
    <mergeCell ref="AT37:AW37"/>
    <mergeCell ref="O20:R20"/>
    <mergeCell ref="EK20:EM20"/>
    <mergeCell ref="EF8:EF19"/>
    <mergeCell ref="DV25:DV36"/>
    <mergeCell ref="EX5:FD5"/>
    <mergeCell ref="DC3:DF3"/>
    <mergeCell ref="S37:V37"/>
    <mergeCell ref="DH5:DN5"/>
    <mergeCell ref="FL5:FR5"/>
    <mergeCell ref="G5:M5"/>
    <mergeCell ref="BK5:BQ5"/>
    <mergeCell ref="U39:AA39"/>
    <mergeCell ref="DB20:DD20"/>
    <mergeCell ref="H8:H19"/>
    <mergeCell ref="AF21:BY21"/>
    <mergeCell ref="FA8:FA19"/>
    <mergeCell ref="DS8:DS19"/>
    <mergeCell ref="CB20:CD20"/>
    <mergeCell ref="EC5:EI5"/>
    <mergeCell ref="FT22:FZ22"/>
    <mergeCell ref="CM5:CS5"/>
    <mergeCell ref="EQ8:EQ19"/>
    <mergeCell ref="EQ5:EW5"/>
    <mergeCell ref="EK22:EQ22"/>
    <mergeCell ref="AB5:AH5"/>
    <mergeCell ref="EH20:EJ20"/>
    <mergeCell ref="CF5:CL5"/>
    <mergeCell ref="FW25:FW36"/>
    <mergeCell ref="EO4:FD4"/>
    <mergeCell ref="AP39:AV39"/>
    <mergeCell ref="BD5:BJ5"/>
    <mergeCell ref="N5:T5"/>
    <mergeCell ref="AU20:AW20"/>
    <mergeCell ref="N39:T39"/>
    <mergeCell ref="FV21:GD21"/>
    <mergeCell ref="C8:C19"/>
    <mergeCell ref="AB39:AH39"/>
    <mergeCell ref="ER22:EX22"/>
    <mergeCell ref="DB22:DH22"/>
    <mergeCell ref="GE24:GF24"/>
    <mergeCell ref="FK20:FM20"/>
  </mergeCells>
  <printOptions horizontalCentered="1"/>
  <pageMargins left="0.7874015748031497" right="0.7874015748031497" top="1.574803149606299" bottom="0.984251968503937" header="0.5118110236220472" footer="0.5118110236220472"/>
  <pageSetup orientation="landscape" paperSize="9" scale="67" pageOrder="overThenDown"/>
  <colBreaks count="4" manualBreakCount="4">
    <brk id="33" min="2" max="15" man="1"/>
    <brk id="94" min="19" max="32" man="1"/>
    <brk id="122" min="2" max="15" man="1"/>
    <brk id="155" min="19" max="32" man="1"/>
  </colBreaks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Tabelle3">
    <outlinePr summaryBelow="1" summaryRight="1"/>
    <pageSetUpPr/>
  </sheetPr>
  <dimension ref="A1:T16"/>
  <sheetViews>
    <sheetView workbookViewId="0">
      <selection activeCell="F25" sqref="F25"/>
    </sheetView>
  </sheetViews>
  <sheetFormatPr baseColWidth="10" defaultColWidth="11.44140625" defaultRowHeight="13.2"/>
  <cols>
    <col width="13.109375" bestFit="1" customWidth="1" min="2" max="2"/>
    <col width="6.88671875" customWidth="1" min="3" max="20"/>
  </cols>
  <sheetData>
    <row r="1">
      <c r="A1" s="469" t="n"/>
      <c r="B1" s="469" t="n"/>
      <c r="C1" s="469" t="n"/>
      <c r="D1" s="469" t="n"/>
      <c r="E1" s="469" t="n"/>
      <c r="F1" s="469" t="n"/>
      <c r="G1" s="469" t="n"/>
      <c r="H1" s="469" t="n"/>
      <c r="I1" s="469" t="n"/>
      <c r="J1" s="469" t="n"/>
      <c r="K1" s="469" t="n"/>
      <c r="L1" s="469" t="n"/>
      <c r="M1" s="469" t="n"/>
      <c r="N1" s="469" t="n"/>
      <c r="O1" s="469" t="n"/>
      <c r="P1" s="469" t="n"/>
      <c r="Q1" s="469" t="n"/>
      <c r="R1" s="469" t="n"/>
      <c r="S1" s="469" t="n"/>
      <c r="T1" s="469" t="n"/>
    </row>
    <row r="2">
      <c r="A2" s="469" t="n"/>
      <c r="B2" s="469" t="inlineStr">
        <is>
          <t>Jahr</t>
        </is>
      </c>
      <c r="C2" s="469">
        <f>Dienstplan!C2</f>
        <v/>
      </c>
      <c r="D2" s="469" t="n"/>
      <c r="E2" s="469" t="n"/>
      <c r="F2" s="469" t="n"/>
      <c r="G2" s="469" t="n"/>
      <c r="H2" s="469" t="n"/>
      <c r="I2" s="469" t="n"/>
      <c r="J2" s="469" t="n"/>
      <c r="K2" s="469" t="n"/>
      <c r="L2" s="469" t="n"/>
      <c r="M2" s="469" t="n"/>
      <c r="N2" s="469" t="n"/>
      <c r="O2" s="469" t="n"/>
      <c r="P2" s="469" t="n"/>
      <c r="Q2" s="469" t="n"/>
      <c r="R2" s="469" t="n"/>
      <c r="S2" s="469" t="n"/>
      <c r="T2" s="469" t="n"/>
    </row>
    <row r="3">
      <c r="A3" s="469" t="n"/>
      <c r="B3" s="469" t="n"/>
      <c r="C3" s="469">
        <f>Monat!AB3</f>
        <v/>
      </c>
      <c r="D3" s="469">
        <f>Monat!AB4</f>
        <v/>
      </c>
      <c r="E3" s="469">
        <f>Monat!AB5</f>
        <v/>
      </c>
      <c r="F3" s="469">
        <f>Monat!AB6</f>
        <v/>
      </c>
      <c r="G3" s="469">
        <f>Monat!AB7</f>
        <v/>
      </c>
      <c r="H3" s="469">
        <f>Monat!AB8</f>
        <v/>
      </c>
      <c r="I3" s="469">
        <f>Monat!AB9</f>
        <v/>
      </c>
      <c r="J3" s="469">
        <f>Monat!AB10</f>
        <v/>
      </c>
      <c r="K3" s="469">
        <f>Monat!AB11</f>
        <v/>
      </c>
      <c r="L3" s="469">
        <f>Monat!AB12</f>
        <v/>
      </c>
      <c r="M3" s="469">
        <f>Monat!AB13</f>
        <v/>
      </c>
      <c r="N3" s="469">
        <f>Monat!AB14</f>
        <v/>
      </c>
      <c r="O3" s="469">
        <f>Monat!AB15</f>
        <v/>
      </c>
      <c r="P3" s="469">
        <f>Monat!AB16</f>
        <v/>
      </c>
      <c r="Q3" s="469">
        <f>Monat!AB17</f>
        <v/>
      </c>
      <c r="R3" s="469">
        <f>Monat!AB18</f>
        <v/>
      </c>
      <c r="S3" s="469">
        <f>Monat!AB19</f>
        <v/>
      </c>
      <c r="T3" s="469" t="n"/>
    </row>
    <row r="4">
      <c r="A4" s="470" t="n"/>
      <c r="B4" s="471">
        <f>Dienstplan!B8</f>
        <v/>
      </c>
      <c r="C4" s="472">
        <f>SUM(Monat!C4,Monat!C20,Monat!C36,Monat!C52,Monat!C68,Monat!C84,Monat!C100+Monat!C116,Monat!C132,Monat!C148,Monat!C164,Monat!C180)</f>
        <v/>
      </c>
      <c r="D4" s="472">
        <f>SUM(Monat!D4,Monat!D20,Monat!D36,Monat!D52,Monat!D68,Monat!D84,Monat!D100+Monat!D116,Monat!D132,Monat!D148,Monat!D164,Monat!D180)</f>
        <v/>
      </c>
      <c r="E4" s="472">
        <f>SUM(Monat!E4,Monat!E20,Monat!E36,Monat!E52,Monat!E68,Monat!E84,Monat!E100,Monat!E116,Monat!E132,Monat!E148,Monat!E164,Monat!E180)</f>
        <v/>
      </c>
      <c r="F4" s="472">
        <f>SUM(Monat!F4,Monat!F20,Monat!F36,Monat!F52,Monat!F68,Monat!F84,Monat!F100+Monat!F116,Monat!F132,Monat!F148,Monat!F164,Monat!F180)</f>
        <v/>
      </c>
      <c r="G4" s="472">
        <f>SUM(Monat!G4,Monat!G20,Monat!G36,Monat!G52,Monat!G68,Monat!G84,Monat!G100+Monat!G116,Monat!G132,Monat!G148,Monat!G164,Monat!G180)</f>
        <v/>
      </c>
      <c r="H4" s="472">
        <f>SUM(Monat!H4,Monat!H20,Monat!H36,Monat!H52,Monat!H68,Monat!H84,Monat!H100+Monat!H116,Monat!H132,Monat!H148,Monat!H164,Monat!H180)</f>
        <v/>
      </c>
      <c r="I4" s="472">
        <f>SUM(Monat!I4,Monat!I20,Monat!I36,Monat!I52,Monat!I68,Monat!I84,Monat!I100+Monat!I116,Monat!I132,Monat!I148,Monat!I164,Monat!I180)</f>
        <v/>
      </c>
      <c r="J4" s="472">
        <f>SUM(Monat!J4,Monat!J20,Monat!J36,Monat!J52,Monat!J68,Monat!J84,Monat!J100+Monat!J116,Monat!J132,Monat!J148,Monat!J164,Monat!J180)</f>
        <v/>
      </c>
      <c r="K4" s="472">
        <f>SUM(Monat!K4,Monat!K20,Monat!K36,Monat!K52,Monat!K68,Monat!K84,Monat!K100+Monat!K116,Monat!K132,Monat!K148,Monat!K164,Monat!K180)</f>
        <v/>
      </c>
      <c r="L4" s="472">
        <f>SUM(Monat!L4,Monat!L20,Monat!L36,Monat!L52,Monat!L68,Monat!L84,Monat!L100+Monat!L116,Monat!L132,Monat!L148,Monat!L164,Monat!L180)</f>
        <v/>
      </c>
      <c r="M4" s="472">
        <f>SUM(Monat!M4,Monat!M20,Monat!M36,Monat!M52,Monat!M68,Monat!M84,Monat!M100+Monat!M116,Monat!M132,Monat!M148,Monat!M164,Monat!M180)</f>
        <v/>
      </c>
      <c r="N4" s="472">
        <f>SUM(Monat!N4,Monat!N20,Monat!N36,Monat!N52,Monat!N68,Monat!N84,Monat!N100+Monat!N116,Monat!N132,Monat!N148,Monat!N164,Monat!N180)</f>
        <v/>
      </c>
      <c r="O4" s="472">
        <f>SUM(Monat!O4,Monat!O20,Monat!O36,Monat!O52,Monat!O68,Monat!O84,Monat!O100+Monat!O116,Monat!O132,Monat!O148,Monat!O164,Monat!O180)</f>
        <v/>
      </c>
      <c r="P4" s="472">
        <f>SUM(Monat!P4,Monat!P20,Monat!P36,Monat!P52,Monat!P68,Monat!P84,Monat!P100+Monat!P116,Monat!P132,Monat!P148,Monat!P164,Monat!P180)</f>
        <v/>
      </c>
      <c r="Q4" s="472">
        <f>SUM(Monat!Q4,Monat!Q20,Monat!Q36,Monat!Q52,Monat!Q68,Monat!Q84,Monat!Q100+Monat!Q116,Monat!Q132,Monat!Q148,Monat!Q164,Monat!Q180)</f>
        <v/>
      </c>
      <c r="R4" s="472">
        <f>SUM(Monat!R4,Monat!R20,Monat!R36,Monat!R52,Monat!R68,Monat!R84,Monat!R100+Monat!R116,Monat!R132,Monat!R148,Monat!R164,Monat!R180)</f>
        <v/>
      </c>
      <c r="S4" s="472">
        <f>SUM(Monat!S4,Monat!S20,Monat!S36,Monat!S52,Monat!S68,Monat!S84,Monat!S100+Monat!S116,Monat!S132,Monat!S148,Monat!S164,Monat!S180)</f>
        <v/>
      </c>
      <c r="T4" s="472" t="n"/>
    </row>
    <row r="5">
      <c r="A5" s="470" t="n"/>
      <c r="B5" s="471">
        <f>Dienstplan!B9</f>
        <v/>
      </c>
      <c r="C5" s="472">
        <f>SUM(Monat!C5,Monat!C21,Monat!C37,Monat!C53,Monat!C69,Monat!C85,Monat!C101+Monat!C117,Monat!C133,Monat!C149,Monat!C165,Monat!C181)</f>
        <v/>
      </c>
      <c r="D5" s="472">
        <f>SUM(Monat!D5,Monat!D21,Monat!D37,Monat!D53,Monat!D69,Monat!D85,Monat!D101+Monat!D117,Monat!D133,Monat!D149,Monat!D165,Monat!D181)</f>
        <v/>
      </c>
      <c r="E5" s="472">
        <f>SUM(Monat!E5,Monat!E21,Monat!E37,Monat!E53,Monat!E69,Monat!E85,Monat!E101+Monat!E117,Monat!E133,Monat!E149,Monat!E165,Monat!E181)</f>
        <v/>
      </c>
      <c r="F5" s="472">
        <f>SUM(Monat!F5,Monat!F21,Monat!F37,Monat!F53,Monat!F69,Monat!F85,Monat!F101+Monat!F117,Monat!F133,Monat!F149,Monat!F165,Monat!F181)</f>
        <v/>
      </c>
      <c r="G5" s="472">
        <f>SUM(Monat!G5,Monat!G21,Monat!G37,Monat!G53,Monat!G69,Monat!G85,Monat!G101+Monat!G117,Monat!G133,Monat!G149,Monat!G165,Monat!G181)</f>
        <v/>
      </c>
      <c r="H5" s="472">
        <f>SUM(Monat!H5,Monat!H21,Monat!H37,Monat!H53,Monat!H69,Monat!H85,Monat!H101+Monat!H117,Monat!H133,Monat!H149,Monat!H165,Monat!H181)</f>
        <v/>
      </c>
      <c r="I5" s="472">
        <f>SUM(Monat!I5,Monat!I21,Monat!I37,Monat!I53,Monat!I69,Monat!I85,Monat!I101+Monat!I117,Monat!I133,Monat!I149,Monat!I165,Monat!I181)</f>
        <v/>
      </c>
      <c r="J5" s="472">
        <f>SUM(Monat!J5,Monat!J21,Monat!J37,Monat!J53,Monat!J69,Monat!J85,Monat!J101+Monat!J117,Monat!J133,Monat!J149,Monat!J165,Monat!J181)</f>
        <v/>
      </c>
      <c r="K5" s="472">
        <f>SUM(Monat!K5,Monat!K21,Monat!K37,Monat!K53,Monat!K69,Monat!K85,Monat!K101+Monat!K117,Monat!K133,Monat!K149,Monat!K165,Monat!K181)</f>
        <v/>
      </c>
      <c r="L5" s="472">
        <f>SUM(Monat!L5,Monat!L21,Monat!L37,Monat!L53,Monat!L69,Monat!L85,Monat!L101+Monat!L117,Monat!L133,Monat!L149,Monat!L165,Monat!L181)</f>
        <v/>
      </c>
      <c r="M5" s="472">
        <f>SUM(Monat!M5,Monat!M21,Monat!M37,Monat!M53,Monat!M69,Monat!M85,Monat!M101+Monat!M117,Monat!M133,Monat!M149,Monat!M165,Monat!M181)</f>
        <v/>
      </c>
      <c r="N5" s="472">
        <f>SUM(Monat!N5,Monat!N21,Monat!N37,Monat!N53,Monat!N69,Monat!N85,Monat!N101+Monat!N117,Monat!N133,Monat!N149,Monat!N165,Monat!N181)</f>
        <v/>
      </c>
      <c r="O5" s="472">
        <f>SUM(Monat!O5,Monat!O21,Monat!O37,Monat!O53,Monat!O69,Monat!O85,Monat!O101+Monat!O117,Monat!O133,Monat!O149,Monat!O165,Monat!O181)</f>
        <v/>
      </c>
      <c r="P5" s="472">
        <f>SUM(Monat!P5,Monat!P21,Monat!P37,Monat!P53,Monat!P69,Monat!P85,Monat!P101+Monat!P117,Monat!P133,Monat!P149,Monat!P165,Monat!P181)</f>
        <v/>
      </c>
      <c r="Q5" s="472">
        <f>SUM(Monat!Q5,Monat!Q21,Monat!Q37,Monat!Q53,Monat!Q69,Monat!Q85,Monat!Q101+Monat!Q117,Monat!Q133,Monat!Q149,Monat!Q165,Monat!Q181)</f>
        <v/>
      </c>
      <c r="R5" s="472">
        <f>SUM(Monat!R5,Monat!R21,Monat!R37,Monat!R53,Monat!R69,Monat!R85,Monat!R101+Monat!R117,Monat!R133,Monat!R149,Monat!R165,Monat!R181)</f>
        <v/>
      </c>
      <c r="S5" s="472">
        <f>SUM(Monat!S5,Monat!S21,Monat!S37,Monat!S53,Monat!S69,Monat!S85,Monat!S101+Monat!S117,Monat!S133,Monat!S149,Monat!S165,Monat!S181)</f>
        <v/>
      </c>
      <c r="T5" s="472" t="n"/>
    </row>
    <row r="6">
      <c r="A6" s="470" t="n"/>
      <c r="B6" s="471">
        <f>Dienstplan!B10</f>
        <v/>
      </c>
      <c r="C6" s="472">
        <f>SUM(Monat!C6,Monat!C22,Monat!C38,Monat!C54,Monat!C70,Monat!C86,Monat!C102+Monat!C118,Monat!C134,Monat!C150,Monat!C166,Monat!C182)</f>
        <v/>
      </c>
      <c r="D6" s="472">
        <f>SUM(Monat!D6,Monat!D22,Monat!D38,Monat!D54,Monat!D70,Monat!D86,Monat!D102+Monat!D118,Monat!D134,Monat!D150,Monat!D166,Monat!D182)</f>
        <v/>
      </c>
      <c r="E6" s="472">
        <f>SUM(Monat!E6,Monat!E22,Monat!E38,Monat!E54,Monat!E70,Monat!E86,Monat!E102+Monat!E118,Monat!E134,Monat!E150,Monat!E166,Monat!E182)</f>
        <v/>
      </c>
      <c r="F6" s="472">
        <f>SUM(Monat!F6,Monat!F22,Monat!F38,Monat!F54,Monat!F70,Monat!F86,Monat!F102+Monat!F118,Monat!F134,Monat!F150,Monat!F166,Monat!F182)</f>
        <v/>
      </c>
      <c r="G6" s="472">
        <f>SUM(Monat!G6,Monat!G22,Monat!G38,Monat!G54,Monat!G70,Monat!G86,Monat!G102+Monat!G118,Monat!G134,Monat!G150,Monat!G166,Monat!G182)</f>
        <v/>
      </c>
      <c r="H6" s="472">
        <f>SUM(Monat!H6,Monat!H22,Monat!H38,Monat!H54,Monat!H70,Monat!H86,Monat!H102+Monat!H118,Monat!H134,Monat!H150,Monat!H166,Monat!H182)</f>
        <v/>
      </c>
      <c r="I6" s="472">
        <f>SUM(Monat!I6,Monat!I22,Monat!I38,Monat!I54,Monat!I70,Monat!I86,Monat!I102+Monat!I118,Monat!I134,Monat!I150,Monat!I166,Monat!I182)</f>
        <v/>
      </c>
      <c r="J6" s="472">
        <f>SUM(Monat!J6,Monat!J22,Monat!J38,Monat!J54,Monat!J70,Monat!J86,Monat!J102+Monat!J118,Monat!J134,Monat!J150,Monat!J166,Monat!J182)</f>
        <v/>
      </c>
      <c r="K6" s="472">
        <f>SUM(Monat!K6,Monat!K22,Monat!K38,Monat!K54,Monat!K70,Monat!K86,Monat!K102+Monat!K118,Monat!K134,Monat!K150,Monat!K166,Monat!K182)</f>
        <v/>
      </c>
      <c r="L6" s="472">
        <f>SUM(Monat!L6,Monat!L22,Monat!L38,Monat!L54,Monat!L70,Monat!L86,Monat!L102+Monat!L118,Monat!L134,Monat!L150,Monat!L166,Monat!L182)</f>
        <v/>
      </c>
      <c r="M6" s="472">
        <f>SUM(Monat!M6,Monat!M22,Monat!M38,Monat!M54,Monat!M70,Monat!M86,Monat!M102+Monat!M118,Monat!M134,Monat!M150,Monat!M166,Monat!M182)</f>
        <v/>
      </c>
      <c r="N6" s="472">
        <f>SUM(Monat!N6,Monat!N22,Monat!N38,Monat!N54,Monat!N70,Monat!N86,Monat!N102+Monat!N118,Monat!N134,Monat!N150,Monat!N166,Monat!N182)</f>
        <v/>
      </c>
      <c r="O6" s="472">
        <f>SUM(Monat!O6,Monat!O22,Monat!O38,Monat!O54,Monat!O70,Monat!O86,Monat!O102+Monat!O118,Monat!O134,Monat!O150,Monat!O166,Monat!O182)</f>
        <v/>
      </c>
      <c r="P6" s="472">
        <f>SUM(Monat!P6,Monat!P22,Monat!P38,Monat!P54,Monat!P70,Monat!P86,Monat!P102+Monat!P118,Monat!P134,Monat!P150,Monat!P166,Monat!P182)</f>
        <v/>
      </c>
      <c r="Q6" s="472">
        <f>SUM(Monat!Q6,Monat!Q22,Monat!Q38,Monat!Q54,Monat!Q70,Monat!Q86,Monat!Q102+Monat!Q118,Monat!Q134,Monat!Q150,Monat!Q166,Monat!Q182)</f>
        <v/>
      </c>
      <c r="R6" s="472">
        <f>SUM(Monat!R6,Monat!R22,Monat!R38,Monat!R54,Monat!R70,Monat!R86,Monat!R102+Monat!R118,Monat!R134,Monat!R150,Monat!R166,Monat!R182)</f>
        <v/>
      </c>
      <c r="S6" s="472">
        <f>SUM(Monat!S6,Monat!S22,Monat!S38,Monat!S54,Monat!S70,Monat!S86,Monat!S102+Monat!S118,Monat!S134,Monat!S150,Monat!S166,Monat!S182)</f>
        <v/>
      </c>
      <c r="T6" s="472" t="n"/>
    </row>
    <row r="7">
      <c r="A7" s="470" t="n"/>
      <c r="B7" s="471">
        <f>Dienstplan!B11</f>
        <v/>
      </c>
      <c r="C7" s="472">
        <f>SUM(Monat!C7,Monat!C23,Monat!C39,Monat!C55,Monat!C71,Monat!C87,Monat!C103+Monat!C119,Monat!C135,Monat!C151,Monat!C167,Monat!C183)</f>
        <v/>
      </c>
      <c r="D7" s="472">
        <f>SUM(Monat!D7,Monat!D23,Monat!D39,Monat!D55,Monat!D71,Monat!D87,Monat!D103+Monat!D119,Monat!D135,Monat!D151,Monat!D167,Monat!D183)</f>
        <v/>
      </c>
      <c r="E7" s="472">
        <f>SUM(Monat!E7,Monat!E23,Monat!E39,Monat!E55,Monat!E71,Monat!E87,Monat!E103+Monat!E119,Monat!E135,Monat!E151,Monat!E167,Monat!E183)</f>
        <v/>
      </c>
      <c r="F7" s="472">
        <f>SUM(Monat!F7,Monat!F23,Monat!F39,Monat!F55,Monat!F71,Monat!F87,Monat!F103+Monat!F119,Monat!F135,Monat!F151,Monat!F167,Monat!F183)</f>
        <v/>
      </c>
      <c r="G7" s="472">
        <f>SUM(Monat!G7,Monat!G23,Monat!G39,Monat!G55,Monat!G71,Monat!G87,Monat!G103+Monat!G119,Monat!G135,Monat!G151,Monat!G167,Monat!G183)</f>
        <v/>
      </c>
      <c r="H7" s="472">
        <f>SUM(Monat!H7,Monat!H23,Monat!H39,Monat!H55,Monat!H71,Monat!H87,Monat!H103+Monat!H119,Monat!H135,Monat!H151,Monat!H167,Monat!H183)</f>
        <v/>
      </c>
      <c r="I7" s="472">
        <f>SUM(Monat!I7,Monat!I23,Monat!I39,Monat!I55,Monat!I71,Monat!I87,Monat!I103+Monat!I119,Monat!I135,Monat!I151,Monat!I167,Monat!I183)</f>
        <v/>
      </c>
      <c r="J7" s="472">
        <f>SUM(Monat!J7,Monat!J23,Monat!J39,Monat!J55,Monat!J71,Monat!J87,Monat!J103+Monat!J119,Monat!J135,Monat!J151,Monat!J167,Monat!J183)</f>
        <v/>
      </c>
      <c r="K7" s="472">
        <f>SUM(Monat!K7,Monat!K23,Monat!K39,Monat!K55,Monat!K71,Monat!K87,Monat!K103+Monat!K119,Monat!K135,Monat!K151,Monat!K167,Monat!K183)</f>
        <v/>
      </c>
      <c r="L7" s="472">
        <f>SUM(Monat!L7,Monat!L23,Monat!L39,Monat!L55,Monat!L71,Monat!L87,Monat!L103+Monat!L119,Monat!L135,Monat!L151,Monat!L167,Monat!L183)</f>
        <v/>
      </c>
      <c r="M7" s="472">
        <f>SUM(Monat!M7,Monat!M23,Monat!M39,Monat!M55,Monat!M71,Monat!M87,Monat!M103+Monat!M119,Monat!M135,Monat!M151,Monat!M167,Monat!M183)</f>
        <v/>
      </c>
      <c r="N7" s="472">
        <f>SUM(Monat!N7,Monat!N23,Monat!N39,Monat!N55,Monat!N71,Monat!N87,Monat!N103+Monat!N119,Monat!N135,Monat!N151,Monat!N167,Monat!N183)</f>
        <v/>
      </c>
      <c r="O7" s="472">
        <f>SUM(Monat!O7,Monat!O23,Monat!O39,Monat!O55,Monat!O71,Monat!O87,Monat!O103+Monat!O119,Monat!O135,Monat!O151,Monat!O167,Monat!O183)</f>
        <v/>
      </c>
      <c r="P7" s="472">
        <f>SUM(Monat!P7,Monat!P23,Monat!P39,Monat!P55,Monat!P71,Monat!P87,Monat!P103+Monat!P119,Monat!P135,Monat!P151,Monat!P167,Monat!P183)</f>
        <v/>
      </c>
      <c r="Q7" s="472">
        <f>SUM(Monat!Q7,Monat!Q23,Monat!Q39,Monat!Q55,Monat!Q71,Monat!Q87,Monat!Q103+Monat!Q119,Monat!Q135,Monat!Q151,Monat!Q167,Monat!Q183)</f>
        <v/>
      </c>
      <c r="R7" s="472">
        <f>SUM(Monat!R7,Monat!R23,Monat!R39,Monat!R55,Monat!R71,Monat!R87,Monat!R103+Monat!R119,Monat!R135,Monat!R151,Monat!R167,Monat!R183)</f>
        <v/>
      </c>
      <c r="S7" s="472">
        <f>SUM(Monat!S7,Monat!S23,Monat!S39,Monat!S55,Monat!S71,Monat!S87,Monat!S103+Monat!S119,Monat!S135,Monat!S151,Monat!S167,Monat!S183)</f>
        <v/>
      </c>
      <c r="T7" s="472" t="n"/>
    </row>
    <row r="8">
      <c r="A8" s="470" t="n"/>
      <c r="B8" s="471">
        <f>Dienstplan!B12</f>
        <v/>
      </c>
      <c r="C8" s="472">
        <f>SUM(Monat!C8,Monat!C24,Monat!C40,Monat!C56,Monat!C72,Monat!C88,Monat!C104+Monat!C120,Monat!C136,Monat!C152,Monat!C168,Monat!C184)</f>
        <v/>
      </c>
      <c r="D8" s="472">
        <f>SUM(Monat!D8,Monat!D24,Monat!D40,Monat!D56,Monat!D72,Monat!D88,Monat!D104+Monat!D120,Monat!D136,Monat!D152,Monat!D168,Monat!D184)</f>
        <v/>
      </c>
      <c r="E8" s="472">
        <f>SUM(Monat!E8,Monat!E24,Monat!E40,Monat!E56,Monat!E72,Monat!E88,Monat!E104+Monat!E120,Monat!E136,Monat!E152,Monat!E168,Monat!E184)</f>
        <v/>
      </c>
      <c r="F8" s="472">
        <f>SUM(Monat!F8,Monat!F24,Monat!F40,Monat!F56,Monat!F72,Monat!F88,Monat!F104+Monat!F120,Monat!F136,Monat!F152,Monat!F168,Monat!F184)</f>
        <v/>
      </c>
      <c r="G8" s="472">
        <f>SUM(Monat!G8,Monat!G24,Monat!G40,Monat!G56,Monat!G72,Monat!G88,Monat!G104+Monat!G120,Monat!G136,Monat!G152,Monat!G168,Monat!G184)</f>
        <v/>
      </c>
      <c r="H8" s="472">
        <f>SUM(Monat!H8,Monat!H24,Monat!H40,Monat!H56,Monat!H72,Monat!H88,Monat!H104+Monat!H120,Monat!H136,Monat!H152,Monat!H168,Monat!H184)</f>
        <v/>
      </c>
      <c r="I8" s="472">
        <f>SUM(Monat!I8,Monat!I24,Monat!I40,Monat!I56,Monat!I72,Monat!I88,Monat!I104+Monat!I120,Monat!I136,Monat!I152,Monat!I168,Monat!I184)</f>
        <v/>
      </c>
      <c r="J8" s="472">
        <f>SUM(Monat!J8,Monat!J24,Monat!J40,Monat!J56,Monat!J72,Monat!J88,Monat!J104+Monat!J120,Monat!J136,Monat!J152,Monat!J168,Monat!J184)</f>
        <v/>
      </c>
      <c r="K8" s="472">
        <f>SUM(Monat!K8,Monat!K24,Monat!K40,Monat!K56,Monat!K72,Monat!K88,Monat!K104+Monat!K120,Monat!K136,Monat!K152,Monat!K168,Monat!K184)</f>
        <v/>
      </c>
      <c r="L8" s="472">
        <f>SUM(Monat!L8,Monat!L24,Monat!L40,Monat!L56,Monat!L72,Monat!L88,Monat!L104+Monat!L120,Monat!L136,Monat!L152,Monat!L168,Monat!L184)</f>
        <v/>
      </c>
      <c r="M8" s="472">
        <f>SUM(Monat!M8,Monat!M24,Monat!M40,Monat!M56,Monat!M72,Monat!M88,Monat!M104+Monat!M120,Monat!M136,Monat!M152,Monat!M168,Monat!M184)</f>
        <v/>
      </c>
      <c r="N8" s="472">
        <f>SUM(Monat!N8,Monat!N24,Monat!N40,Monat!N56,Monat!N72,Monat!N88,Monat!N104+Monat!N120,Monat!N136,Monat!N152,Monat!N168,Monat!N184)</f>
        <v/>
      </c>
      <c r="O8" s="472">
        <f>SUM(Monat!O8,Monat!O24,Monat!O40,Monat!O56,Monat!O72,Monat!O88,Monat!O104+Monat!O120,Monat!O136,Monat!O152,Monat!O168,Monat!O184)</f>
        <v/>
      </c>
      <c r="P8" s="472">
        <f>SUM(Monat!P8,Monat!P24,Monat!P40,Monat!P56,Monat!P72,Monat!P88,Monat!P104+Monat!P120,Monat!P136,Monat!P152,Monat!P168,Monat!P184)</f>
        <v/>
      </c>
      <c r="Q8" s="472">
        <f>SUM(Monat!Q8,Monat!Q24,Monat!Q40,Monat!Q56,Monat!Q72,Monat!Q88,Monat!Q104+Monat!Q120,Monat!Q136,Monat!Q152,Monat!Q168,Monat!Q184)</f>
        <v/>
      </c>
      <c r="R8" s="472">
        <f>SUM(Monat!R8,Monat!R24,Monat!R40,Monat!R56,Monat!R72,Monat!R88,Monat!R104+Monat!R120,Monat!R136,Monat!R152,Monat!R168,Monat!R184)</f>
        <v/>
      </c>
      <c r="S8" s="472">
        <f>SUM(Monat!S8,Monat!S24,Monat!S40,Monat!S56,Monat!S72,Monat!S88,Monat!S104+Monat!S120,Monat!S136,Monat!S152,Monat!S168,Monat!S184)</f>
        <v/>
      </c>
      <c r="T8" s="472" t="n"/>
    </row>
    <row r="9">
      <c r="A9" s="470" t="n"/>
      <c r="B9" s="471">
        <f>Dienstplan!B13</f>
        <v/>
      </c>
      <c r="C9" s="472">
        <f>SUM(Monat!C9,Monat!C25,Monat!C41,Monat!C57,Monat!C73,Monat!C89,Monat!C105+Monat!C121,Monat!C137,Monat!C153,Monat!C169,Monat!C185)</f>
        <v/>
      </c>
      <c r="D9" s="472">
        <f>SUM(Monat!D9,Monat!D25,Monat!D41,Monat!D57,Monat!D73,Monat!D89,Monat!D105+Monat!D121,Monat!D137,Monat!D153,Monat!D169,Monat!D185)</f>
        <v/>
      </c>
      <c r="E9" s="472">
        <f>SUM(Monat!E9,Monat!E25,Monat!E41,Monat!E57,Monat!E73,Monat!E89,Monat!E105+Monat!E121,Monat!E137,Monat!E153,Monat!E169,Monat!E185)</f>
        <v/>
      </c>
      <c r="F9" s="472">
        <f>SUM(Monat!F9,Monat!F25,Monat!F41,Monat!F57,Monat!F73,Monat!F89,Monat!F105+Monat!F121,Monat!F137,Monat!F153,Monat!F169,Monat!F185)</f>
        <v/>
      </c>
      <c r="G9" s="472">
        <f>SUM(Monat!G9,Monat!G25,Monat!G41,Monat!G57,Monat!G73,Monat!G89,Monat!G105+Monat!G121,Monat!G137,Monat!G153,Monat!G169,Monat!G185)</f>
        <v/>
      </c>
      <c r="H9" s="472">
        <f>SUM(Monat!H9,Monat!H25,Monat!H41,Monat!H57,Monat!H73,Monat!H89,Monat!H105+Monat!H121,Monat!H137,Monat!H153,Monat!H169,Monat!H185)</f>
        <v/>
      </c>
      <c r="I9" s="472">
        <f>SUM(Monat!I9,Monat!I25,Monat!I41,Monat!I57,Monat!I73,Monat!I89,Monat!I105+Monat!I121,Monat!I137,Monat!I153,Monat!I169,Monat!I185)</f>
        <v/>
      </c>
      <c r="J9" s="472">
        <f>SUM(Monat!J9,Monat!J25,Monat!J41,Monat!J57,Monat!J73,Monat!J89,Monat!J105+Monat!J121,Monat!J137,Monat!J153,Monat!J169,Monat!J185)</f>
        <v/>
      </c>
      <c r="K9" s="472">
        <f>SUM(Monat!K9,Monat!K25,Monat!K41,Monat!K57,Monat!K73,Monat!K89,Monat!K105+Monat!K121,Monat!K137,Monat!K153,Monat!K169,Monat!K185)</f>
        <v/>
      </c>
      <c r="L9" s="472">
        <f>SUM(Monat!L9,Monat!L25,Monat!L41,Monat!L57,Monat!L73,Monat!L89,Monat!L105+Monat!L121,Monat!L137,Monat!L153,Monat!L169,Monat!L185)</f>
        <v/>
      </c>
      <c r="M9" s="472">
        <f>SUM(Monat!M9,Monat!M25,Monat!M41,Monat!M57,Monat!M73,Monat!M89,Monat!M105+Monat!M121,Monat!M137,Monat!M153,Monat!M169,Monat!M185)</f>
        <v/>
      </c>
      <c r="N9" s="472">
        <f>SUM(Monat!N9,Monat!N25,Monat!N41,Monat!N57,Monat!N73,Monat!N89,Monat!N105+Monat!N121,Monat!N137,Monat!N153,Monat!N169,Monat!N185)</f>
        <v/>
      </c>
      <c r="O9" s="472">
        <f>SUM(Monat!O9,Monat!O25,Monat!O41,Monat!O57,Monat!O73,Monat!O89,Monat!O105+Monat!O121,Monat!O137,Monat!O153,Monat!O169,Monat!O185)</f>
        <v/>
      </c>
      <c r="P9" s="472">
        <f>SUM(Monat!P9,Monat!P25,Monat!P41,Monat!P57,Monat!P73,Monat!P89,Monat!P105+Monat!P121,Monat!P137,Monat!P153,Monat!P169,Monat!P185)</f>
        <v/>
      </c>
      <c r="Q9" s="472">
        <f>SUM(Monat!Q9,Monat!Q25,Monat!Q41,Monat!Q57,Monat!Q73,Monat!Q89,Monat!Q105+Monat!Q121,Monat!Q137,Monat!Q153,Monat!Q169,Monat!Q185)</f>
        <v/>
      </c>
      <c r="R9" s="472">
        <f>SUM(Monat!R9,Monat!R25,Monat!R41,Monat!R57,Monat!R73,Monat!R89,Monat!R105+Monat!R121,Monat!R137,Monat!R153,Monat!R169,Monat!R185)</f>
        <v/>
      </c>
      <c r="S9" s="472">
        <f>SUM(Monat!S9,Monat!S25,Monat!S41,Monat!S57,Monat!S73,Monat!S89,Monat!S105+Monat!S121,Monat!S137,Monat!S153,Monat!S169,Monat!S185)</f>
        <v/>
      </c>
      <c r="T9" s="472" t="n"/>
    </row>
    <row r="10">
      <c r="A10" s="470" t="n"/>
      <c r="B10" s="471">
        <f>Dienstplan!B14</f>
        <v/>
      </c>
      <c r="C10" s="472">
        <f>SUM(Monat!C10,Monat!C26,Monat!C42,Monat!C58,Monat!C74,Monat!C90,Monat!C106+Monat!C122,Monat!C138,Monat!C154,Monat!C170,Monat!C186)</f>
        <v/>
      </c>
      <c r="D10" s="472">
        <f>SUM(Monat!D10,Monat!D26,Monat!D42,Monat!D58,Monat!D74,Monat!D90,Monat!D106+Monat!D122,Monat!D138,Monat!D154,Monat!D170,Monat!D186)</f>
        <v/>
      </c>
      <c r="E10" s="472">
        <f>SUM(Monat!E10,Monat!E26,Monat!E42,Monat!E58,Monat!E74,Monat!E90,Monat!E106+Monat!E122,Monat!E138,Monat!E154,Monat!E170,Monat!E186)</f>
        <v/>
      </c>
      <c r="F10" s="472">
        <f>SUM(Monat!F10,Monat!F26,Monat!F42,Monat!F58,Monat!F74,Monat!F90,Monat!F106+Monat!F122,Monat!F138,Monat!F154,Monat!F170,Monat!F186)</f>
        <v/>
      </c>
      <c r="G10" s="472">
        <f>SUM(Monat!G10,Monat!G26,Monat!G42,Monat!G58,Monat!G74,Monat!G90,Monat!G106+Monat!G122,Monat!G138,Monat!G154,Monat!G170,Monat!G186)</f>
        <v/>
      </c>
      <c r="H10" s="472">
        <f>SUM(Monat!H10,Monat!H26,Monat!H42,Monat!H58,Monat!H74,Monat!H90,Monat!H106+Monat!H122,Monat!H138,Monat!H154,Monat!H170,Monat!H186)</f>
        <v/>
      </c>
      <c r="I10" s="472">
        <f>SUM(Monat!I10,Monat!I26,Monat!I42,Monat!I58,Monat!I74,Monat!I90,Monat!I106+Monat!I122,Monat!I138,Monat!I154,Monat!I170,Monat!I186)</f>
        <v/>
      </c>
      <c r="J10" s="472">
        <f>SUM(Monat!J10,Monat!J26,Monat!J42,Monat!J58,Monat!J74,Monat!J90,Monat!J106+Monat!J122,Monat!J138,Monat!J154,Monat!J170,Monat!J186)</f>
        <v/>
      </c>
      <c r="K10" s="472">
        <f>SUM(Monat!K10,Monat!K26,Monat!K42,Monat!K58,Monat!K74,Monat!K90,Monat!K106+Monat!K122,Monat!K138,Monat!K154,Monat!K170,Monat!K186)</f>
        <v/>
      </c>
      <c r="L10" s="472">
        <f>SUM(Monat!L10,Monat!L26,Monat!L42,Monat!L58,Monat!L74,Monat!L90,Monat!L106+Monat!L122,Monat!L138,Monat!L154,Monat!L170,Monat!L186)</f>
        <v/>
      </c>
      <c r="M10" s="472">
        <f>SUM(Monat!M10,Monat!M26,Monat!M42,Monat!M58,Monat!M74,Monat!M90,Monat!M106+Monat!M122,Monat!M138,Monat!M154,Monat!M170,Monat!M186)</f>
        <v/>
      </c>
      <c r="N10" s="472">
        <f>SUM(Monat!N10,Monat!N26,Monat!N42,Monat!N58,Monat!N74,Monat!N90,Monat!N106+Monat!N122,Monat!N138,Monat!N154,Monat!N170,Monat!N186)</f>
        <v/>
      </c>
      <c r="O10" s="472">
        <f>SUM(Monat!O10,Monat!O26,Monat!O42,Monat!O58,Monat!O74,Monat!O90,Monat!O106+Monat!O122,Monat!O138,Monat!O154,Monat!O170,Monat!O186)</f>
        <v/>
      </c>
      <c r="P10" s="472">
        <f>SUM(Monat!P10,Monat!P26,Monat!P42,Monat!P58,Monat!P74,Monat!P90,Monat!P106+Monat!P122,Monat!P138,Monat!P154,Monat!P170,Monat!P186)</f>
        <v/>
      </c>
      <c r="Q10" s="472">
        <f>SUM(Monat!Q10,Monat!Q26,Monat!Q42,Monat!Q58,Monat!Q74,Monat!Q90,Monat!Q106+Monat!Q122,Monat!Q138,Monat!Q154,Monat!Q170,Monat!Q186)</f>
        <v/>
      </c>
      <c r="R10" s="472">
        <f>SUM(Monat!R10,Monat!R26,Monat!R42,Monat!R58,Monat!R74,Monat!R90,Monat!R106+Monat!R122,Monat!R138,Monat!R154,Monat!R170,Monat!R186)</f>
        <v/>
      </c>
      <c r="S10" s="472">
        <f>SUM(Monat!S10,Monat!S26,Monat!S42,Monat!S58,Monat!S74,Monat!S90,Monat!S106+Monat!S122,Monat!S138,Monat!S154,Monat!S170,Monat!S186)</f>
        <v/>
      </c>
      <c r="T10" s="472" t="n"/>
    </row>
    <row r="11">
      <c r="A11" s="470" t="n"/>
      <c r="B11" s="471">
        <f>Dienstplan!B15</f>
        <v/>
      </c>
      <c r="C11" s="472">
        <f>SUM(Monat!C11,Monat!C27,Monat!C43,Monat!C59,Monat!C75,Monat!C91,Monat!C107+Monat!C123,Monat!C139,Monat!C155,Monat!C171,Monat!C187)</f>
        <v/>
      </c>
      <c r="D11" s="472">
        <f>SUM(Monat!D11,Monat!D27,Monat!D43,Monat!D59,Monat!D75,Monat!D91,Monat!D107+Monat!D123,Monat!D139,Monat!D155,Monat!D171,Monat!D187)</f>
        <v/>
      </c>
      <c r="E11" s="472">
        <f>SUM(Monat!E11,Monat!E27,Monat!E43,Monat!E59,Monat!E75,Monat!E91,Monat!E107+Monat!E123,Monat!E139,Monat!E155,Monat!E171,Monat!E187)</f>
        <v/>
      </c>
      <c r="F11" s="472">
        <f>SUM(Monat!F11,Monat!F27,Monat!F43,Monat!F59,Monat!F75,Monat!F91,Monat!F107+Monat!F123,Monat!F139,Monat!F155,Monat!F171,Monat!F187)</f>
        <v/>
      </c>
      <c r="G11" s="472">
        <f>SUM(Monat!G11,Monat!G27,Monat!G43,Monat!G59,Monat!G75,Monat!G91,Monat!G107+Monat!G123,Monat!G139,Monat!G155,Monat!G171,Monat!G187)</f>
        <v/>
      </c>
      <c r="H11" s="472">
        <f>SUM(Monat!H11,Monat!H27,Monat!H43,Monat!H59,Monat!H75,Monat!H91,Monat!H107+Monat!H123,Monat!H139,Monat!H155,Monat!H171,Monat!H187)</f>
        <v/>
      </c>
      <c r="I11" s="472">
        <f>SUM(Monat!I11,Monat!I27,Monat!I43,Monat!I59,Monat!I75,Monat!I91,Monat!I107+Monat!I123,Monat!I139,Monat!I155,Monat!I171,Monat!I187)</f>
        <v/>
      </c>
      <c r="J11" s="472">
        <f>SUM(Monat!J11,Monat!J27,Monat!J43,Monat!J59,Monat!J75,Monat!J91,Monat!J107+Monat!J123,Monat!J139,Monat!J155,Monat!J171,Monat!J187)</f>
        <v/>
      </c>
      <c r="K11" s="472">
        <f>SUM(Monat!K11,Monat!K27,Monat!K43,Monat!K59,Monat!K75,Monat!K91,Monat!K107+Monat!K123,Monat!K139,Monat!K155,Monat!K171,Monat!K187)</f>
        <v/>
      </c>
      <c r="L11" s="472">
        <f>SUM(Monat!L11,Monat!L27,Monat!L43,Monat!L59,Monat!L75,Monat!L91,Monat!L107+Monat!L123,Monat!L139,Monat!L155,Monat!L171,Monat!L187)</f>
        <v/>
      </c>
      <c r="M11" s="472">
        <f>SUM(Monat!M11,Monat!M27,Monat!M43,Monat!M59,Monat!M75,Monat!M91,Monat!M107+Monat!M123,Monat!M139,Monat!M155,Monat!M171,Monat!M187)</f>
        <v/>
      </c>
      <c r="N11" s="472">
        <f>SUM(Monat!N11,Monat!N27,Monat!N43,Monat!N59,Monat!N75,Monat!N91,Monat!N107+Monat!N123,Monat!N139,Monat!N155,Monat!N171,Monat!N187)</f>
        <v/>
      </c>
      <c r="O11" s="472">
        <f>SUM(Monat!O11,Monat!O27,Monat!O43,Monat!O59,Monat!O75,Monat!O91,Monat!O107+Monat!O123,Monat!O139,Monat!O155,Monat!O171,Monat!O187)</f>
        <v/>
      </c>
      <c r="P11" s="472">
        <f>SUM(Monat!P11,Monat!P27,Monat!P43,Monat!P59,Monat!P75,Monat!P91,Monat!P107+Monat!P123,Monat!P139,Monat!P155,Monat!P171,Monat!P187)</f>
        <v/>
      </c>
      <c r="Q11" s="472">
        <f>SUM(Monat!Q11,Monat!Q27,Monat!Q43,Monat!Q59,Monat!Q75,Monat!Q91,Monat!Q107+Monat!Q123,Monat!Q139,Monat!Q155,Monat!Q171,Monat!Q187)</f>
        <v/>
      </c>
      <c r="R11" s="472">
        <f>SUM(Monat!R11,Monat!R27,Monat!R43,Monat!R59,Monat!R75,Monat!R91,Monat!R107+Monat!R123,Monat!R139,Monat!R155,Monat!R171,Monat!R187)</f>
        <v/>
      </c>
      <c r="S11" s="472">
        <f>SUM(Monat!S11,Monat!S27,Monat!S43,Monat!S59,Monat!S75,Monat!S91,Monat!S107+Monat!S123,Monat!S139,Monat!S155,Monat!S171,Monat!S187)</f>
        <v/>
      </c>
      <c r="T11" s="472" t="n"/>
    </row>
    <row r="12">
      <c r="A12" s="470" t="n"/>
      <c r="B12" s="471">
        <f>Dienstplan!B16</f>
        <v/>
      </c>
      <c r="C12" s="472">
        <f>SUM(Monat!C12,Monat!C28,Monat!C44,Monat!C60,Monat!C76,Monat!C92,Monat!C108+Monat!C124,Monat!C140,Monat!C156,Monat!C172,Monat!C188)</f>
        <v/>
      </c>
      <c r="D12" s="472">
        <f>SUM(Monat!D12,Monat!D28,Monat!D44,Monat!D60,Monat!D76,Monat!D92,Monat!D108+Monat!D124,Monat!D140,Monat!D156,Monat!D172,Monat!D188)</f>
        <v/>
      </c>
      <c r="E12" s="472">
        <f>SUM(Monat!E12,Monat!E28,Monat!E44,Monat!E60,Monat!E76,Monat!E92,Monat!E108+Monat!E124,Monat!E140,Monat!E156,Monat!E172,Monat!E188)</f>
        <v/>
      </c>
      <c r="F12" s="472">
        <f>SUM(Monat!F12,Monat!F28,Monat!F44,Monat!F60,Monat!F76,Monat!F92,Monat!F108+Monat!F124,Monat!F140,Monat!F156,Monat!F172,Monat!F188)</f>
        <v/>
      </c>
      <c r="G12" s="472">
        <f>SUM(Monat!G12,Monat!G28,Monat!G44,Monat!G60,Monat!G76,Monat!G92,Monat!G108+Monat!G124,Monat!G140,Monat!G156,Monat!G172,Monat!G188)</f>
        <v/>
      </c>
      <c r="H12" s="472">
        <f>SUM(Monat!H12,Monat!H28,Monat!H44,Monat!H60,Monat!H76,Monat!H92,Monat!H108+Monat!H124,Monat!H140,Monat!H156,Monat!H172,Monat!H188)</f>
        <v/>
      </c>
      <c r="I12" s="472">
        <f>SUM(Monat!I12,Monat!I28,Monat!I44,Monat!I60,Monat!I76,Monat!I92,Monat!I108+Monat!I124,Monat!I140,Monat!I156,Monat!I172,Monat!I188)</f>
        <v/>
      </c>
      <c r="J12" s="472">
        <f>SUM(Monat!J12,Monat!J28,Monat!J44,Monat!J60,Monat!J76,Monat!J92,Monat!J108+Monat!J124,Monat!J140,Monat!J156,Monat!J172,Monat!J188)</f>
        <v/>
      </c>
      <c r="K12" s="472">
        <f>SUM(Monat!K12,Monat!K28,Monat!K44,Monat!K60,Monat!K76,Monat!K92,Monat!K108+Monat!K124,Monat!K140,Monat!K156,Monat!K172,Monat!K188)</f>
        <v/>
      </c>
      <c r="L12" s="472">
        <f>SUM(Monat!L12,Monat!L28,Monat!L44,Monat!L60,Monat!L76,Monat!L92,Monat!L108+Monat!L124,Monat!L140,Monat!L156,Monat!L172,Monat!L188)</f>
        <v/>
      </c>
      <c r="M12" s="472">
        <f>SUM(Monat!M12,Monat!M28,Monat!M44,Monat!M60,Monat!M76,Monat!M92,Monat!M108+Monat!M124,Monat!M140,Monat!M156,Monat!M172,Monat!M188)</f>
        <v/>
      </c>
      <c r="N12" s="472">
        <f>SUM(Monat!N12,Monat!N28,Monat!N44,Monat!N60,Monat!N76,Monat!N92,Monat!N108+Monat!N124,Monat!N140,Monat!N156,Monat!N172,Monat!N188)</f>
        <v/>
      </c>
      <c r="O12" s="472">
        <f>SUM(Monat!O12,Monat!O28,Monat!O44,Monat!O60,Monat!O76,Monat!O92,Monat!O108+Monat!O124,Monat!O140,Monat!O156,Monat!O172,Monat!O188)</f>
        <v/>
      </c>
      <c r="P12" s="472">
        <f>SUM(Monat!P12,Monat!P28,Monat!P44,Monat!P60,Monat!P76,Monat!P92,Monat!P108+Monat!P124,Monat!P140,Monat!P156,Monat!P172,Monat!P188)</f>
        <v/>
      </c>
      <c r="Q12" s="472">
        <f>SUM(Monat!Q12,Monat!Q28,Monat!Q44,Monat!Q60,Monat!Q76,Monat!Q92,Monat!Q108+Monat!Q124,Monat!Q140,Monat!Q156,Monat!Q172,Monat!Q188)</f>
        <v/>
      </c>
      <c r="R12" s="472">
        <f>SUM(Monat!R12,Monat!R28,Monat!R44,Monat!R60,Monat!R76,Monat!R92,Monat!R108+Monat!R124,Monat!R140,Monat!R156,Monat!R172,Monat!R188)</f>
        <v/>
      </c>
      <c r="S12" s="472">
        <f>SUM(Monat!S12,Monat!S28,Monat!S44,Monat!S60,Monat!S76,Monat!S92,Monat!S108+Monat!S124,Monat!S140,Monat!S156,Monat!S172,Monat!S188)</f>
        <v/>
      </c>
      <c r="T12" s="472" t="n"/>
    </row>
    <row r="13">
      <c r="A13" s="470" t="n"/>
      <c r="B13" s="471">
        <f>Dienstplan!B18</f>
        <v/>
      </c>
      <c r="C13" s="472">
        <f>SUM(Monat!C13,Monat!C29,Monat!C45,Monat!C61,Monat!C77,Monat!C93,Monat!C109+Monat!C125,Monat!C141,Monat!C157,Monat!C173,Monat!C189)</f>
        <v/>
      </c>
      <c r="D13" s="472">
        <f>SUM(Monat!D13,Monat!D29,Monat!D45,Monat!D61,Monat!D77,Monat!D93,Monat!D109+Monat!D125,Monat!D141,Monat!D157,Monat!D173,Monat!D189)</f>
        <v/>
      </c>
      <c r="E13" s="472">
        <f>SUM(Monat!E13,Monat!E29,Monat!E45,Monat!E61,Monat!E77,Monat!E93,Monat!E109+Monat!E125,Monat!E141,Monat!E157,Monat!E173,Monat!E189)</f>
        <v/>
      </c>
      <c r="F13" s="472">
        <f>SUM(Monat!F13,Monat!F29,Monat!F45,Monat!F61,Monat!F77,Monat!F93,Monat!F109+Monat!F125,Monat!F141,Monat!F157,Monat!F173,Monat!F189)</f>
        <v/>
      </c>
      <c r="G13" s="472">
        <f>SUM(Monat!G13,Monat!G29,Monat!G45,Monat!G61,Monat!G77,Monat!G93,Monat!G109+Monat!G125,Monat!G141,Monat!G157,Monat!G173,Monat!G189)</f>
        <v/>
      </c>
      <c r="H13" s="472">
        <f>SUM(Monat!H13,Monat!H29,Monat!H45,Monat!H61,Monat!H77,Monat!H93,Monat!H109+Monat!H125,Monat!H141,Monat!H157,Monat!H173,Monat!H189)</f>
        <v/>
      </c>
      <c r="I13" s="472">
        <f>SUM(Monat!I13,Monat!I29,Monat!I45,Monat!I61,Monat!I77,Monat!I93,Monat!I109+Monat!I125,Monat!I141,Monat!I157,Monat!I173,Monat!I189)</f>
        <v/>
      </c>
      <c r="J13" s="472">
        <f>SUM(Monat!J13,Monat!J29,Monat!J45,Monat!J61,Monat!J77,Monat!J93,Monat!J109+Monat!J125,Monat!J141,Monat!J157,Monat!J173,Monat!J189)</f>
        <v/>
      </c>
      <c r="K13" s="472">
        <f>SUM(Monat!K13,Monat!K29,Monat!K45,Monat!K61,Monat!K77,Monat!K93,Monat!K109+Monat!K125,Monat!K141,Monat!K157,Monat!K173,Monat!K189)</f>
        <v/>
      </c>
      <c r="L13" s="472">
        <f>SUM(Monat!L13,Monat!L29,Monat!L45,Monat!L61,Monat!L77,Monat!L93,Monat!L109+Monat!L125,Monat!L141,Monat!L157,Monat!L173,Monat!L189)</f>
        <v/>
      </c>
      <c r="M13" s="472">
        <f>SUM(Monat!M13,Monat!M29,Monat!M45,Monat!M61,Monat!M77,Monat!M93,Monat!M109+Monat!M125,Monat!M141,Monat!M157,Monat!M173,Monat!M189)</f>
        <v/>
      </c>
      <c r="N13" s="472">
        <f>SUM(Monat!N13,Monat!N29,Monat!N45,Monat!N61,Monat!N77,Monat!N93,Monat!N109+Monat!N125,Monat!N141,Monat!N157,Monat!N173,Monat!N189)</f>
        <v/>
      </c>
      <c r="O13" s="472">
        <f>SUM(Monat!O13,Monat!O29,Monat!O45,Monat!O61,Monat!O77,Monat!O93,Monat!O109+Monat!O125,Monat!O141,Monat!O157,Monat!O173,Monat!O189)</f>
        <v/>
      </c>
      <c r="P13" s="472">
        <f>SUM(Monat!P13,Monat!P29,Monat!P45,Monat!P61,Monat!P77,Monat!P93,Monat!P109+Monat!P125,Monat!P141,Monat!P157,Monat!P173,Monat!P189)</f>
        <v/>
      </c>
      <c r="Q13" s="472">
        <f>SUM(Monat!Q13,Monat!Q29,Monat!Q45,Monat!Q61,Monat!Q77,Monat!Q93,Monat!Q109+Monat!Q125,Monat!Q141,Monat!Q157,Monat!Q173,Monat!Q189)</f>
        <v/>
      </c>
      <c r="R13" s="472">
        <f>SUM(Monat!R13,Monat!R29,Monat!R45,Monat!R61,Monat!R77,Monat!R93,Monat!R109+Monat!R125,Monat!R141,Monat!R157,Monat!R173,Monat!R189)</f>
        <v/>
      </c>
      <c r="S13" s="472">
        <f>SUM(Monat!S13,Monat!S29,Monat!S45,Monat!S61,Monat!S77,Monat!S93,Monat!S109+Monat!S125,Monat!S141,Monat!S157,Monat!S173,Monat!S189)</f>
        <v/>
      </c>
      <c r="T13" s="472" t="n"/>
    </row>
    <row r="14">
      <c r="A14" s="470" t="n"/>
      <c r="B14" s="471">
        <f>Dienstplan!B19</f>
        <v/>
      </c>
      <c r="C14" s="472">
        <f>SUM(Monat!C14,Monat!C30,Monat!C46,Monat!C62,Monat!C78,Monat!C94,Monat!C110+Monat!C126,Monat!C142,Monat!C158,Monat!C174,Monat!C190)</f>
        <v/>
      </c>
      <c r="D14" s="472">
        <f>SUM(Monat!D14,Monat!D30,Monat!D46,Monat!D62,Monat!D78,Monat!D94,Monat!D110+Monat!D126,Monat!D142,Monat!D158,Monat!D174,Monat!D190)</f>
        <v/>
      </c>
      <c r="E14" s="472">
        <f>SUM(Monat!E14,Monat!E30,Monat!E46,Monat!E62,Monat!E78,Monat!E94,Monat!E110+Monat!E126,Monat!E142,Monat!E158,Monat!E174,Monat!E190)</f>
        <v/>
      </c>
      <c r="F14" s="472">
        <f>SUM(Monat!F14,Monat!F30,Monat!F46,Monat!F62,Monat!F78,Monat!F94,Monat!F110+Monat!F126,Monat!F142,Monat!F158,Monat!F174,Monat!F190)</f>
        <v/>
      </c>
      <c r="G14" s="472">
        <f>SUM(Monat!G14,Monat!G30,Monat!G46,Monat!G62,Monat!G78,Monat!G94,Monat!G110+Monat!G126,Monat!G142,Monat!G158,Monat!G174,Monat!G190)</f>
        <v/>
      </c>
      <c r="H14" s="472">
        <f>SUM(Monat!H14,Monat!H30,Monat!H46,Monat!H62,Monat!H78,Monat!H94,Monat!H110+Monat!H126,Monat!H142,Monat!H158,Monat!H174,Monat!H190)</f>
        <v/>
      </c>
      <c r="I14" s="472">
        <f>SUM(Monat!I14,Monat!I30,Monat!I46,Monat!I62,Monat!I78,Monat!I94,Monat!I110+Monat!I126,Monat!I142,Monat!I158,Monat!I174,Monat!I190)</f>
        <v/>
      </c>
      <c r="J14" s="472">
        <f>SUM(Monat!J14,Monat!J30,Monat!J46,Monat!J62,Monat!J78,Monat!J94,Monat!J110+Monat!J126,Monat!J142,Monat!J158,Monat!J174,Monat!J190)</f>
        <v/>
      </c>
      <c r="K14" s="472">
        <f>SUM(Monat!K14,Monat!K30,Monat!K46,Monat!K62,Monat!K78,Monat!K94,Monat!K110+Monat!K126,Monat!K142,Monat!K158,Monat!K174,Monat!K190)</f>
        <v/>
      </c>
      <c r="L14" s="472">
        <f>SUM(Monat!L14,Monat!L30,Monat!L46,Monat!L62,Monat!L78,Monat!L94,Monat!L110+Monat!L126,Monat!L142,Monat!L158,Monat!L174,Monat!L190)</f>
        <v/>
      </c>
      <c r="M14" s="472">
        <f>SUM(Monat!M14,Monat!M30,Monat!M46,Monat!M62,Monat!M78,Monat!M94,Monat!M110+Monat!M126,Monat!M142,Monat!M158,Monat!M174,Monat!M190)</f>
        <v/>
      </c>
      <c r="N14" s="472">
        <f>SUM(Monat!N14,Monat!N30,Monat!N46,Monat!N62,Monat!N78,Monat!N94,Monat!N110+Monat!N126,Monat!N142,Monat!N158,Monat!N174,Monat!N190)</f>
        <v/>
      </c>
      <c r="O14" s="472">
        <f>SUM(Monat!O14,Monat!O30,Monat!O46,Monat!O62,Monat!O78,Monat!O94,Monat!O110+Monat!O126,Monat!O142,Monat!O158,Monat!O174,Monat!O190)</f>
        <v/>
      </c>
      <c r="P14" s="472">
        <f>SUM(Monat!P14,Monat!P30,Monat!P46,Monat!P62,Monat!P78,Monat!P94,Monat!P110+Monat!P126,Monat!P142,Monat!P158,Monat!P174,Monat!P190)</f>
        <v/>
      </c>
      <c r="Q14" s="472">
        <f>SUM(Monat!Q14,Monat!Q30,Monat!Q46,Monat!Q62,Monat!Q78,Monat!Q94,Monat!Q110+Monat!Q126,Monat!Q142,Monat!Q158,Monat!Q174,Monat!Q190)</f>
        <v/>
      </c>
      <c r="R14" s="472">
        <f>SUM(Monat!R14,Monat!R30,Monat!R46,Monat!R62,Monat!R78,Monat!R94,Monat!R110+Monat!R126,Monat!R142,Monat!R158,Monat!R174,Monat!R190)</f>
        <v/>
      </c>
      <c r="S14" s="472">
        <f>SUM(Monat!S14,Monat!S30,Monat!S46,Monat!S62,Monat!S78,Monat!S94,Monat!S110+Monat!S126,Monat!S142,Monat!S158,Monat!S174,Monat!S190)</f>
        <v/>
      </c>
      <c r="T14" s="472" t="n"/>
    </row>
    <row r="15">
      <c r="A15" s="470" t="n"/>
      <c r="B15" s="473" t="inlineStr">
        <is>
          <t>Summe</t>
        </is>
      </c>
      <c r="C15" s="474">
        <f>SUM(Monat!C16,Monat!C32,Monat!C48,Monat!C64,Monat!C80,Monat!C96,Monat!C112+Monat!C128,Monat!C144,Monat!C160,Monat!C176,Monat!C192)</f>
        <v/>
      </c>
      <c r="D15" s="474">
        <f>SUM(Monat!D16,Monat!D32,Monat!D48,Monat!D64,Monat!D80,Monat!D96,Monat!D112+Monat!D128,Monat!D144,Monat!D160,Monat!D176,Monat!D192)</f>
        <v/>
      </c>
      <c r="E15" s="474">
        <f>SUM(Monat!E16,Monat!E32,Monat!E48,Monat!E64,Monat!E80,Monat!E96,Monat!E112+Monat!E128,Monat!E144,Monat!E160,Monat!E176,Monat!E192)</f>
        <v/>
      </c>
      <c r="F15" s="474">
        <f>SUM(Monat!F16,Monat!F32,Monat!F48,Monat!F64,Monat!F80,Monat!F96,Monat!F112+Monat!F128,Monat!F144,Monat!F160,Monat!F176,Monat!F192)</f>
        <v/>
      </c>
      <c r="G15" s="474">
        <f>SUM(Monat!G16,Monat!G32,Monat!G48,Monat!G64,Monat!G80,Monat!G96,Monat!G112+Monat!G128,Monat!G144,Monat!G160,Monat!G176,Monat!G192)</f>
        <v/>
      </c>
      <c r="H15" s="474">
        <f>SUM(Monat!H16,Monat!H32,Monat!H48,Monat!H64,Monat!H80,Monat!H96,Monat!H112+Monat!H128,Monat!H144,Monat!H160,Monat!H176,Monat!H192)</f>
        <v/>
      </c>
      <c r="I15" s="474">
        <f>SUM(Monat!I16,Monat!I32,Monat!I48,Monat!I64,Monat!I80,Monat!I96,Monat!I112+Monat!I128,Monat!I144,Monat!I160,Monat!I176,Monat!I192)</f>
        <v/>
      </c>
      <c r="J15" s="474">
        <f>SUM(Monat!J16,Monat!J32,Monat!J48,Monat!J64,Monat!J80,Monat!J96,Monat!J112+Monat!J128,Monat!J144,Monat!J160,Monat!J176,Monat!J192)</f>
        <v/>
      </c>
      <c r="K15" s="474">
        <f>SUM(Monat!K16,Monat!K32,Monat!K48,Monat!K64,Monat!K80,Monat!K96,Monat!K112+Monat!K128,Monat!K144,Monat!K160,Monat!K176,Monat!K192)</f>
        <v/>
      </c>
      <c r="L15" s="474">
        <f>SUM(Monat!L16,Monat!L32,Monat!L48,Monat!L64,Monat!L80,Monat!L96,Monat!L112+Monat!L128,Monat!L144,Monat!L160,Monat!L176,Monat!L192)</f>
        <v/>
      </c>
      <c r="M15" s="474">
        <f>SUM(Monat!M16,Monat!M32,Monat!M48,Monat!M64,Monat!M80,Monat!M96,Monat!M112+Monat!M128,Monat!M144,Monat!M160,Monat!M176,Monat!M192)</f>
        <v/>
      </c>
      <c r="N15" s="474">
        <f>SUM(Monat!N16,Monat!N32,Monat!N48,Monat!N64,Monat!N80,Monat!N96,Monat!N112+Monat!N128,Monat!N144,Monat!N160,Monat!N176,Monat!N192)</f>
        <v/>
      </c>
      <c r="O15" s="474">
        <f>SUM(Monat!O16,Monat!O32,Monat!O48,Monat!O64,Monat!O80,Monat!O96,Monat!O112+Monat!O128,Monat!O144,Monat!O160,Monat!O176,Monat!O192)</f>
        <v/>
      </c>
      <c r="P15" s="474">
        <f>SUM(Monat!P16,Monat!P32,Monat!P48,Monat!P64,Monat!P80,Monat!P96,Monat!P112+Monat!P128,Monat!P144,Monat!P160,Monat!P176,Monat!P192)</f>
        <v/>
      </c>
      <c r="Q15" s="474">
        <f>SUM(Monat!Q16,Monat!Q32,Monat!Q48,Monat!Q64,Monat!Q80,Monat!Q96,Monat!Q112+Monat!Q128,Monat!Q144,Monat!Q160,Monat!Q176,Monat!Q192)</f>
        <v/>
      </c>
      <c r="R15" s="474">
        <f>SUM(Monat!R16,Monat!R32,Monat!R48,Monat!R64,Monat!R80,Monat!R96,Monat!R112+Monat!R128,Monat!R144,Monat!R160,Monat!R176,Monat!R192)</f>
        <v/>
      </c>
      <c r="S15" s="474">
        <f>SUM(Monat!S16,Monat!S32,Monat!S48,Monat!S64,Monat!S80,Monat!S96,Monat!S112+Monat!S128,Monat!S144,Monat!S160,Monat!S176,Monat!S192)</f>
        <v/>
      </c>
      <c r="T15" s="472" t="n"/>
    </row>
    <row r="16">
      <c r="A16" s="473" t="n"/>
      <c r="B16" s="473" t="n"/>
      <c r="C16" s="473" t="n"/>
      <c r="D16" s="473" t="n"/>
      <c r="E16" s="473" t="n"/>
      <c r="F16" s="473" t="n"/>
      <c r="G16" s="473" t="n"/>
      <c r="H16" s="473" t="n"/>
      <c r="I16" s="473" t="n"/>
      <c r="J16" s="473" t="n"/>
      <c r="K16" s="473" t="n"/>
      <c r="L16" s="473" t="n"/>
      <c r="M16" s="473" t="n"/>
      <c r="N16" s="473" t="n"/>
      <c r="O16" s="473" t="n"/>
      <c r="P16" s="473" t="n"/>
      <c r="Q16" s="473" t="n"/>
      <c r="R16" s="473" t="n"/>
      <c r="S16" s="473" t="n"/>
      <c r="T16" s="473" t="n"/>
    </row>
  </sheetData>
  <printOptions horizontalCentered="1" gridLines="1"/>
  <pageMargins left="0.1968503937007874" right="0.7874015748031497" top="1.771653543307087" bottom="0.984251968503937" header="0.5118110236220472" footer="0.5118110236220472"/>
  <pageSetup orientation="landscape" paperSize="9"/>
  <headerFooter alignWithMargins="0">
    <oddHeader>&amp;L&amp;C&amp;R</oddHeader>
    <oddFooter>&amp;LDaimler AG_x000a_Werksärztlicher Dienst Rastatt_x000a_PER/HSW_x000a_&amp;CErstellt am: 07.10.2010_x000a_von: Manfred Velten_x000a__x000a_&amp;RVerantwortlich:_x000a_Dr.Frei_x000a__x000a_Druckdatum: &amp;D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Tabelle4">
    <outlinePr summaryBelow="1" summaryRight="1"/>
    <pageSetUpPr/>
  </sheetPr>
  <dimension ref="A1:AJ193"/>
  <sheetViews>
    <sheetView zoomScaleNormal="100" workbookViewId="0">
      <pane xSplit="2" topLeftCell="C1" activePane="topRight" state="frozen"/>
      <selection pane="topRight" activeCell="AE27" sqref="AE27"/>
    </sheetView>
  </sheetViews>
  <sheetFormatPr baseColWidth="10" defaultColWidth="11.44140625" defaultRowHeight="13.2"/>
  <cols>
    <col width="3.109375" customWidth="1" min="1" max="1"/>
    <col width="13.109375" bestFit="1" customWidth="1" min="2" max="2"/>
    <col width="6.88671875" customWidth="1" min="3" max="14"/>
    <col width="6.6640625" customWidth="1" min="15" max="17"/>
    <col width="6.88671875" customWidth="1" min="18" max="18"/>
    <col width="6.6640625" customWidth="1" min="19" max="19"/>
    <col width="8.6640625" customWidth="1" min="20" max="23"/>
    <col width="3.109375" customWidth="1" min="24" max="24"/>
    <col width="13.109375" bestFit="1" customWidth="1" min="25" max="25"/>
    <col width="6.5546875" customWidth="1" min="26" max="26"/>
    <col width="10" bestFit="1" customWidth="1" min="28" max="28"/>
    <col width="6" bestFit="1" customWidth="1" min="29" max="29"/>
    <col width="13.44140625" bestFit="1" customWidth="1" min="30" max="30"/>
    <col width="6.33203125" bestFit="1" customWidth="1" min="32" max="32"/>
    <col width="6" bestFit="1" customWidth="1" min="34" max="34"/>
    <col width="13.44140625" bestFit="1" customWidth="1" min="35" max="35"/>
  </cols>
  <sheetData>
    <row r="1" ht="13.8" customHeight="1" thickBot="1">
      <c r="A1" s="1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2" t="n"/>
      <c r="T1" s="1" t="n"/>
      <c r="U1" s="1" t="n"/>
      <c r="V1" s="12" t="n"/>
      <c r="W1" s="17" t="n"/>
      <c r="Y1" s="16" t="n"/>
      <c r="Z1" s="16" t="n"/>
      <c r="AA1" s="16" t="n"/>
      <c r="AB1" s="16" t="n"/>
      <c r="AC1" s="16" t="n"/>
    </row>
    <row r="2" ht="13.8" customHeight="1" thickTop="1">
      <c r="A2" s="475" t="n"/>
      <c r="B2" s="476" t="inlineStr">
        <is>
          <t>Januar</t>
        </is>
      </c>
      <c r="C2" s="475" t="n"/>
      <c r="D2" s="477" t="inlineStr">
        <is>
          <t>Arbeitstage</t>
        </is>
      </c>
      <c r="E2" s="475" t="n"/>
      <c r="F2" s="478" t="n">
        <v>21</v>
      </c>
      <c r="G2" s="479" t="n"/>
      <c r="H2" s="479" t="n"/>
      <c r="I2" s="477" t="inlineStr">
        <is>
          <t>Samstage</t>
        </is>
      </c>
      <c r="J2" s="475" t="n"/>
      <c r="K2" s="478" t="n">
        <v>4</v>
      </c>
      <c r="L2" s="475" t="n"/>
      <c r="M2" s="475" t="n"/>
      <c r="N2" s="475" t="n"/>
      <c r="O2" s="475" t="n"/>
      <c r="P2" s="475" t="n"/>
      <c r="Q2" s="475" t="n"/>
      <c r="R2" s="475" t="n"/>
      <c r="S2" s="475" t="n"/>
      <c r="T2" s="475" t="n"/>
      <c r="U2" s="475" t="n"/>
      <c r="V2" s="475" t="n"/>
      <c r="W2" s="475" t="n"/>
      <c r="X2" s="475" t="n"/>
      <c r="Y2" s="470" t="inlineStr">
        <is>
          <t>Mitarbeiter</t>
        </is>
      </c>
      <c r="Z2" s="470" t="inlineStr">
        <is>
          <t>IRTAZ</t>
        </is>
      </c>
      <c r="AA2" s="470" t="inlineStr">
        <is>
          <t>Std. ZEM</t>
        </is>
      </c>
      <c r="AB2" s="470" t="inlineStr">
        <is>
          <t>Schichten</t>
        </is>
      </c>
      <c r="AC2" s="470" t="inlineStr">
        <is>
          <t>Zeit</t>
        </is>
      </c>
      <c r="AD2" s="470" t="inlineStr">
        <is>
          <t>Urlaub in Std.</t>
        </is>
      </c>
      <c r="AE2" s="475" t="n"/>
      <c r="AF2" s="475" t="n"/>
      <c r="AG2" s="475" t="n"/>
      <c r="AH2" s="475" t="n"/>
      <c r="AI2" s="475" t="n"/>
      <c r="AJ2" s="475" t="n"/>
    </row>
    <row r="3">
      <c r="A3" s="480" t="n"/>
      <c r="B3" s="480" t="n"/>
      <c r="C3" s="480">
        <f>Jahr!C3</f>
        <v/>
      </c>
      <c r="D3" s="480">
        <f>Jahr!D3</f>
        <v/>
      </c>
      <c r="E3" s="480">
        <f>Jahr!E3</f>
        <v/>
      </c>
      <c r="F3" s="480">
        <f>Jahr!F3</f>
        <v/>
      </c>
      <c r="G3" s="480">
        <f>Jahr!G3</f>
        <v/>
      </c>
      <c r="H3" s="480">
        <f>Jahr!H3</f>
        <v/>
      </c>
      <c r="I3" s="480">
        <f>Jahr!I3</f>
        <v/>
      </c>
      <c r="J3" s="480">
        <f>Jahr!J3</f>
        <v/>
      </c>
      <c r="K3" s="480">
        <f>Jahr!K3</f>
        <v/>
      </c>
      <c r="L3" s="480">
        <f>Jahr!L3</f>
        <v/>
      </c>
      <c r="M3" s="480">
        <f>Jahr!M3</f>
        <v/>
      </c>
      <c r="N3" s="480">
        <f>Jahr!N3</f>
        <v/>
      </c>
      <c r="O3" s="480">
        <f>Jahr!O3</f>
        <v/>
      </c>
      <c r="P3" s="480">
        <f>Jahr!P3</f>
        <v/>
      </c>
      <c r="Q3" s="480">
        <f>Jahr!Q3</f>
        <v/>
      </c>
      <c r="R3" s="480">
        <f>Jahr!R3</f>
        <v/>
      </c>
      <c r="S3" s="480">
        <f>Jahr!S3</f>
        <v/>
      </c>
      <c r="T3" s="480" t="inlineStr">
        <is>
          <t>Soll AZ</t>
        </is>
      </c>
      <c r="U3" s="480" t="inlineStr">
        <is>
          <t>Ist AZ</t>
        </is>
      </c>
      <c r="V3" s="480" t="inlineStr">
        <is>
          <t>Differenz</t>
        </is>
      </c>
      <c r="W3" s="480" t="inlineStr">
        <is>
          <t>Gesamt</t>
        </is>
      </c>
      <c r="X3" s="480" t="n"/>
      <c r="Y3" s="481">
        <f>B4</f>
        <v/>
      </c>
      <c r="Z3" s="481" t="n">
        <v>8</v>
      </c>
      <c r="AA3" s="481" t="n">
        <v>0</v>
      </c>
      <c r="AB3" s="481" t="inlineStr">
        <is>
          <t>FI</t>
        </is>
      </c>
      <c r="AC3" s="481" t="n">
        <v>7.25</v>
      </c>
      <c r="AD3" s="481">
        <f>SUM(Z3*30)</f>
        <v/>
      </c>
      <c r="AE3" s="480" t="n"/>
      <c r="AF3" s="480" t="n"/>
      <c r="AG3" s="480" t="n"/>
      <c r="AH3" s="480" t="n"/>
      <c r="AI3" s="480" t="n"/>
      <c r="AJ3" s="480" t="n"/>
    </row>
    <row r="4">
      <c r="A4" s="472" t="n"/>
      <c r="B4" s="471">
        <f>Dienstplan!B8</f>
        <v/>
      </c>
      <c r="C4" s="472">
        <f>SUMPRODUCT((ISNUMBER(SEARCH($Y3,Dienstplan!$B$8:$B$19))*(ISNUMBER(SEARCH($AB$3,Dienstplan!$C$8:$AG$19)))))-D4</f>
        <v/>
      </c>
      <c r="D4" s="472">
        <f>SUMPRODUCT((ISNUMBER(SEARCH($Y3,Dienstplan!$B$8:$B$19))*(ISNUMBER(SEARCH($AB$4,Dienstplan!$C$8:$AG$19)))))</f>
        <v/>
      </c>
      <c r="E4" s="472">
        <f>SUMPRODUCT((ISNUMBER(SEARCH($Y3,Dienstplan!$B$8:$B$19))*(ISNUMBER(SEARCH($AB$5,Dienstplan!$C$8:$AG$19)))))</f>
        <v/>
      </c>
      <c r="F4" s="472">
        <f>SUMPRODUCT((ISNUMBER(SEARCH($Y3,Dienstplan!$B$8:$B$19))*(ISNUMBER(SEARCH($AB6,Dienstplan!$C$8:$AG$19)))))-1</f>
        <v/>
      </c>
      <c r="G4" s="472">
        <f>SUMPRODUCT((ISNUMBER(SEARCH($Y3,Dienstplan!$B$8:$B$19))*(ISNUMBER(SEARCH(AB$7,Dienstplan!$C$8:$AG$19)))))-H4</f>
        <v/>
      </c>
      <c r="H4" s="472">
        <f>SUMPRODUCT((ISNUMBER(SEARCH($Y3,Dienstplan!$B$8:$B$19))*(ISNUMBER(SEARCH(AB$8,Dienstplan!$C$8:$AG$19)))))</f>
        <v/>
      </c>
      <c r="I4" s="472">
        <f>SUMPRODUCT((ISNUMBER(SEARCH($Y3,Dienstplan!$B$8:$B$19))*(ISNUMBER(SEARCH($AB$9,Dienstplan!$C$8:$AG$19)))))</f>
        <v/>
      </c>
      <c r="J4" s="472">
        <f>SUMPRODUCT((ISNUMBER(SEARCH($Y3,Dienstplan!$B$8:$B$19))*(ISNUMBER(SEARCH($AB$10,Dienstplan!$C$8:$AG$19)))))</f>
        <v/>
      </c>
      <c r="K4" s="472">
        <f>SUMPRODUCT((ISNUMBER(SEARCH($Y3,Dienstplan!$B$8:$B$19))*(ISNUMBER(SEARCH($AB$11,Dienstplan!$C$8:$AG$19)))))-$Q4</f>
        <v/>
      </c>
      <c r="L4" s="472">
        <f>SUMPRODUCT((ISNUMBER(SEARCH($Y3,Dienstplan!$B$8:$B$19))*(ISNUMBER(SEARCH($AB$12,Dienstplan!$C$8:$AG$19)))))</f>
        <v/>
      </c>
      <c r="M4" s="472">
        <f>SUMPRODUCT((ISNUMBER(SEARCH($Y3,Dienstplan!$B$8:$B$19))*(ISNUMBER(SEARCH($AB$13,Dienstplan!$C$8:$AG$19)))))</f>
        <v/>
      </c>
      <c r="N4" s="472">
        <f>SUMPRODUCT((ISNUMBER(SEARCH($Y3,Dienstplan!$B$8:$B$19))*(ISNUMBER(SEARCH($AB$14,Dienstplan!$C$8:$AG$19)))))</f>
        <v/>
      </c>
      <c r="O4" s="472">
        <f>SUMPRODUCT((ISNUMBER(SEARCH($Y3,Dienstplan!$B$8:$B$19))*(ISNUMBER(SEARCH($AB$15,Dienstplan!$C$8:$AG$19)))))</f>
        <v/>
      </c>
      <c r="P4" s="472">
        <f>SUMPRODUCT((ISNUMBER(SEARCH($Y3,Dienstplan!$B$8:$B$19))*(ISNUMBER(SEARCH($AB$16,Dienstplan!$C$8:$AG$19)))))</f>
        <v/>
      </c>
      <c r="Q4" s="472">
        <f>SUMPRODUCT((ISNUMBER(SEARCH($Y3,Dienstplan!$B$8:$B$19))*(ISNUMBER(SEARCH($AB$17,Dienstplan!$C$8:$AG$19)))))</f>
        <v/>
      </c>
      <c r="R4" s="472">
        <f>SUMPRODUCT((ISNUMBER(SEARCH($Y3,Dienstplan!$B$8:$B$19))*(ISNUMBER(SEARCH($AB$18,Dienstplan!$C$8:$AG$19)))))</f>
        <v/>
      </c>
      <c r="S4" s="472">
        <f>SUMPRODUCT((ISNUMBER(SEARCH($Y3,Dienstplan!$B$8:$B$19))*(ISNUMBER(SEARCH($AB$19,Dienstplan!$C$8:$AG$19)))))</f>
        <v/>
      </c>
      <c r="T4" s="472">
        <f>SUM($F$2*$Z3)</f>
        <v/>
      </c>
      <c r="U4" s="472">
        <f>SUM($C4*Frueh_1+$D4*Spaet_1+$E4*Nacht_1+$F4*Normal_1+$I4*Sonderd_1-$J4*Velten+$K4*Velten+$L4*EH_Kurs+$M4*Koor_taet+$N4*Sekre_1+$O4*Velten+$R4*Velten+$P4*Velten+$Q4*Velten+G4*Unt_I+H4*Unt_II)</f>
        <v/>
      </c>
      <c r="V4" s="472">
        <f>SUM($U4-$T4)</f>
        <v/>
      </c>
      <c r="W4" s="472">
        <f>V4+AA3</f>
        <v/>
      </c>
      <c r="X4" s="472" t="n"/>
      <c r="Y4" s="472">
        <f>B5</f>
        <v/>
      </c>
      <c r="Z4" s="472" t="n">
        <v>7</v>
      </c>
      <c r="AA4" s="472" t="n">
        <v>0</v>
      </c>
      <c r="AB4" s="472" t="inlineStr">
        <is>
          <t>FII</t>
        </is>
      </c>
      <c r="AC4" s="472" t="n">
        <v>7.5</v>
      </c>
      <c r="AD4" s="472">
        <f>SUM(Z4*30)</f>
        <v/>
      </c>
      <c r="AE4" s="472" t="n"/>
      <c r="AF4" s="472" t="n"/>
      <c r="AG4" s="472" t="n"/>
      <c r="AH4" s="472" t="n"/>
      <c r="AI4" s="472" t="n"/>
      <c r="AJ4" s="472" t="n"/>
    </row>
    <row r="5">
      <c r="A5" s="472" t="n"/>
      <c r="B5" s="471">
        <f>Dienstplan!B9</f>
        <v/>
      </c>
      <c r="C5" s="472">
        <f>SUMPRODUCT((ISNUMBER(SEARCH($Y4,Dienstplan!$B$8:$B$19))*(ISNUMBER(SEARCH($AB$3,Dienstplan!$C$8:$AG$19)))))-D5</f>
        <v/>
      </c>
      <c r="D5" s="472">
        <f>SUMPRODUCT((ISNUMBER(SEARCH($Y4,Dienstplan!$B$8:$B$19))*(ISNUMBER(SEARCH($AB$4,Dienstplan!$C$8:$AG$19)))))</f>
        <v/>
      </c>
      <c r="E5" s="472">
        <f>SUMPRODUCT((ISNUMBER(SEARCH($Y4,Dienstplan!$B$8:$B$19))*(ISNUMBER(SEARCH($AB$5,Dienstplan!$C$8:$AG$19)))))</f>
        <v/>
      </c>
      <c r="F5" s="472">
        <f>SUMPRODUCT((ISNUMBER(SEARCH($Y4,Dienstplan!$B$8:$B$19))*(ISNUMBER(SEARCH($AB$6,Dienstplan!$C$8:$AG$19)))))</f>
        <v/>
      </c>
      <c r="G5" s="472">
        <f>SUMPRODUCT((ISNUMBER(SEARCH($Y4,Dienstplan!$B$8:$B$19))*(ISNUMBER(SEARCH(AB$7,Dienstplan!$C$8:$AG$19)))))-H5</f>
        <v/>
      </c>
      <c r="H5" s="472">
        <f>SUMPRODUCT((ISNUMBER(SEARCH($Y4,Dienstplan!$B$8:$B$19))*(ISNUMBER(SEARCH(AB$8,Dienstplan!$C$8:$AG$19)))))</f>
        <v/>
      </c>
      <c r="I5" s="472">
        <f>SUMPRODUCT((ISNUMBER(SEARCH($Y4,Dienstplan!$B$8:$B$19))*(ISNUMBER(SEARCH($AB$9,Dienstplan!$C$8:$AG$19)))))</f>
        <v/>
      </c>
      <c r="J5" s="472">
        <f>SUMPRODUCT((ISNUMBER(SEARCH($Y4,Dienstplan!$B$8:$B$19))*(ISNUMBER(SEARCH($AB$10,Dienstplan!$C$8:$AG$19)))))</f>
        <v/>
      </c>
      <c r="K5" s="472">
        <f>SUMPRODUCT((ISNUMBER(SEARCH($Y4,Dienstplan!$B$8:$B$19))*(ISNUMBER(SEARCH($AB$11,Dienstplan!$C$8:$AG$19)))))-$Q5</f>
        <v/>
      </c>
      <c r="L5" s="472">
        <f>SUMPRODUCT((ISNUMBER(SEARCH($Y4,Dienstplan!$B$8:$B$19))*(ISNUMBER(SEARCH($AB$12,Dienstplan!$C$8:$AG$19)))))</f>
        <v/>
      </c>
      <c r="M5" s="472">
        <f>SUMPRODUCT((ISNUMBER(SEARCH($Y4,Dienstplan!$B$8:$B$19))*(ISNUMBER(SEARCH($AB$13,Dienstplan!$C$8:$AG$19)))))</f>
        <v/>
      </c>
      <c r="N5" s="472">
        <f>SUMPRODUCT((ISNUMBER(SEARCH($Y4,Dienstplan!$B$8:$B$19))*(ISNUMBER(SEARCH($AB$14,Dienstplan!$C$8:$AG$19)))))</f>
        <v/>
      </c>
      <c r="O5" s="472">
        <f>SUMPRODUCT((ISNUMBER(SEARCH($Y4,Dienstplan!$B$8:$B$19))*(ISNUMBER(SEARCH($AB$15,Dienstplan!$C$8:$AG$19)))))</f>
        <v/>
      </c>
      <c r="P5" s="472">
        <f>SUMPRODUCT((ISNUMBER(SEARCH($Y4,Dienstplan!$B$8:$B$19))*(ISNUMBER(SEARCH($AB$16,Dienstplan!$C$8:$AG$19)))))</f>
        <v/>
      </c>
      <c r="Q5" s="472">
        <f>SUMPRODUCT((ISNUMBER(SEARCH($Y4,Dienstplan!$B$8:$B$19))*(ISNUMBER(SEARCH($AB$17,Dienstplan!$C$8:$AG$19)))))</f>
        <v/>
      </c>
      <c r="R5" s="472">
        <f>SUMPRODUCT((ISNUMBER(SEARCH($Y4,Dienstplan!$B$8:$B$19))*(ISNUMBER(SEARCH($AB$18,Dienstplan!$C$8:$AG$19)))))</f>
        <v/>
      </c>
      <c r="S5" s="472">
        <f>SUMPRODUCT((ISNUMBER(SEARCH($Y4,Dienstplan!$B$8:$B$19))*(ISNUMBER(SEARCH($AB$19,Dienstplan!$C$8:$AG$19)))))</f>
        <v/>
      </c>
      <c r="T5" s="472">
        <f>SUM($F$2*$Z4)</f>
        <v/>
      </c>
      <c r="U5" s="472">
        <f>SUM($C5*Frueh_1+$D5*Spaet_1+$E5*Nacht_1+$F5*Normal_1+$I5*Sonderd_1-$J5*Brue_H+$K5*Brue_H+$L5*EH_Kurs+$M5*Koor_taet+$N5*Sekre_1+$O5*Brue_H+$R5*Brue_H+$P5*Brue_H+$Q5*Brue_H+G5*Unt_I+H5*Unt_II)</f>
        <v/>
      </c>
      <c r="V5" s="472">
        <f>SUM($U5-$T5)</f>
        <v/>
      </c>
      <c r="W5" s="472">
        <f>V5+AA4</f>
        <v/>
      </c>
      <c r="X5" s="472" t="n"/>
      <c r="Y5" s="472">
        <f>B6</f>
        <v/>
      </c>
      <c r="Z5" s="472" t="n">
        <v>7</v>
      </c>
      <c r="AA5" s="472" t="n">
        <v>0</v>
      </c>
      <c r="AB5" s="472" t="inlineStr">
        <is>
          <t>SI</t>
        </is>
      </c>
      <c r="AC5" s="472" t="n">
        <v>7.5</v>
      </c>
      <c r="AD5" s="472">
        <f>SUM(Z5*30)</f>
        <v/>
      </c>
      <c r="AE5" s="472" t="n"/>
      <c r="AF5" s="472" t="n"/>
      <c r="AG5" s="472" t="n"/>
      <c r="AH5" s="472" t="n"/>
      <c r="AI5" s="472" t="n"/>
      <c r="AJ5" s="472" t="n"/>
    </row>
    <row r="6">
      <c r="A6" s="472" t="n"/>
      <c r="B6" s="471">
        <f>Dienstplan!B10</f>
        <v/>
      </c>
      <c r="C6" s="472">
        <f>SUMPRODUCT((ISNUMBER(SEARCH($Y5,Dienstplan!$B$8:$B$19))*(ISNUMBER(SEARCH($AB$3,Dienstplan!$C$8:$AG$19)))))-D6</f>
        <v/>
      </c>
      <c r="D6" s="472">
        <f>SUMPRODUCT((ISNUMBER(SEARCH($Y5,Dienstplan!$B$8:$B$19))*(ISNUMBER(SEARCH($AB$4,Dienstplan!$C$8:$AG$19)))))</f>
        <v/>
      </c>
      <c r="E6" s="472">
        <f>SUMPRODUCT((ISNUMBER(SEARCH($Y5,Dienstplan!$B$8:$B$19))*(ISNUMBER(SEARCH($AB$5,Dienstplan!$C$8:$AG$19)))))</f>
        <v/>
      </c>
      <c r="F6" s="472">
        <f>SUMPRODUCT((ISNUMBER(SEARCH($Y5,Dienstplan!$B$8:$B$19))*(ISNUMBER(SEARCH($AB$6,Dienstplan!$C$8:$AG$19)))))</f>
        <v/>
      </c>
      <c r="G6" s="472">
        <f>SUMPRODUCT((ISNUMBER(SEARCH($Y5,Dienstplan!$B$8:$B$19))*(ISNUMBER(SEARCH(AB$7,Dienstplan!$C$8:$AG$19)))))-H6</f>
        <v/>
      </c>
      <c r="H6" s="472">
        <f>SUMPRODUCT((ISNUMBER(SEARCH($Y5,Dienstplan!$B$8:$B$19))*(ISNUMBER(SEARCH(AB$8,Dienstplan!$C$8:$AG$19)))))</f>
        <v/>
      </c>
      <c r="I6" s="472">
        <f>SUMPRODUCT((ISNUMBER(SEARCH($Y5,Dienstplan!$B$8:$B$19))*(ISNUMBER(SEARCH($AB$9,Dienstplan!$C$8:$AG$19)))))</f>
        <v/>
      </c>
      <c r="J6" s="472">
        <f>SUMPRODUCT((ISNUMBER(SEARCH($Y5,Dienstplan!$B$8:$B$19))*(ISNUMBER(SEARCH($AB$10,Dienstplan!$C$8:$AG$19)))))</f>
        <v/>
      </c>
      <c r="K6" s="472">
        <f>SUMPRODUCT((ISNUMBER(SEARCH($Y5,Dienstplan!$B$8:$B$19))*(ISNUMBER(SEARCH($AB$11,Dienstplan!$C$8:$AG$19)))))-$Q6</f>
        <v/>
      </c>
      <c r="L6" s="472">
        <f>SUMPRODUCT((ISNUMBER(SEARCH($Y5,Dienstplan!$B$8:$B$19))*(ISNUMBER(SEARCH($AB$12,Dienstplan!$C$8:$AG$19)))))</f>
        <v/>
      </c>
      <c r="M6" s="472">
        <f>SUMPRODUCT((ISNUMBER(SEARCH($Y5,Dienstplan!$B$8:$B$19))*(ISNUMBER(SEARCH($AB$13,Dienstplan!$C$8:$AG$19)))))</f>
        <v/>
      </c>
      <c r="N6" s="472">
        <f>SUMPRODUCT((ISNUMBER(SEARCH($Y5,Dienstplan!$B$8:$B$19))*(ISNUMBER(SEARCH($AB$14,Dienstplan!$C$8:$AG$19)))))</f>
        <v/>
      </c>
      <c r="O6" s="472">
        <f>SUMPRODUCT((ISNUMBER(SEARCH($Y5,Dienstplan!$B$8:$B$19))*(ISNUMBER(SEARCH($AB$15,Dienstplan!$C$8:$AG$19)))))</f>
        <v/>
      </c>
      <c r="P6" s="472">
        <f>SUMPRODUCT((ISNUMBER(SEARCH($Y5,Dienstplan!$B$8:$B$19))*(ISNUMBER(SEARCH($AB$16,Dienstplan!$C$8:$AG$19)))))</f>
        <v/>
      </c>
      <c r="Q6" s="472">
        <f>SUMPRODUCT((ISNUMBER(SEARCH($Y5,Dienstplan!$B$8:$B$19))*(ISNUMBER(SEARCH($AB$17,Dienstplan!$C$8:$AG$19)))))</f>
        <v/>
      </c>
      <c r="R6" s="472">
        <f>SUMPRODUCT((ISNUMBER(SEARCH($Y5,Dienstplan!$B$8:$B$19))*(ISNUMBER(SEARCH($AB$18,Dienstplan!$C$8:$AG$19)))))</f>
        <v/>
      </c>
      <c r="S6" s="472">
        <f>SUMPRODUCT((ISNUMBER(SEARCH($Y5,Dienstplan!$B$8:$B$19))*(ISNUMBER(SEARCH($AB$19,Dienstplan!$C$8:$AG$19)))))</f>
        <v/>
      </c>
      <c r="T6" s="472">
        <f>SUM($F$2*$Z5)</f>
        <v/>
      </c>
      <c r="U6" s="472">
        <f>SUM($C6*Frueh_1+$D6*Spaet_1+$E6*Nacht_1+$F6*Normal_1+$I6*Sonderd_1-$J6*Rath_M+$K6*Rath_M+$L6*EH_Kurs+$M6*Koor_taet+$N6*Sekre_1+$O6*Rath_M+$R6*Rath_M+$P6*Rath_M+$Q6*Rath_M+G6*Unt_I+H6*Unt_II)</f>
        <v/>
      </c>
      <c r="V6" s="472">
        <f>SUM($U6-$T6)</f>
        <v/>
      </c>
      <c r="W6" s="472">
        <f>V6+AA5</f>
        <v/>
      </c>
      <c r="X6" s="472" t="n"/>
      <c r="Y6" s="472">
        <f>B7</f>
        <v/>
      </c>
      <c r="Z6" s="472" t="n">
        <v>8</v>
      </c>
      <c r="AA6" s="472" t="n">
        <v>0</v>
      </c>
      <c r="AB6" s="472" t="inlineStr">
        <is>
          <t>NI</t>
        </is>
      </c>
      <c r="AC6" s="472" t="n">
        <v>7.5</v>
      </c>
      <c r="AD6" s="472">
        <f>SUM(Z6*30)</f>
        <v/>
      </c>
      <c r="AE6" s="472" t="n"/>
      <c r="AF6" s="472" t="n"/>
      <c r="AG6" s="472" t="n"/>
      <c r="AH6" s="472" t="n"/>
      <c r="AI6" s="472" t="n"/>
      <c r="AJ6" s="472" t="n"/>
    </row>
    <row r="7">
      <c r="A7" s="472" t="n"/>
      <c r="B7" s="471">
        <f>Dienstplan!B11</f>
        <v/>
      </c>
      <c r="C7" s="472">
        <f>SUMPRODUCT((ISNUMBER(SEARCH($Y6,Dienstplan!$B$8:$B$19))*(ISNUMBER(SEARCH($AB$3,Dienstplan!$C$8:$AG$19)))))-D7</f>
        <v/>
      </c>
      <c r="D7" s="472">
        <f>SUMPRODUCT((ISNUMBER(SEARCH($Y6,Dienstplan!$B$8:$B$19))*(ISNUMBER(SEARCH($AB$4,Dienstplan!$C$8:$AG$19)))))</f>
        <v/>
      </c>
      <c r="E7" s="472">
        <f>SUMPRODUCT((ISNUMBER(SEARCH($Y6,Dienstplan!$B$8:$B$19))*(ISNUMBER(SEARCH($AB$5,Dienstplan!$C$8:$AG$19)))))</f>
        <v/>
      </c>
      <c r="F7" s="472">
        <f>SUMPRODUCT((ISNUMBER(SEARCH($Y6,Dienstplan!$B$8:$B$19))*(ISNUMBER(SEARCH($AB$6,Dienstplan!$C$8:$AG$19)))))</f>
        <v/>
      </c>
      <c r="G7" s="472">
        <f>SUMPRODUCT((ISNUMBER(SEARCH($Y6,Dienstplan!$B$8:$B$19))*(ISNUMBER(SEARCH(AB$7,Dienstplan!$C$8:$AG$19)))))-H7</f>
        <v/>
      </c>
      <c r="H7" s="472">
        <f>SUMPRODUCT((ISNUMBER(SEARCH($Y6,Dienstplan!$B$8:$B$19))*(ISNUMBER(SEARCH(AB$8,Dienstplan!$C$8:$AG$19)))))</f>
        <v/>
      </c>
      <c r="I7" s="472">
        <f>SUMPRODUCT((ISNUMBER(SEARCH($Y6,Dienstplan!$B$8:$B$19))*(ISNUMBER(SEARCH($AB$9,Dienstplan!$C$8:$AG$19)))))</f>
        <v/>
      </c>
      <c r="J7" s="472">
        <f>SUMPRODUCT((ISNUMBER(SEARCH($Y6,Dienstplan!$B$8:$B$19))*(ISNUMBER(SEARCH($AB$10,Dienstplan!$C$8:$AG$19)))))</f>
        <v/>
      </c>
      <c r="K7" s="472">
        <f>SUMPRODUCT((ISNUMBER(SEARCH($Y6,Dienstplan!$B$8:$B$19))*(ISNUMBER(SEARCH($AB$11,Dienstplan!$C$8:$AG$19)))))-$Q7</f>
        <v/>
      </c>
      <c r="L7" s="472">
        <f>SUMPRODUCT((ISNUMBER(SEARCH($Y6,Dienstplan!$B$8:$B$19))*(ISNUMBER(SEARCH($AB$12,Dienstplan!$C$8:$AG$19)))))</f>
        <v/>
      </c>
      <c r="M7" s="472">
        <f>SUMPRODUCT((ISNUMBER(SEARCH($Y6,Dienstplan!$B$8:$B$19))*(ISNUMBER(SEARCH($AB$13,Dienstplan!$C$8:$AG$19)))))</f>
        <v/>
      </c>
      <c r="N7" s="472">
        <f>SUMPRODUCT((ISNUMBER(SEARCH($Y6,Dienstplan!$B$8:$B$19))*(ISNUMBER(SEARCH($AB$14,Dienstplan!$C$8:$AG$19)))))</f>
        <v/>
      </c>
      <c r="O7" s="472">
        <f>SUMPRODUCT((ISNUMBER(SEARCH($Y6,Dienstplan!$B$8:$B$19))*(ISNUMBER(SEARCH($AB$15,Dienstplan!$C$8:$AG$19)))))</f>
        <v/>
      </c>
      <c r="P7" s="472">
        <f>SUMPRODUCT((ISNUMBER(SEARCH($Y6,Dienstplan!$B$8:$B$19))*(ISNUMBER(SEARCH($AB$16,Dienstplan!$C$8:$AG$19)))))</f>
        <v/>
      </c>
      <c r="Q7" s="472">
        <f>SUMPRODUCT((ISNUMBER(SEARCH($Y6,Dienstplan!$B$8:$B$19))*(ISNUMBER(SEARCH($AB$17,Dienstplan!$C$8:$AG$19)))))</f>
        <v/>
      </c>
      <c r="R7" s="472">
        <f>SUMPRODUCT((ISNUMBER(SEARCH($Y6,Dienstplan!$B$8:$B$19))*(ISNUMBER(SEARCH($AB$18,Dienstplan!$C$8:$AG$19)))))</f>
        <v/>
      </c>
      <c r="S7" s="472">
        <f>SUMPRODUCT((ISNUMBER(SEARCH($Y6,Dienstplan!$B$8:$B$19))*(ISNUMBER(SEARCH($AB$19,Dienstplan!$C$8:$AG$19)))))</f>
        <v/>
      </c>
      <c r="T7" s="472">
        <f>SUM($F$2*$Z6)</f>
        <v/>
      </c>
      <c r="U7" s="472">
        <f>SUM($C7*Frueh_1+$D7*Spaet_1+$E7*Nacht_1+$F7*Normal_1+$I7*Sonderd_1-$J7*Scho_K+$K7*Scho_K+$L7*EH_Kurs+$M7*Koor_taet+$N7*Sekre_1+$O7*Scho_K+$R7*Scho_K+$P7*Scho_K+$Q7*Scho_K+G7*Unt_I+H7*Unt_II)</f>
        <v/>
      </c>
      <c r="V7" s="472">
        <f>SUM($U7-$T7)</f>
        <v/>
      </c>
      <c r="W7" s="472">
        <f>V7+AA6</f>
        <v/>
      </c>
      <c r="X7" s="472" t="n"/>
      <c r="Y7" s="472">
        <f>B8</f>
        <v/>
      </c>
      <c r="Z7" s="472" t="n">
        <v>7</v>
      </c>
      <c r="AA7" s="472" t="n">
        <v>0</v>
      </c>
      <c r="AB7" s="472" t="inlineStr">
        <is>
          <t>DI</t>
        </is>
      </c>
      <c r="AC7" s="472" t="n">
        <v>8</v>
      </c>
      <c r="AD7" s="472">
        <f>SUM(Z7*30)</f>
        <v/>
      </c>
      <c r="AE7" s="472" t="n"/>
      <c r="AF7" s="472" t="n"/>
      <c r="AG7" s="472" t="n"/>
      <c r="AH7" s="472" t="n"/>
      <c r="AI7" s="472" t="n"/>
      <c r="AJ7" s="472" t="n"/>
    </row>
    <row r="8">
      <c r="A8" s="472" t="n"/>
      <c r="B8" s="471">
        <f>Dienstplan!B12</f>
        <v/>
      </c>
      <c r="C8" s="472">
        <f>SUMPRODUCT((ISNUMBER(SEARCH($Y7,Dienstplan!$B$8:$B$19))*(ISNUMBER(SEARCH($AB$3,Dienstplan!$C$8:$AG$19)))))-D8</f>
        <v/>
      </c>
      <c r="D8" s="472">
        <f>SUMPRODUCT((ISNUMBER(SEARCH($Y7,Dienstplan!$B$8:$B$19))*(ISNUMBER(SEARCH($AB$4,Dienstplan!$C$8:$AG$19)))))</f>
        <v/>
      </c>
      <c r="E8" s="472">
        <f>SUMPRODUCT((ISNUMBER(SEARCH($Y7,Dienstplan!$B$8:$B$19))*(ISNUMBER(SEARCH($AB$5,Dienstplan!$C$8:$AG$19)))))</f>
        <v/>
      </c>
      <c r="F8" s="472">
        <f>SUMPRODUCT((ISNUMBER(SEARCH($Y7,Dienstplan!$B$8:$B$19))*(ISNUMBER(SEARCH($AB$6,Dienstplan!$C$8:$AG$19)))))</f>
        <v/>
      </c>
      <c r="G8" s="472">
        <f>SUMPRODUCT((ISNUMBER(SEARCH($Y7,Dienstplan!$B$8:$B$19))*(ISNUMBER(SEARCH(AB$7,Dienstplan!$C$8:$AG$19)))))-H8</f>
        <v/>
      </c>
      <c r="H8" s="472">
        <f>SUMPRODUCT((ISNUMBER(SEARCH($Y7,Dienstplan!$B$8:$B$19))*(ISNUMBER(SEARCH(AB$8,Dienstplan!$C$8:$AG$19)))))</f>
        <v/>
      </c>
      <c r="I8" s="472">
        <f>SUMPRODUCT((ISNUMBER(SEARCH($Y7,Dienstplan!$B$8:$B$19))*(ISNUMBER(SEARCH($AB$9,Dienstplan!$C$8:$AG$19)))))</f>
        <v/>
      </c>
      <c r="J8" s="472">
        <f>SUMPRODUCT((ISNUMBER(SEARCH($Y7,Dienstplan!$B$8:$B$19))*(ISNUMBER(SEARCH($AB$10,Dienstplan!$C$8:$AG$19)))))</f>
        <v/>
      </c>
      <c r="K8" s="472">
        <f>SUMPRODUCT((ISNUMBER(SEARCH($Y7,Dienstplan!$B$8:$B$19))*(ISNUMBER(SEARCH($AB$11,Dienstplan!$C$8:$AG$19)))))-$Q8</f>
        <v/>
      </c>
      <c r="L8" s="472">
        <f>SUMPRODUCT((ISNUMBER(SEARCH($Y7,Dienstplan!$B$8:$B$19))*(ISNUMBER(SEARCH($AB$12,Dienstplan!$C$8:$AG$19)))))</f>
        <v/>
      </c>
      <c r="M8" s="472">
        <f>SUMPRODUCT((ISNUMBER(SEARCH($Y7,Dienstplan!$B$8:$B$19))*(ISNUMBER(SEARCH($AB$13,Dienstplan!$C$8:$AG$19)))))</f>
        <v/>
      </c>
      <c r="N8" s="472">
        <f>SUMPRODUCT((ISNUMBER(SEARCH($Y7,Dienstplan!$B$8:$B$19))*(ISNUMBER(SEARCH($AB$14,Dienstplan!$C$8:$AG$19)))))</f>
        <v/>
      </c>
      <c r="O8" s="472">
        <f>SUMPRODUCT((ISNUMBER(SEARCH($Y7,Dienstplan!$B$8:$B$19))*(ISNUMBER(SEARCH($AB$15,Dienstplan!$C$8:$AG$19)))))</f>
        <v/>
      </c>
      <c r="P8" s="472">
        <f>SUMPRODUCT((ISNUMBER(SEARCH($Y7,Dienstplan!$B$8:$B$19))*(ISNUMBER(SEARCH($AB$16,Dienstplan!$C$8:$AG$19)))))</f>
        <v/>
      </c>
      <c r="Q8" s="472">
        <f>SUMPRODUCT((ISNUMBER(SEARCH($Y7,Dienstplan!$B$8:$B$19))*(ISNUMBER(SEARCH($AB$17,Dienstplan!$C$8:$AG$19)))))</f>
        <v/>
      </c>
      <c r="R8" s="472">
        <f>SUMPRODUCT((ISNUMBER(SEARCH($Y7,Dienstplan!$B$8:$B$19))*(ISNUMBER(SEARCH($AB$18,Dienstplan!$C$8:$AG$19)))))</f>
        <v/>
      </c>
      <c r="S8" s="472">
        <f>SUMPRODUCT((ISNUMBER(SEARCH($Y7,Dienstplan!$B$8:$B$19))*(ISNUMBER(SEARCH($AB$19,Dienstplan!$C$8:$AG$19)))))</f>
        <v/>
      </c>
      <c r="T8" s="472">
        <f>SUM($F$2*$Z7)</f>
        <v/>
      </c>
      <c r="U8" s="472">
        <f>SUM($C8*Frueh_1+$D8*Spaet_1+$E8*Nacht_1+$F8*Normal_1+$I8*Sonderd_1-$J8*Krie_B+$K8*Krie_B+$L8*EH_Kurs+$M8*Koor_taet+$N8*Sekre_1+$O8*Krie_B+$R8*Krie_B+$P8*Krie_B+$Q8*Krie_B+G8*Unt_I+H8*Unt_II)</f>
        <v/>
      </c>
      <c r="V8" s="472">
        <f>SUM($U8-$T8)</f>
        <v/>
      </c>
      <c r="W8" s="472">
        <f>V8+AA7</f>
        <v/>
      </c>
      <c r="X8" s="472" t="n"/>
      <c r="Y8" s="472">
        <f>B9</f>
        <v/>
      </c>
      <c r="Z8" s="472" t="n">
        <v>8</v>
      </c>
      <c r="AA8" s="472" t="n">
        <v>0</v>
      </c>
      <c r="AB8" s="472" t="inlineStr">
        <is>
          <t>DII</t>
        </is>
      </c>
      <c r="AC8" s="472" t="n">
        <v>8</v>
      </c>
      <c r="AD8" s="472">
        <f>SUM(Z8*30)</f>
        <v/>
      </c>
      <c r="AE8" s="472" t="n"/>
      <c r="AF8" s="472" t="n"/>
      <c r="AG8" s="472" t="n"/>
      <c r="AH8" s="472" t="n"/>
      <c r="AI8" s="472" t="n"/>
      <c r="AJ8" s="472" t="n"/>
    </row>
    <row r="9">
      <c r="A9" s="472" t="n"/>
      <c r="B9" s="471">
        <f>Dienstplan!B13</f>
        <v/>
      </c>
      <c r="C9" s="472">
        <f>SUMPRODUCT((ISNUMBER(SEARCH($Y8,Dienstplan!$B$8:$B$19))*(ISNUMBER(SEARCH($AB$3,Dienstplan!$C$8:$AG$19)))))-D9</f>
        <v/>
      </c>
      <c r="D9" s="472">
        <f>SUMPRODUCT((ISNUMBER(SEARCH($Y8,Dienstplan!$B$8:$B$19))*(ISNUMBER(SEARCH($AB$4,Dienstplan!$C$8:$AG$19)))))</f>
        <v/>
      </c>
      <c r="E9" s="472">
        <f>SUMPRODUCT((ISNUMBER(SEARCH($Y8,Dienstplan!$B$8:$B$19))*(ISNUMBER(SEARCH($AB$5,Dienstplan!$C$8:$AG$19)))))</f>
        <v/>
      </c>
      <c r="F9" s="472">
        <f>SUMPRODUCT((ISNUMBER(SEARCH($Y8,Dienstplan!$B$8:$B$19))*(ISNUMBER(SEARCH($AB$6,Dienstplan!$C$8:$AG$19)))))</f>
        <v/>
      </c>
      <c r="G9" s="472">
        <f>SUMPRODUCT((ISNUMBER(SEARCH($Y8,Dienstplan!$B$8:$B$19))*(ISNUMBER(SEARCH(AB$7,Dienstplan!$C$8:$AG$19)))))-H9</f>
        <v/>
      </c>
      <c r="H9" s="472">
        <f>SUMPRODUCT((ISNUMBER(SEARCH($Y8,Dienstplan!$B$8:$B$19))*(ISNUMBER(SEARCH(AB$8,Dienstplan!$C$8:$AG$19)))))</f>
        <v/>
      </c>
      <c r="I9" s="472">
        <f>SUMPRODUCT((ISNUMBER(SEARCH($Y8,Dienstplan!$B$8:$B$19))*(ISNUMBER(SEARCH($AB$9,Dienstplan!$C$8:$AG$19)))))</f>
        <v/>
      </c>
      <c r="J9" s="472">
        <f>SUMPRODUCT((ISNUMBER(SEARCH($Y8,Dienstplan!$B$8:$B$19))*(ISNUMBER(SEARCH($AB$10,Dienstplan!$C$8:$AG$19)))))</f>
        <v/>
      </c>
      <c r="K9" s="472">
        <f>SUMPRODUCT((ISNUMBER(SEARCH($Y8,Dienstplan!$B$8:$B$19))*(ISNUMBER(SEARCH($AB$11,Dienstplan!$C$8:$AG$19)))))-$Q9</f>
        <v/>
      </c>
      <c r="L9" s="472">
        <f>SUMPRODUCT((ISNUMBER(SEARCH($Y8,Dienstplan!$B$8:$B$19))*(ISNUMBER(SEARCH($AB$12,Dienstplan!$C$8:$AG$19)))))</f>
        <v/>
      </c>
      <c r="M9" s="472">
        <f>SUMPRODUCT((ISNUMBER(SEARCH($Y8,Dienstplan!$B$8:$B$19))*(ISNUMBER(SEARCH($AB$13,Dienstplan!$C$8:$AG$19)))))</f>
        <v/>
      </c>
      <c r="N9" s="472">
        <f>SUMPRODUCT((ISNUMBER(SEARCH($Y8,Dienstplan!$B$8:$B$19))*(ISNUMBER(SEARCH($AB$14,Dienstplan!$C$8:$AG$19)))))</f>
        <v/>
      </c>
      <c r="O9" s="472">
        <f>SUMPRODUCT((ISNUMBER(SEARCH($Y8,Dienstplan!$B$8:$B$19))*(ISNUMBER(SEARCH($AB$15,Dienstplan!$C$8:$AG$19)))))</f>
        <v/>
      </c>
      <c r="P9" s="472">
        <f>SUMPRODUCT((ISNUMBER(SEARCH($Y8,Dienstplan!$B$8:$B$19))*(ISNUMBER(SEARCH($AB$16,Dienstplan!$C$8:$AG$19)))))</f>
        <v/>
      </c>
      <c r="Q9" s="472">
        <f>SUMPRODUCT((ISNUMBER(SEARCH($Y8,Dienstplan!$B$8:$B$19))*(ISNUMBER(SEARCH($AB$17,Dienstplan!$C$8:$AG$19)))))</f>
        <v/>
      </c>
      <c r="R9" s="472">
        <f>SUMPRODUCT((ISNUMBER(SEARCH($Y8,Dienstplan!$B$8:$B$19))*(ISNUMBER(SEARCH($AB$18,Dienstplan!$C$8:$AG$19)))))</f>
        <v/>
      </c>
      <c r="S9" s="472">
        <f>SUMPRODUCT((ISNUMBER(SEARCH($Y8,Dienstplan!$B$8:$B$19))*(ISNUMBER(SEARCH($AB$19,Dienstplan!$C$8:$AG$19)))))</f>
        <v/>
      </c>
      <c r="T9" s="472">
        <f>SUM($F$2*$Z8)</f>
        <v/>
      </c>
      <c r="U9" s="472">
        <f>SUM($C9*Frueh_1+$D9*Spaet_1+$E9*Nacht_1+$F9*Normal_1+$I9*Sonderd_1-$J9*Wuert_A+$K9*Wuert_A+$L9*EH_Kurs+$M9*Koor_taet+$N9*Sekre_1+$O9*Wuert_A+$R9*Wuert_A+$P9*Wuert_A+$Q9*Wuert_A+G9*Unt_I+H9*Unt_II)</f>
        <v/>
      </c>
      <c r="V9" s="472">
        <f>SUM($U9-$T9)</f>
        <v/>
      </c>
      <c r="W9" s="472">
        <f>V9+AA8</f>
        <v/>
      </c>
      <c r="X9" s="472" t="n"/>
      <c r="Y9" s="472">
        <f>B10</f>
        <v/>
      </c>
      <c r="Z9" s="472" t="n">
        <v>7</v>
      </c>
      <c r="AA9" s="472" t="n">
        <v>0</v>
      </c>
      <c r="AB9" s="472" t="inlineStr">
        <is>
          <t>SD</t>
        </is>
      </c>
      <c r="AC9" s="472" t="n">
        <v>7</v>
      </c>
      <c r="AD9" s="472">
        <f>SUM(Z10*30)</f>
        <v/>
      </c>
      <c r="AE9" s="472" t="n"/>
      <c r="AF9" s="472" t="n"/>
      <c r="AG9" s="472" t="n"/>
      <c r="AH9" s="472" t="n"/>
      <c r="AI9" s="472" t="n"/>
      <c r="AJ9" s="472" t="n"/>
    </row>
    <row r="10">
      <c r="A10" s="472" t="n"/>
      <c r="B10" s="471">
        <f>Dienstplan!B14</f>
        <v/>
      </c>
      <c r="C10" s="472">
        <f t="array" ref="C10">SUMPRODUCT((ISNUMBER(SEARCH($Y9,Dienstplan!$B$8:$B$19))*(ISNUMBER(SEARCH($AB$3,Dienstplan!$C$8:$AG$19)))))-D10</f>
        <v/>
      </c>
      <c r="D10" s="472">
        <f t="array" ref="D10">SUMPRODUCT((ISNUMBER(SEARCH($Y9,Dienstplan!$B$8:$B$19))*(ISNUMBER(SEARCH($AB$4,Dienstplan!$C$8:$AG$19)))))</f>
        <v/>
      </c>
      <c r="E10" s="472">
        <f t="array" ref="E10">SUMPRODUCT((ISNUMBER(SEARCH($Y9,Dienstplan!$B$8:$B$19))*(ISNUMBER(SEARCH($AB$5,Dienstplan!$C$8:$AG$19)))))</f>
        <v/>
      </c>
      <c r="F10" s="472">
        <f t="array" ref="F10">SUMPRODUCT((ISNUMBER(SEARCH($Y9,Dienstplan!$B$8:$B$19))*(ISNUMBER(SEARCH($AB$6,Dienstplan!$C$8:$AG$19)))))</f>
        <v/>
      </c>
      <c r="G10" s="472">
        <f t="array" ref="G10">SUMPRODUCT((ISNUMBER(SEARCH($Y9,Dienstplan!$B$8:$B$19))*(ISNUMBER(SEARCH(AB$7,Dienstplan!$C$8:$AG$19)))))-H10</f>
        <v/>
      </c>
      <c r="H10" s="472">
        <f t="array" ref="H10">SUMPRODUCT((ISNUMBER(SEARCH($Y9,Dienstplan!$B$8:$B$19))*(ISNUMBER(SEARCH(AB$8,Dienstplan!$C$8:$AG$19)))))</f>
        <v/>
      </c>
      <c r="I10" s="472">
        <f t="array" ref="I10">SUMPRODUCT((ISNUMBER(SEARCH($Y9,Dienstplan!$B$8:$B$19))*(ISNUMBER(SEARCH($AB$9,Dienstplan!$C$8:$AG$19)))))</f>
        <v/>
      </c>
      <c r="J10" s="472">
        <f t="array" ref="J10">SUMPRODUCT((ISNUMBER(SEARCH($Y9,Dienstplan!$B$8:$B$19))*(ISNUMBER(SEARCH($AB$10,Dienstplan!$C$8:$AG$19)))))</f>
        <v/>
      </c>
      <c r="K10" s="472">
        <f t="array" ref="K10">SUMPRODUCT((ISNUMBER(SEARCH($Y9,Dienstplan!$B$8:$B$19))*(ISNUMBER(SEARCH($AB$11,Dienstplan!$C$8:$AG$19)))))-$Q10</f>
        <v/>
      </c>
      <c r="L10" s="472">
        <f t="array" ref="L10">SUMPRODUCT((ISNUMBER(SEARCH($Y9,Dienstplan!$B$8:$B$19))*(ISNUMBER(SEARCH($AB$12,Dienstplan!$C$8:$AG$19)))))</f>
        <v/>
      </c>
      <c r="M10" s="472">
        <f t="array" ref="M10">SUMPRODUCT((ISNUMBER(SEARCH($Y9,Dienstplan!$B$8:$B$19))*(ISNUMBER(SEARCH($AB$13,Dienstplan!$C$8:$AG$19)))))</f>
        <v/>
      </c>
      <c r="N10" s="472">
        <f t="array" ref="N10">SUMPRODUCT((ISNUMBER(SEARCH($Y9,Dienstplan!$B$8:$B$19))*(ISNUMBER(SEARCH($AB$14,Dienstplan!$C$8:$AG$19)))))</f>
        <v/>
      </c>
      <c r="O10" s="472">
        <f t="array" ref="O10">SUMPRODUCT((ISNUMBER(SEARCH($Y9,Dienstplan!$B$8:$B$19))*(ISNUMBER(SEARCH($AB$15,Dienstplan!$C$8:$AG$19)))))</f>
        <v/>
      </c>
      <c r="P10" s="472">
        <f t="array" ref="P10">SUMPRODUCT((ISNUMBER(SEARCH($Y9,Dienstplan!$B$8:$B$19))*(ISNUMBER(SEARCH($AB$16,Dienstplan!$C$8:$AG$19)))))</f>
        <v/>
      </c>
      <c r="Q10" s="472">
        <f t="array" ref="Q10">SUMPRODUCT((ISNUMBER(SEARCH($Y9,Dienstplan!$B$8:$B$19))*(ISNUMBER(SEARCH($AB$17,Dienstplan!$C$8:$AG$19)))))</f>
        <v/>
      </c>
      <c r="R10" s="472">
        <f t="array" ref="R10">SUMPRODUCT((ISNUMBER(SEARCH($Y9,Dienstplan!$B$8:$B$19))*(ISNUMBER(SEARCH($AB$18,Dienstplan!$C$8:$AG$19)))))</f>
        <v/>
      </c>
      <c r="S10" s="472">
        <f t="array" ref="S10">SUMPRODUCT((ISNUMBER(SEARCH($Y9,Dienstplan!$B$8:$B$19))*(ISNUMBER(SEARCH($AB$19,Dienstplan!$C$8:$AG$19)))))</f>
        <v/>
      </c>
      <c r="T10" s="472">
        <f>SUM($F$2*$Z10)</f>
        <v/>
      </c>
      <c r="U10" s="472">
        <f>SUM($C10*Frueh_1+$D10*Spaet_1+$E10*Nacht_1+$F10*Normal_1+$I10*Sonderd_1-$J10*Wuert_A+$K10*Wuert_A+$L10*EH_Kurs+$M10*Koor_taet+$N10*Sekre_1+$O10*Wuert_A+$R10*Wuert_A+$P10*Wuert_A+$Q10*Wuert_A+G10*Unt_I+H10*Unt_II)</f>
        <v/>
      </c>
      <c r="V10" s="472">
        <f>SUM($U10-$T10)</f>
        <v/>
      </c>
      <c r="W10" s="472">
        <f>V10+AA9</f>
        <v/>
      </c>
      <c r="X10" s="472" t="n"/>
      <c r="Y10" s="472">
        <f>B11</f>
        <v/>
      </c>
      <c r="Z10" s="472" t="n">
        <v>3.2</v>
      </c>
      <c r="AA10" s="472" t="n">
        <v>0</v>
      </c>
      <c r="AB10" s="472" t="inlineStr">
        <is>
          <t>GT</t>
        </is>
      </c>
      <c r="AC10" s="472" t="inlineStr">
        <is>
          <t>IRTAZ</t>
        </is>
      </c>
      <c r="AD10" s="472">
        <f>SUM(Z11*30)</f>
        <v/>
      </c>
      <c r="AE10" s="472" t="n"/>
      <c r="AF10" s="472" t="n"/>
      <c r="AG10" s="472" t="n"/>
      <c r="AH10" s="472" t="n"/>
      <c r="AI10" s="472" t="n"/>
      <c r="AJ10" s="472" t="n"/>
    </row>
    <row r="11">
      <c r="A11" s="472" t="n"/>
      <c r="B11" s="471">
        <f>Dienstplan!B15</f>
        <v/>
      </c>
      <c r="C11" s="472">
        <f>SUMPRODUCT((ISNUMBER(SEARCH($Y10,Dienstplan!$B$8:$B$19))*(ISNUMBER(SEARCH($AB$3,Dienstplan!$C$8:$AG$19)))))-D11</f>
        <v/>
      </c>
      <c r="D11" s="472">
        <f>SUMPRODUCT((ISNUMBER(SEARCH($Y10,Dienstplan!$B$8:$B$19))*(ISNUMBER(SEARCH($AB$4,Dienstplan!$C$8:$AG$19)))))</f>
        <v/>
      </c>
      <c r="E11" s="472">
        <f>SUMPRODUCT((ISNUMBER(SEARCH($Y10,Dienstplan!$B$8:$B$19))*(ISNUMBER(SEARCH($AB$5,Dienstplan!$C$8:$AG$19)))))</f>
        <v/>
      </c>
      <c r="F11" s="472">
        <f>SUMPRODUCT((ISNUMBER(SEARCH($Y10,Dienstplan!$B$8:$B$19))*(ISNUMBER(SEARCH($AB$6,Dienstplan!$C$8:$AG$19)))))</f>
        <v/>
      </c>
      <c r="G11" s="472">
        <f>SUMPRODUCT((ISNUMBER(SEARCH($Y10,Dienstplan!$B$8:$B$19))*(ISNUMBER(SEARCH(AB$7,Dienstplan!$C$8:$AG$19)))))-H11</f>
        <v/>
      </c>
      <c r="H11" s="472">
        <f>SUMPRODUCT((ISNUMBER(SEARCH($Y10,Dienstplan!$B$8:$B$19))*(ISNUMBER(SEARCH(AB$8,Dienstplan!$C$8:$AG$19)))))</f>
        <v/>
      </c>
      <c r="I11" s="472">
        <f>SUMPRODUCT((ISNUMBER(SEARCH($Y10,Dienstplan!$B$8:$B$19))*(ISNUMBER(SEARCH($AB$9,Dienstplan!$C$8:$AG$19)))))</f>
        <v/>
      </c>
      <c r="J11" s="472">
        <f>SUMPRODUCT((ISNUMBER(SEARCH($Y10,Dienstplan!$B$8:$B$19))*(ISNUMBER(SEARCH($AB$10,Dienstplan!$C$8:$AG$19)))))</f>
        <v/>
      </c>
      <c r="K11" s="472">
        <f>SUMPRODUCT((ISNUMBER(SEARCH($Y10,Dienstplan!$B$8:$B$19))*(ISNUMBER(SEARCH($AB$11,Dienstplan!$C$8:$AG$19)))))-$Q11</f>
        <v/>
      </c>
      <c r="L11" s="472">
        <f>SUMPRODUCT((ISNUMBER(SEARCH($Y10,Dienstplan!$B$8:$B$19))*(ISNUMBER(SEARCH($AB$12,Dienstplan!$C$8:$AG$19)))))</f>
        <v/>
      </c>
      <c r="M11" s="472">
        <f>SUMPRODUCT((ISNUMBER(SEARCH($Y10,Dienstplan!$B$8:$B$19))*(ISNUMBER(SEARCH($AB$13,Dienstplan!$C$8:$AG$19)))))</f>
        <v/>
      </c>
      <c r="N11" s="472">
        <f>SUMPRODUCT((ISNUMBER(SEARCH($Y10,Dienstplan!$B$8:$B$19))*(ISNUMBER(SEARCH($AB$14,Dienstplan!$C$8:$AG$19)))))</f>
        <v/>
      </c>
      <c r="O11" s="472">
        <f>SUMPRODUCT((ISNUMBER(SEARCH($Y10,Dienstplan!$B$8:$B$19))*(ISNUMBER(SEARCH($AB$15,Dienstplan!$C$8:$AG$19)))))</f>
        <v/>
      </c>
      <c r="P11" s="472">
        <f>SUMPRODUCT((ISNUMBER(SEARCH($Y10,Dienstplan!$B$8:$B$19))*(ISNUMBER(SEARCH($AB$16,Dienstplan!$C$8:$AG$19)))))</f>
        <v/>
      </c>
      <c r="Q11" s="472">
        <f>SUMPRODUCT((ISNUMBER(SEARCH($Y10,Dienstplan!$B$8:$B$19))*(ISNUMBER(SEARCH($AB$17,Dienstplan!$C$8:$AG$19)))))</f>
        <v/>
      </c>
      <c r="R11" s="472">
        <f>SUMPRODUCT((ISNUMBER(SEARCH($Y10,Dienstplan!$B$8:$B$19))*(ISNUMBER(SEARCH($AB$18,Dienstplan!$C$8:$AG$19)))))</f>
        <v/>
      </c>
      <c r="S11" s="472">
        <f>SUMPRODUCT((ISNUMBER(SEARCH($Y10,Dienstplan!$B$8:$B$19))*(ISNUMBER(SEARCH($AB$19,Dienstplan!$C$8:$AG$19)))))</f>
        <v/>
      </c>
      <c r="T11" s="472">
        <f>SUM($F$2*$Z10)</f>
        <v/>
      </c>
      <c r="U11" s="472">
        <f>SUM($C11*Frueh_1+$D11*Spaet_1+$E11*Nacht_1+$F11*Normal_1+$I11*Sonderd_1-$J11*Krem_E+$K11*Krem_E+$L11*EH_Kurs+$M11*Koor_taet+$N11*Sekre_1+$O11*Krem_E+$R11*Krem_E+$P11*Krem_E+$Q11*Krem_E+G11*Unt_I+H11*Unt_II)</f>
        <v/>
      </c>
      <c r="V11" s="472">
        <f>SUM($U11-$T11)</f>
        <v/>
      </c>
      <c r="W11" s="472">
        <f>V11+AA9</f>
        <v/>
      </c>
      <c r="X11" s="472" t="n"/>
      <c r="Y11" s="472">
        <f>B12</f>
        <v/>
      </c>
      <c r="Z11" s="472" t="n">
        <v>8</v>
      </c>
      <c r="AA11" s="472" t="n">
        <v>0</v>
      </c>
      <c r="AB11" s="472" t="inlineStr">
        <is>
          <t>U</t>
        </is>
      </c>
      <c r="AC11" s="472" t="inlineStr">
        <is>
          <t>IRTAZ</t>
        </is>
      </c>
      <c r="AD11" s="472">
        <f>SUM(Z12*30)</f>
        <v/>
      </c>
      <c r="AE11" s="472" t="n"/>
      <c r="AF11" s="472" t="n"/>
      <c r="AG11" s="472" t="n"/>
      <c r="AH11" s="472" t="n"/>
      <c r="AI11" s="472" t="n"/>
      <c r="AJ11" s="472" t="n"/>
    </row>
    <row r="12">
      <c r="A12" s="472" t="n"/>
      <c r="B12" s="471">
        <f>Dienstplan!B16</f>
        <v/>
      </c>
      <c r="C12" s="472">
        <f>SUMPRODUCT((ISNUMBER(SEARCH($Y11,Dienstplan!$B$8:$B$19))*(ISNUMBER(SEARCH($AB$3,Dienstplan!$C$8:$AG$19)))))-D12</f>
        <v/>
      </c>
      <c r="D12" s="472">
        <f>SUMPRODUCT((ISNUMBER(SEARCH($Y11,Dienstplan!$B$8:$B$19))*(ISNUMBER(SEARCH($AB$4,Dienstplan!$C$8:$AG$19)))))</f>
        <v/>
      </c>
      <c r="E12" s="472">
        <f>SUMPRODUCT((ISNUMBER(SEARCH($Y11,Dienstplan!$B$8:$B$19))*(ISNUMBER(SEARCH($AB$5,Dienstplan!$C$8:$AG$19)))))</f>
        <v/>
      </c>
      <c r="F12" s="472">
        <f>SUMPRODUCT((ISNUMBER(SEARCH($Y11,Dienstplan!$B$8:$B$19))*(ISNUMBER(SEARCH($AB$6,Dienstplan!$C$8:$AG$19)))))</f>
        <v/>
      </c>
      <c r="G12" s="472">
        <f>SUMPRODUCT((ISNUMBER(SEARCH($Y11,Dienstplan!$B$8:$B$19))*(ISNUMBER(SEARCH(AB$7,Dienstplan!$C$8:$AG$19)))))-H12</f>
        <v/>
      </c>
      <c r="H12" s="472">
        <f>SUMPRODUCT((ISNUMBER(SEARCH($Y11,Dienstplan!$B$8:$B$19))*(ISNUMBER(SEARCH(AB$8,Dienstplan!$C$8:$AG$19)))))</f>
        <v/>
      </c>
      <c r="I12" s="472">
        <f>SUMPRODUCT((ISNUMBER(SEARCH($Y11,Dienstplan!$B$8:$B$19))*(ISNUMBER(SEARCH($AB$9,Dienstplan!$C$8:$AG$19)))))</f>
        <v/>
      </c>
      <c r="J12" s="472">
        <f>SUMPRODUCT((ISNUMBER(SEARCH($Y11,Dienstplan!$B$8:$B$19))*(ISNUMBER(SEARCH($AB$10,Dienstplan!$C$8:$AG$19)))))</f>
        <v/>
      </c>
      <c r="K12" s="472">
        <f>SUMPRODUCT((ISNUMBER(SEARCH($Y11,Dienstplan!$B$8:$B$19))*(ISNUMBER(SEARCH($AB$11,Dienstplan!$C$8:$AG$19)))))-$Q12</f>
        <v/>
      </c>
      <c r="L12" s="472">
        <f>SUMPRODUCT((ISNUMBER(SEARCH($Y11,Dienstplan!$B$8:$B$19))*(ISNUMBER(SEARCH($AB$12,Dienstplan!$C$8:$AG$19)))))</f>
        <v/>
      </c>
      <c r="M12" s="472">
        <f>SUMPRODUCT((ISNUMBER(SEARCH($Y11,Dienstplan!$B$8:$B$19))*(ISNUMBER(SEARCH($AB$13,Dienstplan!$C$8:$AG$19)))))</f>
        <v/>
      </c>
      <c r="N12" s="472">
        <f>SUMPRODUCT((ISNUMBER(SEARCH($Y11,Dienstplan!$B$8:$B$19))*(ISNUMBER(SEARCH($AB$14,Dienstplan!$C$8:$AG$19)))))</f>
        <v/>
      </c>
      <c r="O12" s="472">
        <f>SUMPRODUCT((ISNUMBER(SEARCH($Y11,Dienstplan!$B$8:$B$19))*(ISNUMBER(SEARCH($AB$15,Dienstplan!$C$8:$AG$19)))))</f>
        <v/>
      </c>
      <c r="P12" s="472">
        <f>SUMPRODUCT((ISNUMBER(SEARCH($Y11,Dienstplan!$B$8:$B$19))*(ISNUMBER(SEARCH($AB$16,Dienstplan!$C$8:$AG$19)))))</f>
        <v/>
      </c>
      <c r="Q12" s="472">
        <f>SUMPRODUCT((ISNUMBER(SEARCH($Y11,Dienstplan!$B$8:$B$19))*(ISNUMBER(SEARCH($AB$17,Dienstplan!$C$8:$AG$19)))))</f>
        <v/>
      </c>
      <c r="R12" s="472">
        <f>SUMPRODUCT((ISNUMBER(SEARCH($Y11,Dienstplan!$B$8:$B$19))*(ISNUMBER(SEARCH($AB$18,Dienstplan!$C$8:$AG$19)))))</f>
        <v/>
      </c>
      <c r="S12" s="472">
        <f>SUMPRODUCT((ISNUMBER(SEARCH($Y11,Dienstplan!$B$8:$B$19))*(ISNUMBER(SEARCH($AB$19,Dienstplan!$C$8:$AG$19)))))</f>
        <v/>
      </c>
      <c r="T12" s="472">
        <f>SUM($F$2*$Z11)</f>
        <v/>
      </c>
      <c r="U12" s="472">
        <f>SUM($C12*Frueh_1+$D12*Spaet_1+$E12*Nacht_1+$F12*Normal_1+$I12*Sonderd_1-$J12*Put_W+$K12*Put_W+$L12*EH_Kurs+$M12*Koor_taet+$N12*Sekre_1+$O12*Put_W+$R12*Put_W+$P12*Put_W+$Q12*Put_W+G12*Unt_I+H12*Unt_II)</f>
        <v/>
      </c>
      <c r="V12" s="472">
        <f>SUM($U12-$T12)</f>
        <v/>
      </c>
      <c r="W12" s="472">
        <f>V12+AA10</f>
        <v/>
      </c>
      <c r="X12" s="472" t="n"/>
      <c r="Y12" s="472">
        <f>B13</f>
        <v/>
      </c>
      <c r="Z12" s="472" t="n">
        <v>7</v>
      </c>
      <c r="AA12" s="472" t="n">
        <v>0</v>
      </c>
      <c r="AB12" s="472" t="inlineStr">
        <is>
          <t>EH</t>
        </is>
      </c>
      <c r="AC12" s="472" t="n">
        <v>8</v>
      </c>
      <c r="AD12" s="472">
        <f>SUM(Z13*30)</f>
        <v/>
      </c>
      <c r="AE12" s="472" t="n"/>
      <c r="AF12" s="472" t="n"/>
      <c r="AG12" s="472" t="n"/>
      <c r="AH12" s="472" t="n"/>
      <c r="AI12" s="472" t="n"/>
      <c r="AJ12" s="472" t="n"/>
    </row>
    <row r="13">
      <c r="A13" s="472" t="n"/>
      <c r="B13" s="471">
        <f>Dienstplan!B18</f>
        <v/>
      </c>
      <c r="C13" s="472">
        <f>SUMPRODUCT((ISNUMBER(SEARCH($Y12,Dienstplan!$B$8:$B$19))*(ISNUMBER(SEARCH($AB$3,Dienstplan!$C$8:$AG$19)))))-D13</f>
        <v/>
      </c>
      <c r="D13" s="472">
        <f>SUMPRODUCT((ISNUMBER(SEARCH($Y12,Dienstplan!$B$8:$B$19))*(ISNUMBER(SEARCH($AB$4,Dienstplan!$C$8:$AG$19)))))</f>
        <v/>
      </c>
      <c r="E13" s="472">
        <f>SUMPRODUCT((ISNUMBER(SEARCH($Y12,Dienstplan!$B$8:$B$19))*(ISNUMBER(SEARCH($AB$5,Dienstplan!$C$8:$AG$19)))))</f>
        <v/>
      </c>
      <c r="F13" s="472">
        <f>SUMPRODUCT((ISNUMBER(SEARCH($Y12,Dienstplan!$B$8:$B$19))*(ISNUMBER(SEARCH($AB$6,Dienstplan!$C$8:$AG$19)))))</f>
        <v/>
      </c>
      <c r="G13" s="472">
        <f>SUMPRODUCT((ISNUMBER(SEARCH($Y12,Dienstplan!$B$8:$B$19))*(ISNUMBER(SEARCH(AB$7,Dienstplan!$C$8:$AG$19)))))-H13</f>
        <v/>
      </c>
      <c r="H13" s="472">
        <f>SUMPRODUCT((ISNUMBER(SEARCH($Y12,Dienstplan!$B$8:$B$19))*(ISNUMBER(SEARCH(AB$8,Dienstplan!$C$8:$AG$19)))))</f>
        <v/>
      </c>
      <c r="I13" s="472">
        <f>SUMPRODUCT((ISNUMBER(SEARCH($Y12,Dienstplan!$B$8:$B$19))*(ISNUMBER(SEARCH($AB$9,Dienstplan!$C$8:$AG$19)))))</f>
        <v/>
      </c>
      <c r="J13" s="472">
        <f>SUMPRODUCT((ISNUMBER(SEARCH($Y12,Dienstplan!$B$8:$B$19))*(ISNUMBER(SEARCH($AB$10,Dienstplan!$C$8:$AG$19)))))</f>
        <v/>
      </c>
      <c r="K13" s="472">
        <f>SUMPRODUCT((ISNUMBER(SEARCH($Y12,Dienstplan!$B$8:$B$19))*(ISNUMBER(SEARCH($AB$11,Dienstplan!$C$8:$AG$19)))))-$Q13</f>
        <v/>
      </c>
      <c r="L13" s="472">
        <f>SUMPRODUCT((ISNUMBER(SEARCH($Y12,Dienstplan!$B$8:$B$19))*(ISNUMBER(SEARCH($AB$12,Dienstplan!$C$8:$AG$19)))))</f>
        <v/>
      </c>
      <c r="M13" s="472">
        <f>SUMPRODUCT((ISNUMBER(SEARCH($Y12,Dienstplan!$B$8:$B$19))*(ISNUMBER(SEARCH($AB$13,Dienstplan!$C$8:$AG$19)))))</f>
        <v/>
      </c>
      <c r="N13" s="472">
        <f>SUMPRODUCT((ISNUMBER(SEARCH($Y12,Dienstplan!$B$8:$B$19))*(ISNUMBER(SEARCH($AB$14,Dienstplan!$C$8:$AG$19)))))</f>
        <v/>
      </c>
      <c r="O13" s="472">
        <f>SUMPRODUCT((ISNUMBER(SEARCH($Y12,Dienstplan!$B$8:$B$19))*(ISNUMBER(SEARCH($AB$15,Dienstplan!$C$8:$AG$19)))))</f>
        <v/>
      </c>
      <c r="P13" s="472">
        <f>SUMPRODUCT((ISNUMBER(SEARCH($Y12,Dienstplan!$B$8:$B$19))*(ISNUMBER(SEARCH($AB$16,Dienstplan!$C$8:$AG$19)))))</f>
        <v/>
      </c>
      <c r="Q13" s="472">
        <f>SUMPRODUCT((ISNUMBER(SEARCH($Y12,Dienstplan!$B$8:$B$19))*(ISNUMBER(SEARCH($AB$17,Dienstplan!$C$8:$AG$19)))))</f>
        <v/>
      </c>
      <c r="R13" s="472">
        <f>SUMPRODUCT((ISNUMBER(SEARCH($Y12,Dienstplan!$B$8:$B$19))*(ISNUMBER(SEARCH($AB$18,Dienstplan!$C$8:$AG$19)))))</f>
        <v/>
      </c>
      <c r="S13" s="472">
        <f>SUMPRODUCT((ISNUMBER(SEARCH($Y12,Dienstplan!$B$8:$B$19))*(ISNUMBER(SEARCH($AB$19,Dienstplan!$C$8:$AG$19)))))</f>
        <v/>
      </c>
      <c r="T13" s="472">
        <f>SUM($F$2*$Z12)</f>
        <v/>
      </c>
      <c r="U13" s="472">
        <f>SUM($C13*Frueh_1+$D13*Spaet_1+$E13*Nacht_1+$F13*Normal_1+$I13*Sonderd_1-$J13*Radi_L+$K13*Radi_L+$L13*EH_Kurs+$M13*Koor_taet+$N13*Sekre_1+$O13*Radi_L+$R13*Radi_L+$P13*Radi_L+$Q13*Radi_L+G13*Unt_I+H13*Unt_II)</f>
        <v/>
      </c>
      <c r="V13" s="472">
        <f>SUM($U13-$T13)</f>
        <v/>
      </c>
      <c r="W13" s="472">
        <f>V13+AA11</f>
        <v/>
      </c>
      <c r="X13" s="472" t="n"/>
      <c r="Y13" s="482">
        <f>B14</f>
        <v/>
      </c>
      <c r="Z13" s="482" t="n">
        <v>3</v>
      </c>
      <c r="AA13" s="472" t="n">
        <v>0</v>
      </c>
      <c r="AB13" s="472" t="inlineStr">
        <is>
          <t>KT</t>
        </is>
      </c>
      <c r="AC13" s="472" t="n">
        <v>8</v>
      </c>
      <c r="AD13" s="472">
        <f>SUM(Z14*30)</f>
        <v/>
      </c>
      <c r="AE13" s="472" t="n"/>
      <c r="AF13" s="472" t="n"/>
      <c r="AG13" s="472" t="n"/>
      <c r="AH13" s="472" t="n"/>
      <c r="AI13" s="472" t="n"/>
      <c r="AJ13" s="472" t="n"/>
    </row>
    <row r="14">
      <c r="A14" s="472" t="n"/>
      <c r="B14" s="471">
        <f>Dienstplan!B19</f>
        <v/>
      </c>
      <c r="C14" s="472">
        <f>SUMPRODUCT((ISNUMBER(SEARCH($Y13,Dienstplan!$B$8:$B$19))*(ISNUMBER(SEARCH($AB$3,Dienstplan!$C$8:$AG$19)))))-D14</f>
        <v/>
      </c>
      <c r="D14" s="472">
        <f>SUMPRODUCT((ISNUMBER(SEARCH($Y13,Dienstplan!$B$8:$B$19))*(ISNUMBER(SEARCH($AB$4,Dienstplan!$C$8:$AG$19)))))</f>
        <v/>
      </c>
      <c r="E14" s="472">
        <f>SUMPRODUCT((ISNUMBER(SEARCH($Y13,Dienstplan!$B$8:$B$19))*(ISNUMBER(SEARCH($AB$5,Dienstplan!$C$8:$AG$19)))))</f>
        <v/>
      </c>
      <c r="F14" s="472">
        <f>SUMPRODUCT((ISNUMBER(SEARCH($Y13,Dienstplan!$B$8:$B$19))*(ISNUMBER(SEARCH($AB$6,Dienstplan!$C$8:$AG$19)))))</f>
        <v/>
      </c>
      <c r="G14" s="472">
        <f>SUMPRODUCT((ISNUMBER(SEARCH($Y13,Dienstplan!$B$8:$B$19))*(ISNUMBER(SEARCH(AB$7,Dienstplan!$C$8:$AG$19)))))-H14</f>
        <v/>
      </c>
      <c r="H14" s="472">
        <f>SUMPRODUCT((ISNUMBER(SEARCH($Y13,Dienstplan!$B$8:$B$19))*(ISNUMBER(SEARCH(AB$8,Dienstplan!$C$8:$AG$19)))))</f>
        <v/>
      </c>
      <c r="I14" s="472">
        <f>SUMPRODUCT((ISNUMBER(SEARCH($Y13,Dienstplan!$B$8:$B$19))*(ISNUMBER(SEARCH($AB$9,Dienstplan!$C$8:$AG$19)))))</f>
        <v/>
      </c>
      <c r="J14" s="472">
        <f>SUMPRODUCT((ISNUMBER(SEARCH($Y13,Dienstplan!$B$8:$B$19))*(ISNUMBER(SEARCH($AB$10,Dienstplan!$C$8:$AG$19)))))</f>
        <v/>
      </c>
      <c r="K14" s="472">
        <f>SUMPRODUCT((ISNUMBER(SEARCH($Y13,Dienstplan!$B$8:$B$19))*(ISNUMBER(SEARCH($AB$11,Dienstplan!$C$8:$AG$19)))))-$Q14</f>
        <v/>
      </c>
      <c r="L14" s="472">
        <f>SUMPRODUCT((ISNUMBER(SEARCH($Y13,Dienstplan!$B$8:$B$19))*(ISNUMBER(SEARCH($AB$12,Dienstplan!$C$8:$AG$19)))))</f>
        <v/>
      </c>
      <c r="M14" s="472">
        <f>SUMPRODUCT((ISNUMBER(SEARCH($Y13,Dienstplan!$B$8:$B$19))*(ISNUMBER(SEARCH($AB$13,Dienstplan!$C$8:$AG$19)))))</f>
        <v/>
      </c>
      <c r="N14" s="472">
        <f>SUMPRODUCT((ISNUMBER(SEARCH($Y13,Dienstplan!$B$8:$B$19))*(ISNUMBER(SEARCH($AB$14,Dienstplan!$C$8:$AG$19)))))</f>
        <v/>
      </c>
      <c r="O14" s="472">
        <f>SUMPRODUCT((ISNUMBER(SEARCH($Y13,Dienstplan!$B$8:$B$19))*(ISNUMBER(SEARCH($AB$15,Dienstplan!$C$8:$AG$19)))))</f>
        <v/>
      </c>
      <c r="P14" s="472">
        <f>SUMPRODUCT((ISNUMBER(SEARCH($Y13,Dienstplan!$B$8:$B$19))*(ISNUMBER(SEARCH($AB$16,Dienstplan!$C$8:$AG$19)))))</f>
        <v/>
      </c>
      <c r="Q14" s="472">
        <f>SUMPRODUCT((ISNUMBER(SEARCH($Y13,Dienstplan!$B$8:$B$19))*(ISNUMBER(SEARCH($AB$17,Dienstplan!$C$8:$AG$19)))))</f>
        <v/>
      </c>
      <c r="R14" s="472">
        <f>SUMPRODUCT((ISNUMBER(SEARCH($Y13,Dienstplan!$B$8:$B$19))*(ISNUMBER(SEARCH($AB$18,Dienstplan!$C$8:$AG$19)))))</f>
        <v/>
      </c>
      <c r="S14" s="472">
        <f>SUMPRODUCT((ISNUMBER(SEARCH($Y13,Dienstplan!$B$8:$B$19))*(ISNUMBER(SEARCH($AB$19,Dienstplan!$C$8:$AG$19)))))</f>
        <v/>
      </c>
      <c r="T14" s="472">
        <f>SUM($F$2*$Z13)</f>
        <v/>
      </c>
      <c r="U14" s="472">
        <f>SUM($C14*Frueh_1+$D14*Spaet_1+$E14*Nacht_1+$F14*Normal_1+$I14*Sonderd_1-$J14*Fortenb+$K14*Fortenb+$L14*EH_Kurs+$M14*Koor_taet+$N14*Sekre_1+$O14*Fortenb+$R14*Fortenb+$P14*Fortenb+$Q14*Fortenb+G14*Unt_I+H14*Unt_II)</f>
        <v/>
      </c>
      <c r="V14" s="472">
        <f>SUM($U14-$T14)</f>
        <v/>
      </c>
      <c r="W14" s="472">
        <f>V14+AA12</f>
        <v/>
      </c>
      <c r="X14" s="472" t="n"/>
      <c r="Y14" s="482" t="n"/>
      <c r="Z14" s="482" t="n"/>
      <c r="AA14" s="482" t="n"/>
      <c r="AB14" s="472" t="inlineStr">
        <is>
          <t>Sek</t>
        </is>
      </c>
      <c r="AC14" s="472" t="n">
        <v>7</v>
      </c>
      <c r="AD14" s="472">
        <f>SUM(Z14*30)</f>
        <v/>
      </c>
      <c r="AE14" s="472" t="n"/>
      <c r="AF14" s="472" t="n"/>
      <c r="AG14" s="472" t="n"/>
      <c r="AH14" s="472" t="n"/>
      <c r="AI14" s="472" t="n"/>
      <c r="AJ14" s="472" t="n"/>
    </row>
    <row r="15">
      <c r="A15" s="472" t="n"/>
      <c r="B15" s="471" t="n"/>
      <c r="C15" s="472" t="n"/>
      <c r="D15" s="472" t="n"/>
      <c r="E15" s="472" t="n"/>
      <c r="F15" s="472" t="n"/>
      <c r="G15" s="472" t="n"/>
      <c r="H15" s="472" t="n"/>
      <c r="I15" s="472" t="n"/>
      <c r="J15" s="472" t="n"/>
      <c r="K15" s="472" t="n"/>
      <c r="L15" s="472" t="n"/>
      <c r="M15" s="472" t="n"/>
      <c r="N15" s="472" t="n"/>
      <c r="O15" s="472" t="n"/>
      <c r="P15" s="472" t="n"/>
      <c r="Q15" s="472" t="n"/>
      <c r="R15" s="472" t="n"/>
      <c r="S15" s="472" t="n"/>
      <c r="T15" s="472" t="n"/>
      <c r="U15" s="472">
        <f>SUM($C15*Frueh_1+$D15*Spaet_1+$E15*Nacht_1+$F15*Normal_1+$I15*Sonderd_1-$J15*Velten+$K15*Velten+$L15*EH_Kurs+$M15*Koor_taet+$N15*Sekre_1+$O15*Velten+$R15*Velten+$P15*Velten+$Q15*Velten+G15*Unt_I+H15*Unt_II)</f>
        <v/>
      </c>
      <c r="V15" s="472" t="n"/>
      <c r="W15" s="472" t="n"/>
      <c r="X15" s="472" t="n"/>
      <c r="Y15" s="482" t="n"/>
      <c r="Z15" s="482" t="n"/>
      <c r="AA15" s="482" t="n"/>
      <c r="AB15" s="472" t="inlineStr">
        <is>
          <t>Fobi</t>
        </is>
      </c>
      <c r="AC15" s="472" t="inlineStr">
        <is>
          <t>IRTAZ</t>
        </is>
      </c>
      <c r="AD15" s="472">
        <f>SUM(Z15*30)</f>
        <v/>
      </c>
      <c r="AE15" s="472" t="n"/>
      <c r="AF15" s="472" t="n"/>
      <c r="AG15" s="472" t="n"/>
      <c r="AH15" s="472" t="n"/>
      <c r="AI15" s="472" t="n"/>
      <c r="AJ15" s="472" t="n"/>
    </row>
    <row r="16" ht="13.8" customHeight="1" thickBot="1">
      <c r="A16" s="483" t="n"/>
      <c r="B16" s="483" t="inlineStr">
        <is>
          <t>Summe</t>
        </is>
      </c>
      <c r="C16" s="483">
        <f>SUM(C4:C15)</f>
        <v/>
      </c>
      <c r="D16" s="483">
        <f>SUM(D4:D15)</f>
        <v/>
      </c>
      <c r="E16" s="483">
        <f>SUM(E4:E15)</f>
        <v/>
      </c>
      <c r="F16" s="483">
        <f>SUM(F4:F15)</f>
        <v/>
      </c>
      <c r="G16" s="483">
        <f>SUM(G4:G15)</f>
        <v/>
      </c>
      <c r="H16" s="483">
        <f>SUM(H4:H15)</f>
        <v/>
      </c>
      <c r="I16" s="483">
        <f>SUM(I4:I15)</f>
        <v/>
      </c>
      <c r="J16" s="483">
        <f>SUM(J4:J15)</f>
        <v/>
      </c>
      <c r="K16" s="483">
        <f>SUM(K4:K15)</f>
        <v/>
      </c>
      <c r="L16" s="483">
        <f>SUM(L4:L15)</f>
        <v/>
      </c>
      <c r="M16" s="483">
        <f>SUM(M4:M15)</f>
        <v/>
      </c>
      <c r="N16" s="483">
        <f>SUM(N4:N15)</f>
        <v/>
      </c>
      <c r="O16" s="483">
        <f>SUM(O4:O15)</f>
        <v/>
      </c>
      <c r="P16" s="483">
        <f>SUM(P4:P15)</f>
        <v/>
      </c>
      <c r="Q16" s="483">
        <f>SUM(Q4:Q15)</f>
        <v/>
      </c>
      <c r="R16" s="483">
        <f>SUM(R4:R15)</f>
        <v/>
      </c>
      <c r="S16" s="483">
        <f>SUM(S4:S15)</f>
        <v/>
      </c>
      <c r="T16" s="483">
        <f>SUM(T4:T13)</f>
        <v/>
      </c>
      <c r="U16" s="483">
        <f>SUM(U4:U13)</f>
        <v/>
      </c>
      <c r="V16" s="483" t="n"/>
      <c r="W16" s="483" t="n"/>
      <c r="X16" s="483" t="n"/>
      <c r="Y16" s="484" t="n"/>
      <c r="Z16" s="484" t="n"/>
      <c r="AA16" s="484" t="n"/>
      <c r="AB16" s="485" t="inlineStr">
        <is>
          <t>A</t>
        </is>
      </c>
      <c r="AC16" s="485" t="inlineStr">
        <is>
          <t>IRTAZ</t>
        </is>
      </c>
      <c r="AD16" s="485">
        <f>SUM(AD3:AD10)</f>
        <v/>
      </c>
      <c r="AE16" s="483" t="n"/>
      <c r="AF16" s="483" t="n"/>
      <c r="AG16" s="483" t="n"/>
      <c r="AH16" s="483" t="n"/>
      <c r="AI16" s="483" t="n"/>
      <c r="AJ16" s="483" t="n"/>
    </row>
    <row r="17" ht="13.8" customHeight="1" thickTop="1">
      <c r="A17" s="11" t="n"/>
      <c r="B17" s="12" t="n"/>
      <c r="C17" s="1" t="n"/>
      <c r="D17" s="1" t="n"/>
      <c r="E17" s="1" t="n"/>
      <c r="F17" s="1" t="n"/>
      <c r="G17" s="1" t="n"/>
      <c r="H17" s="1" t="n"/>
      <c r="I17" s="1" t="n"/>
      <c r="J17" s="1" t="n"/>
      <c r="K17" s="1" t="n"/>
      <c r="L17" s="1" t="n"/>
      <c r="M17" s="1" t="n"/>
      <c r="N17" s="1" t="n"/>
      <c r="O17" s="1" t="n"/>
      <c r="P17" s="1" t="n"/>
      <c r="Q17" s="1" t="n"/>
      <c r="R17" s="1" t="n"/>
      <c r="S17" s="12" t="n"/>
      <c r="T17" s="1" t="n"/>
      <c r="U17" s="1" t="n"/>
      <c r="V17" s="12" t="n"/>
      <c r="W17" s="17" t="n"/>
      <c r="X17" s="22" t="n"/>
      <c r="Y17" s="482" t="n"/>
      <c r="Z17" s="482" t="n"/>
      <c r="AA17" s="482" t="n"/>
      <c r="AB17" s="472" t="inlineStr">
        <is>
          <t>Kur</t>
        </is>
      </c>
      <c r="AC17" s="472" t="inlineStr">
        <is>
          <t>IRTAZ</t>
        </is>
      </c>
      <c r="AD17" s="472" t="n"/>
      <c r="AF17" s="23" t="n"/>
      <c r="AG17" s="23" t="n"/>
      <c r="AH17" s="23" t="n"/>
      <c r="AI17" s="23" t="n"/>
    </row>
    <row r="18">
      <c r="A18" s="475" t="n"/>
      <c r="B18" s="476" t="inlineStr">
        <is>
          <t>Februar</t>
        </is>
      </c>
      <c r="C18" s="475" t="n"/>
      <c r="D18" s="477" t="inlineStr">
        <is>
          <t>Arbeitstage</t>
        </is>
      </c>
      <c r="E18" s="475" t="n"/>
      <c r="F18" s="478" t="n">
        <v>20</v>
      </c>
      <c r="G18" s="479" t="n"/>
      <c r="H18" s="479" t="n"/>
      <c r="I18" s="477" t="inlineStr">
        <is>
          <t>Samstage</t>
        </is>
      </c>
      <c r="J18" s="475" t="n"/>
      <c r="K18" s="478" t="n">
        <v>4</v>
      </c>
      <c r="L18" s="475" t="n"/>
      <c r="M18" s="475" t="n"/>
      <c r="N18" s="475" t="n"/>
      <c r="O18" s="475" t="n"/>
      <c r="P18" s="475" t="n"/>
      <c r="Q18" s="475" t="n"/>
      <c r="R18" s="475" t="n"/>
      <c r="S18" s="475" t="n"/>
      <c r="T18" s="475" t="n"/>
      <c r="U18" s="475" t="n"/>
      <c r="V18" s="475" t="n"/>
      <c r="W18" s="475" t="n"/>
      <c r="X18" s="475" t="n"/>
      <c r="Y18" s="482" t="n"/>
      <c r="Z18" s="482" t="n"/>
      <c r="AA18" s="482" t="n"/>
      <c r="AB18" s="472" t="inlineStr">
        <is>
          <t>FZC</t>
        </is>
      </c>
      <c r="AC18" s="472" t="inlineStr">
        <is>
          <t>IRTAZ</t>
        </is>
      </c>
      <c r="AD18" s="472" t="n"/>
      <c r="AE18" s="475" t="n"/>
      <c r="AF18" s="475" t="n"/>
      <c r="AG18" s="475" t="n"/>
      <c r="AH18" s="475" t="n"/>
      <c r="AI18" s="475" t="n"/>
      <c r="AJ18" s="475" t="n"/>
    </row>
    <row r="19" ht="13.8" customHeight="1" thickBot="1">
      <c r="A19" s="480" t="n"/>
      <c r="B19" s="480" t="n"/>
      <c r="C19" s="480">
        <f>Jahr!C3</f>
        <v/>
      </c>
      <c r="D19" s="480">
        <f>Jahr!D3</f>
        <v/>
      </c>
      <c r="E19" s="480">
        <f>Jahr!E3</f>
        <v/>
      </c>
      <c r="F19" s="480">
        <f>Jahr!F3</f>
        <v/>
      </c>
      <c r="G19" s="480">
        <f>Jahr!G3</f>
        <v/>
      </c>
      <c r="H19" s="480">
        <f>Jahr!H3</f>
        <v/>
      </c>
      <c r="I19" s="480">
        <f>Jahr!I3</f>
        <v/>
      </c>
      <c r="J19" s="480">
        <f>Jahr!J3</f>
        <v/>
      </c>
      <c r="K19" s="480">
        <f>Jahr!K3</f>
        <v/>
      </c>
      <c r="L19" s="480">
        <f>Jahr!L3</f>
        <v/>
      </c>
      <c r="M19" s="480">
        <f>Jahr!M3</f>
        <v/>
      </c>
      <c r="N19" s="480">
        <f>Jahr!N3</f>
        <v/>
      </c>
      <c r="O19" s="480">
        <f>Jahr!O3</f>
        <v/>
      </c>
      <c r="P19" s="480">
        <f>Jahr!P3</f>
        <v/>
      </c>
      <c r="Q19" s="480">
        <f>Jahr!Q3</f>
        <v/>
      </c>
      <c r="R19" s="480">
        <f>Jahr!R3</f>
        <v/>
      </c>
      <c r="S19" s="480">
        <f>Jahr!S3</f>
        <v/>
      </c>
      <c r="T19" s="480" t="inlineStr">
        <is>
          <t>Soll AZ</t>
        </is>
      </c>
      <c r="U19" s="480" t="inlineStr">
        <is>
          <t>Ist AZ</t>
        </is>
      </c>
      <c r="V19" s="480" t="inlineStr">
        <is>
          <t>Differenz</t>
        </is>
      </c>
      <c r="W19" s="480" t="inlineStr">
        <is>
          <t>Gesamt</t>
        </is>
      </c>
      <c r="X19" s="480" t="n"/>
      <c r="Y19" s="486" t="n"/>
      <c r="Z19" s="486" t="n"/>
      <c r="AA19" s="486" t="n"/>
      <c r="AB19" s="487" t="inlineStr">
        <is>
          <t>NST</t>
        </is>
      </c>
      <c r="AC19" s="487" t="inlineStr">
        <is>
          <t>IRTAZ</t>
        </is>
      </c>
      <c r="AD19" s="487" t="n"/>
      <c r="AE19" s="480" t="n"/>
      <c r="AF19" s="480" t="n"/>
      <c r="AG19" s="480" t="n"/>
      <c r="AH19" s="480" t="n"/>
      <c r="AI19" s="480" t="n"/>
      <c r="AJ19" s="480" t="n"/>
    </row>
    <row r="20" ht="14.4" customHeight="1" thickBot="1" thickTop="1">
      <c r="A20" s="472" t="n"/>
      <c r="B20" s="471">
        <f>B4</f>
        <v/>
      </c>
      <c r="C20" s="472">
        <f>SUMPRODUCT((ISNUMBER(SEARCH($Y3,Dienstplan!$B$8:$B$19))*(ISNUMBER(SEARCH($AB$3,Dienstplan!$AH$8:$BJ$19)))))-D20</f>
        <v/>
      </c>
      <c r="D20" s="472">
        <f>SUMPRODUCT((ISNUMBER(SEARCH($Y3,Dienstplan!$B$8:$B$19))*(ISNUMBER(SEARCH($AB$4,Dienstplan!$AH$8:$BJ$19)))))</f>
        <v/>
      </c>
      <c r="E20" s="472">
        <f>SUMPRODUCT((ISNUMBER(SEARCH($Y3,Dienstplan!$B$8:$B$19))*(ISNUMBER(SEARCH($AB$5,Dienstplan!$AH$8:$BJ$19)))))</f>
        <v/>
      </c>
      <c r="F20" s="472">
        <f>SUMPRODUCT((ISNUMBER(SEARCH($Y3,Dienstplan!$B$8:$B$19))*(ISNUMBER(SEARCH($AB$6,Dienstplan!$AH$8:$BJ$19)))))</f>
        <v/>
      </c>
      <c r="G20" s="472">
        <f>SUMPRODUCT((ISNUMBER(SEARCH($Y3,Dienstplan!$B$8:$B$19))*(ISNUMBER(SEARCH($AB$7,Dienstplan!$AH$8:$BJ$19)))))-H20</f>
        <v/>
      </c>
      <c r="H20" s="472">
        <f>SUMPRODUCT((ISNUMBER(SEARCH($Y3,Dienstplan!$B$8:$B$19))*(ISNUMBER(SEARCH($AB$8,Dienstplan!$AH$8:$BJ$19)))))</f>
        <v/>
      </c>
      <c r="I20" s="472">
        <f>SUMPRODUCT((ISNUMBER(SEARCH($Y3,Dienstplan!$B$8:$B$19))*(ISNUMBER(SEARCH($AB$9,Dienstplan!$AH$8:$BJ$19)))))</f>
        <v/>
      </c>
      <c r="J20" s="472">
        <f>SUMPRODUCT((ISNUMBER(SEARCH($Y3,Dienstplan!$B$8:$B$19))*(ISNUMBER(SEARCH($AB$10,Dienstplan!$AH$8:$BJ$19)))))</f>
        <v/>
      </c>
      <c r="K20" s="472">
        <f>SUMPRODUCT((ISNUMBER(SEARCH($Y3,Dienstplan!$B$8:$B$19))*(ISNUMBER(SEARCH($AB$11,Dienstplan!$AH$8:$BJ$19)))))-$Q20</f>
        <v/>
      </c>
      <c r="L20" s="472">
        <f>SUMPRODUCT((ISNUMBER(SEARCH($Y3,Dienstplan!$B$8:$B$19))*(ISNUMBER(SEARCH($AB$12,Dienstplan!$AH$8:$BJ$19)))))</f>
        <v/>
      </c>
      <c r="M20" s="472">
        <f>SUMPRODUCT((ISNUMBER(SEARCH($Y3,Dienstplan!$B$8:$B$19))*(ISNUMBER(SEARCH($AB$13,Dienstplan!$AH$8:$BJ$19)))))</f>
        <v/>
      </c>
      <c r="N20" s="472">
        <f>SUMPRODUCT((ISNUMBER(SEARCH($Y3,Dienstplan!$B$8:$B$19))*(ISNUMBER(SEARCH($AB$14,Dienstplan!$AH$8:$BJ$19)))))</f>
        <v/>
      </c>
      <c r="O20" s="472">
        <f>SUMPRODUCT((ISNUMBER(SEARCH($Y3,Dienstplan!$B$8:$B$19))*(ISNUMBER(SEARCH($AB$15,Dienstplan!$AH$8:$BJ$19)))))</f>
        <v/>
      </c>
      <c r="P20" s="472">
        <f>SUMPRODUCT((ISNUMBER(SEARCH($Y3,Dienstplan!$B$8:$B$19))*(ISNUMBER(SEARCH($AB$16,Dienstplan!$AH$8:$BJ$19)))))</f>
        <v/>
      </c>
      <c r="Q20" s="472">
        <f>SUMPRODUCT((ISNUMBER(SEARCH($Y3,Dienstplan!$B$8:$B$19))*(ISNUMBER(SEARCH($AB$17,Dienstplan!$AH$8:$BJ$19)))))</f>
        <v/>
      </c>
      <c r="R20" s="472">
        <f>SUMPRODUCT((ISNUMBER(SEARCH($Y3,Dienstplan!$B$8:$B$19))*(ISNUMBER(SEARCH($AB$18,Dienstplan!$AH$8:$BJ$19)))))</f>
        <v/>
      </c>
      <c r="S20" s="472">
        <f>SUMPRODUCT((ISNUMBER(SEARCH($Y3,Dienstplan!$B$8:$B$19))*(ISNUMBER(SEARCH($AB$19,Dienstplan!$AH$8:$BJ$19)))))</f>
        <v/>
      </c>
      <c r="T20" s="472">
        <f>SUM($F$18*$Z3)</f>
        <v/>
      </c>
      <c r="U20" s="472">
        <f>SUM($C20*Frueh_1+$D20*Spaet_1+$E20*Nacht_1+$F20*Normal_1+$I20*Sonderd_1-$J20*Velten+$K20*Velten+$L20*EH_Kurs+$M20*Koor_taet+$N20*Sekre_1+$O20*Velten+$R20*Velten+$P20*Velten+$Q20*Velten+G20*Velt_M+H20*Velt_M)</f>
        <v/>
      </c>
      <c r="V20" s="472">
        <f>SUM($U20-$T20)</f>
        <v/>
      </c>
      <c r="W20" s="472">
        <f>V20+W4</f>
        <v/>
      </c>
      <c r="X20" s="472" t="n"/>
      <c r="Y20" s="472" t="n"/>
      <c r="Z20" s="472" t="n"/>
      <c r="AA20" s="472" t="n"/>
      <c r="AB20" s="472" t="n"/>
      <c r="AC20" s="472" t="n"/>
      <c r="AD20" s="472" t="n"/>
      <c r="AE20" s="472" t="n"/>
      <c r="AF20" s="472" t="n"/>
      <c r="AG20" s="472" t="n"/>
      <c r="AH20" s="472" t="n"/>
      <c r="AI20" s="472" t="n"/>
      <c r="AJ20" s="472" t="n"/>
    </row>
    <row r="21" ht="13.8" customHeight="1" thickTop="1">
      <c r="A21" s="472" t="n"/>
      <c r="B21" s="471">
        <f>B5</f>
        <v/>
      </c>
      <c r="C21" s="472">
        <f>SUMPRODUCT((ISNUMBER(SEARCH($Y4,Dienstplan!$B$8:$B$19))*(ISNUMBER(SEARCH($AB$3,Dienstplan!$AH$8:$BJ$19)))))-D21</f>
        <v/>
      </c>
      <c r="D21" s="472">
        <f>SUMPRODUCT((ISNUMBER(SEARCH($Y4,Dienstplan!$B$8:$B$19))*(ISNUMBER(SEARCH($AB$4,Dienstplan!$AH$8:$BJ$19)))))</f>
        <v/>
      </c>
      <c r="E21" s="472">
        <f>SUMPRODUCT((ISNUMBER(SEARCH($Y4,Dienstplan!$B$8:$B$19))*(ISNUMBER(SEARCH($AB$5,Dienstplan!$AH$8:$BJ$19)))))</f>
        <v/>
      </c>
      <c r="F21" s="472">
        <f>SUMPRODUCT((ISNUMBER(SEARCH($Y4,Dienstplan!$B$8:$B$19))*(ISNUMBER(SEARCH($AB$6,Dienstplan!$AH$8:$BJ$19)))))</f>
        <v/>
      </c>
      <c r="G21" s="472">
        <f>SUMPRODUCT((ISNUMBER(SEARCH($Y4,Dienstplan!$B$8:$B$19))*(ISNUMBER(SEARCH($AB$7,Dienstplan!$AH$8:$BJ$19)))))-H21</f>
        <v/>
      </c>
      <c r="H21" s="472">
        <f>SUMPRODUCT((ISNUMBER(SEARCH($Y4,Dienstplan!$B$8:$B$19))*(ISNUMBER(SEARCH($AB$8,Dienstplan!$AH$8:$BJ$19)))))</f>
        <v/>
      </c>
      <c r="I21" s="472">
        <f>SUMPRODUCT((ISNUMBER(SEARCH($Y4,Dienstplan!$B$8:$B$19))*(ISNUMBER(SEARCH($AB$9,Dienstplan!$AH$8:$BJ$19)))))</f>
        <v/>
      </c>
      <c r="J21" s="472">
        <f>SUMPRODUCT((ISNUMBER(SEARCH($Y4,Dienstplan!$B$8:$B$19))*(ISNUMBER(SEARCH($AB$10,Dienstplan!$AH$8:$BJ$19)))))</f>
        <v/>
      </c>
      <c r="K21" s="472">
        <f>SUMPRODUCT((ISNUMBER(SEARCH($Y4,Dienstplan!$B$8:$B$19))*(ISNUMBER(SEARCH($AB$11,Dienstplan!$AH$8:$BJ$19)))))-$Q21</f>
        <v/>
      </c>
      <c r="L21" s="472">
        <f>SUMPRODUCT((ISNUMBER(SEARCH($Y4,Dienstplan!$B$8:$B$19))*(ISNUMBER(SEARCH($AB$12,Dienstplan!$AH$8:$BJ$19)))))</f>
        <v/>
      </c>
      <c r="M21" s="472">
        <f>SUMPRODUCT((ISNUMBER(SEARCH($Y4,Dienstplan!$B$8:$B$19))*(ISNUMBER(SEARCH($AB$13,Dienstplan!$AH$8:$BJ$19)))))</f>
        <v/>
      </c>
      <c r="N21" s="472">
        <f>SUMPRODUCT((ISNUMBER(SEARCH($Y4,Dienstplan!$B$8:$B$19))*(ISNUMBER(SEARCH($AB$14,Dienstplan!$AH$8:$BJ$19)))))</f>
        <v/>
      </c>
      <c r="O21" s="472">
        <f>SUMPRODUCT((ISNUMBER(SEARCH($Y4,Dienstplan!$B$8:$B$19))*(ISNUMBER(SEARCH($AB$15,Dienstplan!$AH$8:$BJ$19)))))</f>
        <v/>
      </c>
      <c r="P21" s="472">
        <f>SUMPRODUCT((ISNUMBER(SEARCH($Y4,Dienstplan!$B$8:$B$19))*(ISNUMBER(SEARCH($AB$16,Dienstplan!$AH$8:$BJ$19)))))</f>
        <v/>
      </c>
      <c r="Q21" s="472">
        <f>SUMPRODUCT((ISNUMBER(SEARCH($Y4,Dienstplan!$B$8:$B$19))*(ISNUMBER(SEARCH($AB$17,Dienstplan!$AH$8:$BJ$19)))))</f>
        <v/>
      </c>
      <c r="R21" s="472">
        <f>SUMPRODUCT((ISNUMBER(SEARCH($Y4,Dienstplan!$B$8:$B$19))*(ISNUMBER(SEARCH($AB$18,Dienstplan!$AH$8:$BJ$19)))))</f>
        <v/>
      </c>
      <c r="S21" s="472">
        <f>SUMPRODUCT((ISNUMBER(SEARCH($Y4,Dienstplan!$B$8:$B$19))*(ISNUMBER(SEARCH($AB$19,Dienstplan!$AH$8:$BJ$19)))))</f>
        <v/>
      </c>
      <c r="T21" s="472">
        <f>SUM($F$18*$Z4)</f>
        <v/>
      </c>
      <c r="U21" s="472">
        <f>SUM($C21*Frueh_1+$D21*Spaet_1+$E21*Nacht_1+$F21*Normal_1+$I21*Sonderd_1-$J21*Brue_H+$K21*Brue_H+$L21*EH_Kurs+$M21*Koor_taet+$N21*Sekre_1+$O21*Brue_H+$R21*Brue_H+$P21*Brue_H+$Q21*Brue_H+G21*Brue_H+H21*Brue_H)</f>
        <v/>
      </c>
      <c r="V21" s="472">
        <f>SUM($U21-$T21)</f>
        <v/>
      </c>
      <c r="W21" s="472">
        <f>V21+W5</f>
        <v/>
      </c>
      <c r="X21" s="472" t="n"/>
      <c r="Y21" s="472" t="inlineStr">
        <is>
          <t>Arbeitszeit Jahr Soll Ist alle MA</t>
        </is>
      </c>
      <c r="Z21" s="472" t="n"/>
      <c r="AA21" s="472" t="n"/>
      <c r="AB21" s="472" t="n"/>
      <c r="AC21" s="472" t="n"/>
      <c r="AD21" s="472" t="n"/>
      <c r="AE21" s="472" t="n"/>
      <c r="AF21" s="472" t="n"/>
      <c r="AG21" s="472" t="n"/>
      <c r="AH21" s="472" t="n"/>
      <c r="AI21" s="472" t="n"/>
      <c r="AJ21" s="472" t="n"/>
    </row>
    <row r="22">
      <c r="A22" s="472" t="n"/>
      <c r="B22" s="471">
        <f>B6</f>
        <v/>
      </c>
      <c r="C22" s="472">
        <f>SUMPRODUCT((ISNUMBER(SEARCH($Y5,Dienstplan!$B$8:$B$19))*(ISNUMBER(SEARCH($AB$3,Dienstplan!$AH$8:$BJ$19)))))-D22</f>
        <v/>
      </c>
      <c r="D22" s="472">
        <f>SUMPRODUCT((ISNUMBER(SEARCH($Y5,Dienstplan!$B$8:$B$19))*(ISNUMBER(SEARCH($AB$4,Dienstplan!$AH$8:$BJ$19)))))</f>
        <v/>
      </c>
      <c r="E22" s="472">
        <f>SUMPRODUCT((ISNUMBER(SEARCH($Y5,Dienstplan!$B$8:$B$19))*(ISNUMBER(SEARCH($AB$5,Dienstplan!$AH$8:$BJ$19)))))</f>
        <v/>
      </c>
      <c r="F22" s="472">
        <f>SUMPRODUCT((ISNUMBER(SEARCH($Y5,Dienstplan!$B$8:$B$19))*(ISNUMBER(SEARCH($AB$6,Dienstplan!$AH$8:$BJ$19)))))</f>
        <v/>
      </c>
      <c r="G22" s="472">
        <f>SUMPRODUCT((ISNUMBER(SEARCH($Y5,Dienstplan!$B$8:$B$19))*(ISNUMBER(SEARCH($AB$7,Dienstplan!$AH$8:$BJ$19)))))-H22</f>
        <v/>
      </c>
      <c r="H22" s="472">
        <f>SUMPRODUCT((ISNUMBER(SEARCH($Y5,Dienstplan!$B$8:$B$19))*(ISNUMBER(SEARCH($AB$8,Dienstplan!$AH$8:$BJ$19)))))</f>
        <v/>
      </c>
      <c r="I22" s="472">
        <f>SUMPRODUCT((ISNUMBER(SEARCH($Y5,Dienstplan!$B$8:$B$19))*(ISNUMBER(SEARCH($AB$9,Dienstplan!$AH$8:$BJ$19)))))</f>
        <v/>
      </c>
      <c r="J22" s="472">
        <f>SUMPRODUCT((ISNUMBER(SEARCH($Y5,Dienstplan!$B$8:$B$19))*(ISNUMBER(SEARCH($AB$10,Dienstplan!$AH$8:$BJ$19)))))</f>
        <v/>
      </c>
      <c r="K22" s="472">
        <f>SUMPRODUCT((ISNUMBER(SEARCH($Y5,Dienstplan!$B$8:$B$19))*(ISNUMBER(SEARCH($AB$11,Dienstplan!$AH$8:$BJ$19)))))-$Q22</f>
        <v/>
      </c>
      <c r="L22" s="472">
        <f>SUMPRODUCT((ISNUMBER(SEARCH($Y5,Dienstplan!$B$8:$B$19))*(ISNUMBER(SEARCH($AB$12,Dienstplan!$AH$8:$BJ$19)))))</f>
        <v/>
      </c>
      <c r="M22" s="472">
        <f>SUMPRODUCT((ISNUMBER(SEARCH($Y5,Dienstplan!$B$8:$B$19))*(ISNUMBER(SEARCH($AB$13,Dienstplan!$AH$8:$BJ$19)))))</f>
        <v/>
      </c>
      <c r="N22" s="472">
        <f>SUMPRODUCT((ISNUMBER(SEARCH($Y5,Dienstplan!$B$8:$B$19))*(ISNUMBER(SEARCH($AB$14,Dienstplan!$AH$8:$BJ$19)))))</f>
        <v/>
      </c>
      <c r="O22" s="472">
        <f>SUMPRODUCT((ISNUMBER(SEARCH($Y5,Dienstplan!$B$8:$B$19))*(ISNUMBER(SEARCH($AB$15,Dienstplan!$AH$8:$BJ$19)))))</f>
        <v/>
      </c>
      <c r="P22" s="472">
        <f>SUMPRODUCT((ISNUMBER(SEARCH($Y5,Dienstplan!$B$8:$B$19))*(ISNUMBER(SEARCH($AB$16,Dienstplan!$AH$8:$BJ$19)))))</f>
        <v/>
      </c>
      <c r="Q22" s="472">
        <f>SUMPRODUCT((ISNUMBER(SEARCH($Y5,Dienstplan!$B$8:$B$19))*(ISNUMBER(SEARCH($AB$17,Dienstplan!$AH$8:$BJ$19)))))</f>
        <v/>
      </c>
      <c r="R22" s="472">
        <f>SUMPRODUCT((ISNUMBER(SEARCH($Y5,Dienstplan!$B$8:$B$19))*(ISNUMBER(SEARCH($AB$18,Dienstplan!$AH$8:$BJ$19)))))</f>
        <v/>
      </c>
      <c r="S22" s="472">
        <f>SUMPRODUCT((ISNUMBER(SEARCH($Y5,Dienstplan!$B$8:$B$19))*(ISNUMBER(SEARCH($AB$19,Dienstplan!$AH$8:$BJ$19)))))</f>
        <v/>
      </c>
      <c r="T22" s="472">
        <f>SUM($F$18*$Z5)</f>
        <v/>
      </c>
      <c r="U22" s="472">
        <f>SUM($C22*Frueh_1+$D22*Spaet_1+$E22*Nacht_1+$F22*Normal_1+$I22*Sonderd_1-$J22*Rath_M+$K22*Rath_M+$L22*EH_Kurs+$M22*Koor_taet+$N22*Sekre_1+$O22*Rath_M+$R22*Rath_M+$P22*Rath_M+$Q22*Rath_M+G22*Rath_M+H22*Rath_M)</f>
        <v/>
      </c>
      <c r="V22" s="472">
        <f>SUM($U22-$T22)</f>
        <v/>
      </c>
      <c r="W22" s="472">
        <f>V22+W6</f>
        <v/>
      </c>
      <c r="X22" s="472" t="n"/>
      <c r="Y22" s="472" t="inlineStr">
        <is>
          <t>Soll</t>
        </is>
      </c>
      <c r="Z22" s="472" t="n"/>
      <c r="AA22" s="488">
        <f>$T$16+$T$32+$T$48+$T$64+$T$80+$T$96</f>
        <v/>
      </c>
      <c r="AB22" s="472" t="n"/>
      <c r="AC22" s="472" t="n"/>
      <c r="AD22" s="472" t="n"/>
      <c r="AE22" s="472" t="n"/>
      <c r="AF22" s="472" t="n"/>
      <c r="AG22" s="472" t="n"/>
      <c r="AH22" s="472" t="n"/>
      <c r="AI22" s="472" t="n"/>
      <c r="AJ22" s="472" t="n"/>
    </row>
    <row r="23">
      <c r="A23" s="472" t="n"/>
      <c r="B23" s="471">
        <f>B7</f>
        <v/>
      </c>
      <c r="C23" s="472">
        <f>SUMPRODUCT((ISNUMBER(SEARCH($Y6,Dienstplan!$B$8:$B$19))*(ISNUMBER(SEARCH($AB$3,Dienstplan!$AH$8:$BJ$19)))))-D23</f>
        <v/>
      </c>
      <c r="D23" s="472">
        <f>SUMPRODUCT((ISNUMBER(SEARCH($Y6,Dienstplan!$B$8:$B$19))*(ISNUMBER(SEARCH($AB$4,Dienstplan!$AH$8:$BJ$19)))))</f>
        <v/>
      </c>
      <c r="E23" s="472">
        <f>SUMPRODUCT((ISNUMBER(SEARCH($Y6,Dienstplan!$B$8:$B$19))*(ISNUMBER(SEARCH($AB$5,Dienstplan!$AH$8:$BJ$19)))))</f>
        <v/>
      </c>
      <c r="F23" s="472">
        <f>SUMPRODUCT((ISNUMBER(SEARCH($Y6,Dienstplan!$B$8:$B$19))*(ISNUMBER(SEARCH($AB$6,Dienstplan!$AH$8:$BJ$19)))))</f>
        <v/>
      </c>
      <c r="G23" s="472">
        <f>SUMPRODUCT((ISNUMBER(SEARCH($Y6,Dienstplan!$B$8:$B$19))*(ISNUMBER(SEARCH($AB$7,Dienstplan!$AH$8:$BJ$19)))))-H23</f>
        <v/>
      </c>
      <c r="H23" s="472">
        <f>SUMPRODUCT((ISNUMBER(SEARCH($Y6,Dienstplan!$B$8:$B$19))*(ISNUMBER(SEARCH($AB$8,Dienstplan!$AH$8:$BJ$19)))))</f>
        <v/>
      </c>
      <c r="I23" s="472">
        <f>SUMPRODUCT((ISNUMBER(SEARCH($Y6,Dienstplan!$B$8:$B$19))*(ISNUMBER(SEARCH($AB$9,Dienstplan!$AH$8:$BJ$19)))))</f>
        <v/>
      </c>
      <c r="J23" s="472">
        <f>SUMPRODUCT((ISNUMBER(SEARCH($Y6,Dienstplan!$B$8:$B$19))*(ISNUMBER(SEARCH($AB$10,Dienstplan!$AH$8:$BJ$19)))))</f>
        <v/>
      </c>
      <c r="K23" s="472">
        <f>SUMPRODUCT((ISNUMBER(SEARCH($Y6,Dienstplan!$B$8:$B$19))*(ISNUMBER(SEARCH($AB$11,Dienstplan!$AH$8:$BJ$19)))))-$Q23</f>
        <v/>
      </c>
      <c r="L23" s="472">
        <f>SUMPRODUCT((ISNUMBER(SEARCH($Y6,Dienstplan!$B$8:$B$19))*(ISNUMBER(SEARCH($AB$12,Dienstplan!$AH$8:$BJ$19)))))</f>
        <v/>
      </c>
      <c r="M23" s="472">
        <f>SUMPRODUCT((ISNUMBER(SEARCH($Y6,Dienstplan!$B$8:$B$19))*(ISNUMBER(SEARCH($AB$13,Dienstplan!$AH$8:$BJ$19)))))</f>
        <v/>
      </c>
      <c r="N23" s="472">
        <f>SUMPRODUCT((ISNUMBER(SEARCH($Y6,Dienstplan!$B$8:$B$19))*(ISNUMBER(SEARCH($AB$14,Dienstplan!$AH$8:$BJ$19)))))</f>
        <v/>
      </c>
      <c r="O23" s="472">
        <f>SUMPRODUCT((ISNUMBER(SEARCH($Y6,Dienstplan!$B$8:$B$19))*(ISNUMBER(SEARCH($AB$15,Dienstplan!$AH$8:$BJ$19)))))</f>
        <v/>
      </c>
      <c r="P23" s="472">
        <f>SUMPRODUCT((ISNUMBER(SEARCH($Y6,Dienstplan!$B$8:$B$19))*(ISNUMBER(SEARCH($AB$16,Dienstplan!$AH$8:$BJ$19)))))</f>
        <v/>
      </c>
      <c r="Q23" s="472">
        <f>SUMPRODUCT((ISNUMBER(SEARCH($Y6,Dienstplan!$B$8:$B$19))*(ISNUMBER(SEARCH($AB$17,Dienstplan!$AH$8:$BJ$19)))))</f>
        <v/>
      </c>
      <c r="R23" s="472">
        <f>SUMPRODUCT((ISNUMBER(SEARCH($Y6,Dienstplan!$B$8:$B$19))*(ISNUMBER(SEARCH($AB$18,Dienstplan!$AH$8:$BJ$19)))))</f>
        <v/>
      </c>
      <c r="S23" s="472">
        <f>SUMPRODUCT((ISNUMBER(SEARCH($Y6,Dienstplan!$B$8:$B$19))*(ISNUMBER(SEARCH($AB$19,Dienstplan!$AH$8:$BJ$19)))))</f>
        <v/>
      </c>
      <c r="T23" s="472">
        <f>SUM($F$18*$Z6)</f>
        <v/>
      </c>
      <c r="U23" s="472">
        <f>SUM($C23*Frueh_1+$D23*Spaet_1+$E23*Nacht_1+$F23*Normal_1+$I23*Sonderd_1-$J23*Scho_K+$K23*Scho_K+$L23*EH_Kurs+$M23*Koor_taet+$N23*Sekre_1+$O23*Scho_K+$R23*Scho_K+$P23*Scho_K+$Q23*Scho_K+G23*Scho_K+H23*Scho_K)</f>
        <v/>
      </c>
      <c r="V23" s="472">
        <f>SUM($U23-$T23)</f>
        <v/>
      </c>
      <c r="W23" s="472">
        <f>V23+W7</f>
        <v/>
      </c>
      <c r="X23" s="472" t="n"/>
      <c r="Y23" s="472" t="inlineStr">
        <is>
          <t>Ist</t>
        </is>
      </c>
      <c r="Z23" s="472" t="n"/>
      <c r="AA23" s="488">
        <f>$U$16+$U$32+$U$48+$U$64+$U$80+$U$96</f>
        <v/>
      </c>
      <c r="AB23" s="472" t="n"/>
      <c r="AC23" s="472" t="n"/>
      <c r="AD23" s="472" t="n"/>
      <c r="AE23" s="472" t="n"/>
      <c r="AF23" s="472" t="n"/>
      <c r="AG23" s="472" t="n"/>
      <c r="AH23" s="472" t="n"/>
      <c r="AI23" s="472" t="n"/>
      <c r="AJ23" s="472" t="n"/>
    </row>
    <row r="24" ht="13.8" customHeight="1" thickBot="1">
      <c r="A24" s="472" t="n"/>
      <c r="B24" s="471">
        <f>B8</f>
        <v/>
      </c>
      <c r="C24" s="472">
        <f>SUMPRODUCT((ISNUMBER(SEARCH($Y7,Dienstplan!$B$8:$B$19))*(ISNUMBER(SEARCH($AB$3,Dienstplan!$AH$8:$BJ$19)))))-D24</f>
        <v/>
      </c>
      <c r="D24" s="472">
        <f>SUMPRODUCT((ISNUMBER(SEARCH($Y7,Dienstplan!$B$8:$B$19))*(ISNUMBER(SEARCH($AB$4,Dienstplan!$AH$8:$BJ$19)))))</f>
        <v/>
      </c>
      <c r="E24" s="472">
        <f>SUMPRODUCT((ISNUMBER(SEARCH($Y7,Dienstplan!$B$8:$B$19))*(ISNUMBER(SEARCH($AB$5,Dienstplan!$AH$8:$BJ$19)))))</f>
        <v/>
      </c>
      <c r="F24" s="472">
        <f>SUMPRODUCT((ISNUMBER(SEARCH($Y7,Dienstplan!$B$8:$B$19))*(ISNUMBER(SEARCH($AB$6,Dienstplan!$AH$8:$BJ$19)))))</f>
        <v/>
      </c>
      <c r="G24" s="472">
        <f>SUMPRODUCT((ISNUMBER(SEARCH($Y7,Dienstplan!$B$8:$B$19))*(ISNUMBER(SEARCH($AB$7,Dienstplan!$AH$8:$BJ$19)))))-H24</f>
        <v/>
      </c>
      <c r="H24" s="472">
        <f>SUMPRODUCT((ISNUMBER(SEARCH($Y7,Dienstplan!$B$8:$B$19))*(ISNUMBER(SEARCH($AB$8,Dienstplan!$AH$8:$BJ$19)))))</f>
        <v/>
      </c>
      <c r="I24" s="472">
        <f>SUMPRODUCT((ISNUMBER(SEARCH($Y7,Dienstplan!$B$8:$B$19))*(ISNUMBER(SEARCH($AB$9,Dienstplan!$AH$8:$BJ$19)))))</f>
        <v/>
      </c>
      <c r="J24" s="472">
        <f>SUMPRODUCT((ISNUMBER(SEARCH($Y7,Dienstplan!$B$8:$B$19))*(ISNUMBER(SEARCH($AB$10,Dienstplan!$AH$8:$BJ$19)))))</f>
        <v/>
      </c>
      <c r="K24" s="472">
        <f>SUMPRODUCT((ISNUMBER(SEARCH($Y7,Dienstplan!$B$8:$B$19))*(ISNUMBER(SEARCH($AB$11,Dienstplan!$AH$8:$BJ$19)))))-$Q24</f>
        <v/>
      </c>
      <c r="L24" s="472">
        <f>SUMPRODUCT((ISNUMBER(SEARCH($Y7,Dienstplan!$B$8:$B$19))*(ISNUMBER(SEARCH($AB$12,Dienstplan!$AH$8:$BJ$19)))))</f>
        <v/>
      </c>
      <c r="M24" s="472">
        <f>SUMPRODUCT((ISNUMBER(SEARCH($Y7,Dienstplan!$B$8:$B$19))*(ISNUMBER(SEARCH($AB$13,Dienstplan!$AH$8:$BJ$19)))))</f>
        <v/>
      </c>
      <c r="N24" s="472">
        <f>SUMPRODUCT((ISNUMBER(SEARCH($Y7,Dienstplan!$B$8:$B$19))*(ISNUMBER(SEARCH($AB$14,Dienstplan!$AH$8:$BJ$19)))))</f>
        <v/>
      </c>
      <c r="O24" s="472">
        <f>SUMPRODUCT((ISNUMBER(SEARCH($Y7,Dienstplan!$B$8:$B$19))*(ISNUMBER(SEARCH($AB$15,Dienstplan!$AH$8:$BJ$19)))))</f>
        <v/>
      </c>
      <c r="P24" s="472">
        <f>SUMPRODUCT((ISNUMBER(SEARCH($Y7,Dienstplan!$B$8:$B$19))*(ISNUMBER(SEARCH($AB$16,Dienstplan!$AH$8:$BJ$19)))))</f>
        <v/>
      </c>
      <c r="Q24" s="472">
        <f>SUMPRODUCT((ISNUMBER(SEARCH($Y7,Dienstplan!$B$8:$B$19))*(ISNUMBER(SEARCH($AB$17,Dienstplan!$AH$8:$BJ$19)))))</f>
        <v/>
      </c>
      <c r="R24" s="472">
        <f>SUMPRODUCT((ISNUMBER(SEARCH($Y7,Dienstplan!$B$8:$B$19))*(ISNUMBER(SEARCH($AB$18,Dienstplan!$AH$8:$BJ$19)))))</f>
        <v/>
      </c>
      <c r="S24" s="472">
        <f>SUMPRODUCT((ISNUMBER(SEARCH($Y7,Dienstplan!$B$8:$B$19))*(ISNUMBER(SEARCH($AB$19,Dienstplan!$AH$8:$BJ$19)))))</f>
        <v/>
      </c>
      <c r="T24" s="472">
        <f>SUM($F$18*$Z7)</f>
        <v/>
      </c>
      <c r="U24" s="472">
        <f>SUM($C24*Frueh_1+$D24*Spaet_1+$E24*Nacht_1+$F24*Normal_1+$I24*Sonderd_1-$J24*Krie_B+$K24*Krie_B+$L24*EH_Kurs+$M24*Koor_taet+$N24*Sekre_1+$O24*Krie_B+$R24*Krie_B+$P24*Krie_B+$Q24*Krie_B+G24*Krie_B+H24*Krie_B)</f>
        <v/>
      </c>
      <c r="V24" s="472">
        <f>SUM($U24-$T24)</f>
        <v/>
      </c>
      <c r="W24" s="472">
        <f>V24+W8</f>
        <v/>
      </c>
      <c r="X24" s="472" t="n"/>
      <c r="Y24" s="472" t="inlineStr">
        <is>
          <t>Differenz</t>
        </is>
      </c>
      <c r="Z24" s="472" t="n"/>
      <c r="AA24" s="488">
        <f>AA23-AA22</f>
        <v/>
      </c>
      <c r="AB24" s="472" t="n"/>
      <c r="AC24" s="472" t="n"/>
      <c r="AD24" s="472" t="n"/>
      <c r="AE24" s="472" t="n"/>
      <c r="AF24" s="472" t="n"/>
      <c r="AG24" s="472" t="n"/>
      <c r="AH24" s="472" t="n"/>
      <c r="AI24" s="472" t="n"/>
      <c r="AJ24" s="472" t="n"/>
    </row>
    <row r="25" ht="14.4" customHeight="1" thickBot="1" thickTop="1">
      <c r="A25" s="472" t="n"/>
      <c r="B25" s="471">
        <f>B9</f>
        <v/>
      </c>
      <c r="C25" s="472">
        <f t="array" ref="C25">SUMPRODUCT((ISNUMBER(SEARCH(Y8,Dienstplan!$B$8:$B$19))*(ISNUMBER(SEARCH($AB$3,Dienstplan!$AH$8:$BJ$19)))))-D25</f>
        <v/>
      </c>
      <c r="D25" s="472">
        <f t="array" ref="D25">SUMPRODUCT((ISNUMBER(SEARCH(Y8,Dienstplan!$B$8:$B$19))*(ISNUMBER(SEARCH($AB$4,Dienstplan!$AH$8:$BJ$19)))))</f>
        <v/>
      </c>
      <c r="E25" s="472">
        <f t="array" ref="E25">SUMPRODUCT((ISNUMBER(SEARCH(Y8,Dienstplan!$B$8:$B$19))*(ISNUMBER(SEARCH($AB$5,Dienstplan!$AH$8:$BJ$19)))))</f>
        <v/>
      </c>
      <c r="F25" s="472">
        <f t="array" ref="F25">SUMPRODUCT((ISNUMBER(SEARCH(Y8,Dienstplan!$B$8:$B$19))*(ISNUMBER(SEARCH($AB$6,Dienstplan!$AH$8:$BJ$19)))))</f>
        <v/>
      </c>
      <c r="G25" s="472">
        <f t="array" ref="G25">SUMPRODUCT((ISNUMBER(SEARCH(Y8,Dienstplan!$B$8:$B$19))*(ISNUMBER(SEARCH($AB$7,Dienstplan!$AH$8:$BJ$19)))))-H25</f>
        <v/>
      </c>
      <c r="H25" s="472">
        <f t="array" ref="H25">SUMPRODUCT((ISNUMBER(SEARCH(Y8,Dienstplan!$B$8:$B$19))*(ISNUMBER(SEARCH($AB$8,Dienstplan!$AH$8:$BJ$19)))))</f>
        <v/>
      </c>
      <c r="I25" s="472">
        <f t="array" ref="I25">SUMPRODUCT((ISNUMBER(SEARCH(Y8,Dienstplan!$B$8:$B$19))*(ISNUMBER(SEARCH($AB$9,Dienstplan!$AH$8:$BJ$19)))))</f>
        <v/>
      </c>
      <c r="J25" s="472">
        <f t="array" ref="J25">SUMPRODUCT((ISNUMBER(SEARCH(Y8,Dienstplan!$B$8:$B$19))*(ISNUMBER(SEARCH($AB$10,Dienstplan!$AH$8:$BJ$19)))))</f>
        <v/>
      </c>
      <c r="K25" s="472">
        <f t="array" ref="K25">SUMPRODUCT((ISNUMBER(SEARCH(Y8,Dienstplan!$B$8:$B$19))*(ISNUMBER(SEARCH($AB$11,Dienstplan!$AH$8:$BJ$19)))))-$Q25</f>
        <v/>
      </c>
      <c r="L25" s="472">
        <f t="array" ref="L25">SUMPRODUCT((ISNUMBER(SEARCH(Y8,Dienstplan!$B$8:$B$19))*(ISNUMBER(SEARCH($AB$12,Dienstplan!$AH$8:$BJ$19)))))</f>
        <v/>
      </c>
      <c r="M25" s="472">
        <f t="array" ref="M25">SUMPRODUCT((ISNUMBER(SEARCH(Y8,Dienstplan!$B$8:$B$19))*(ISNUMBER(SEARCH($AB$13,Dienstplan!$AH$8:$BJ$19)))))</f>
        <v/>
      </c>
      <c r="N25" s="472">
        <f t="array" ref="N25">SUMPRODUCT((ISNUMBER(SEARCH(Y8,Dienstplan!$B$8:$B$19))*(ISNUMBER(SEARCH($AB$14,Dienstplan!$AH$8:$BJ$19)))))</f>
        <v/>
      </c>
      <c r="O25" s="472">
        <f t="array" ref="O25">SUMPRODUCT((ISNUMBER(SEARCH(Y8,Dienstplan!$B$8:$B$19))*(ISNUMBER(SEARCH($AB$15,Dienstplan!$AH$8:$BJ$19)))))</f>
        <v/>
      </c>
      <c r="P25" s="472">
        <f t="array" ref="P25">SUMPRODUCT((ISNUMBER(SEARCH(Y8,Dienstplan!$B$8:$B$19))*(ISNUMBER(SEARCH($AB$16,Dienstplan!$AH$8:$BJ$19)))))</f>
        <v/>
      </c>
      <c r="Q25" s="472">
        <f t="array" ref="Q25">SUMPRODUCT((ISNUMBER(SEARCH(Y8,Dienstplan!$B$8:$B$19))*(ISNUMBER(SEARCH($AB$17,Dienstplan!$AH$8:$BJ$19)))))</f>
        <v/>
      </c>
      <c r="R25" s="472">
        <f t="array" ref="R25">SUMPRODUCT((ISNUMBER(SEARCH(Y8,Dienstplan!$B$8:$B$19))*(ISNUMBER(SEARCH($AB$18,Dienstplan!$AH$8:$BJ$19)))))</f>
        <v/>
      </c>
      <c r="S25" s="472">
        <f t="array" ref="S25">SUMPRODUCT((ISNUMBER(SEARCH(Y8,Dienstplan!$B$8:$B$19))*(ISNUMBER(SEARCH($AB$19,Dienstplan!$AH$8:$BJ$19)))))</f>
        <v/>
      </c>
      <c r="T25" s="472">
        <f>SUM($F$18*$Z8)</f>
        <v/>
      </c>
      <c r="U25" s="472">
        <f>SUM($C25*Frueh_1+$D25*Spaet_1+$E25*Nacht_1+$F25*Normal_1+$I25*Sonderd_1-$J25*Muster+$K25*Muster+$L25*EH_Kurs+$M25*Koor_taet+$N25*Sekre_1+$O25*Muster+$P25*Muster+$Q25*Muster+$R25*Muster+G25*Muster+H25*Muster)</f>
        <v/>
      </c>
      <c r="V25" s="472">
        <f>SUM($U25-$T25)</f>
        <v/>
      </c>
      <c r="W25" s="472">
        <f>V25+W9</f>
        <v/>
      </c>
      <c r="X25" s="472" t="n"/>
      <c r="Y25" s="472" t="inlineStr">
        <is>
          <t>Diff. + Urlaub</t>
        </is>
      </c>
      <c r="Z25" s="472" t="n"/>
      <c r="AA25" s="488">
        <f>AA24+AD16</f>
        <v/>
      </c>
      <c r="AB25" s="472" t="n"/>
      <c r="AC25" s="472" t="n"/>
      <c r="AD25" s="472" t="n"/>
      <c r="AE25" s="472" t="n"/>
      <c r="AF25" s="472" t="n"/>
      <c r="AG25" s="472" t="n"/>
      <c r="AH25" s="472" t="n"/>
      <c r="AI25" s="472" t="n"/>
      <c r="AJ25" s="472" t="n"/>
    </row>
    <row r="26" ht="13.8" customHeight="1" thickTop="1">
      <c r="A26" s="472" t="n"/>
      <c r="B26" s="471">
        <f>B10</f>
        <v/>
      </c>
      <c r="C26" s="472">
        <f t="array" ref="C26">SUMPRODUCT((ISNUMBER(SEARCH(Y9,Dienstplan!$B$8:$B$19))*(ISNUMBER(SEARCH($AB$3,Dienstplan!$AH$8:$BJ$19)))))-D26</f>
        <v/>
      </c>
      <c r="D26" s="472">
        <f t="array" ref="D26">SUMPRODUCT((ISNUMBER(SEARCH(Y9,Dienstplan!$B$8:$B$19))*(ISNUMBER(SEARCH($AB$4,Dienstplan!$AH$8:$BJ$19)))))</f>
        <v/>
      </c>
      <c r="E26" s="472">
        <f t="array" ref="E26">SUMPRODUCT((ISNUMBER(SEARCH(Y9,Dienstplan!$B$8:$B$19))*(ISNUMBER(SEARCH($AB$5,Dienstplan!$AH$8:$BJ$19)))))</f>
        <v/>
      </c>
      <c r="F26" s="472">
        <f t="array" ref="F26">SUMPRODUCT((ISNUMBER(SEARCH(Y9,Dienstplan!$B$8:$B$19))*(ISNUMBER(SEARCH($AB$6,Dienstplan!$AH$8:$BJ$19)))))</f>
        <v/>
      </c>
      <c r="G26" s="472">
        <f t="array" ref="G26">SUMPRODUCT((ISNUMBER(SEARCH(Y9,Dienstplan!$B$8:$B$19))*(ISNUMBER(SEARCH($AB$7,Dienstplan!$AH$8:$BJ$19)))))-H26</f>
        <v/>
      </c>
      <c r="H26" s="472">
        <f t="array" ref="H26">SUMPRODUCT((ISNUMBER(SEARCH(Y9,Dienstplan!$B$8:$B$19))*(ISNUMBER(SEARCH($AB$8,Dienstplan!$AH$8:$BJ$19)))))</f>
        <v/>
      </c>
      <c r="I26" s="472">
        <f t="array" ref="I26">SUMPRODUCT((ISNUMBER(SEARCH(Y9,Dienstplan!$B$8:$B$19))*(ISNUMBER(SEARCH($AB$9,Dienstplan!$AH$8:$BJ$19)))))</f>
        <v/>
      </c>
      <c r="J26" s="472">
        <f t="array" ref="J26">SUMPRODUCT((ISNUMBER(SEARCH(Y9,Dienstplan!$B$8:$B$19))*(ISNUMBER(SEARCH($AB$10,Dienstplan!$AH$8:$BJ$19)))))</f>
        <v/>
      </c>
      <c r="K26" s="472">
        <f t="array" ref="K26">SUMPRODUCT((ISNUMBER(SEARCH(Y9,Dienstplan!$B$8:$B$19))*(ISNUMBER(SEARCH($AB$11,Dienstplan!$AH$8:$BJ$19)))))-$Q26</f>
        <v/>
      </c>
      <c r="L26" s="472">
        <f t="array" ref="L26">SUMPRODUCT((ISNUMBER(SEARCH(Y9,Dienstplan!$B$8:$B$19))*(ISNUMBER(SEARCH($AB$12,Dienstplan!$AH$8:$BJ$19)))))</f>
        <v/>
      </c>
      <c r="M26" s="472">
        <f t="array" ref="M26">SUMPRODUCT((ISNUMBER(SEARCH(Y9,Dienstplan!$B$8:$B$19))*(ISNUMBER(SEARCH($AB$13,Dienstplan!$AH$8:$BJ$19)))))</f>
        <v/>
      </c>
      <c r="N26" s="472">
        <f t="array" ref="N26">SUMPRODUCT((ISNUMBER(SEARCH(Y9,Dienstplan!$B$8:$B$19))*(ISNUMBER(SEARCH($AB$14,Dienstplan!$AH$8:$BJ$19)))))</f>
        <v/>
      </c>
      <c r="O26" s="472">
        <f t="array" ref="O26">SUMPRODUCT((ISNUMBER(SEARCH(Y9,Dienstplan!$B$8:$B$19))*(ISNUMBER(SEARCH($AB$15,Dienstplan!$AH$8:$BJ$19)))))</f>
        <v/>
      </c>
      <c r="P26" s="472">
        <f t="array" ref="P26">SUMPRODUCT((ISNUMBER(SEARCH(Y9,Dienstplan!$B$8:$B$19))*(ISNUMBER(SEARCH($AB$16,Dienstplan!$AH$8:$BJ$19)))))</f>
        <v/>
      </c>
      <c r="Q26" s="472">
        <f t="array" ref="Q26">SUMPRODUCT((ISNUMBER(SEARCH(Y9,Dienstplan!$B$8:$B$19))*(ISNUMBER(SEARCH($AB$17,Dienstplan!$AH$8:$BJ$19)))))</f>
        <v/>
      </c>
      <c r="R26" s="472">
        <f t="array" ref="R26">SUMPRODUCT((ISNUMBER(SEARCH(Y9,Dienstplan!$B$8:$B$19))*(ISNUMBER(SEARCH($AB$18,Dienstplan!$AH$8:$BJ$19)))))</f>
        <v/>
      </c>
      <c r="S26" s="472">
        <f t="array" ref="S26">SUMPRODUCT((ISNUMBER(SEARCH(Y9,Dienstplan!$B$8:$B$19))*(ISNUMBER(SEARCH($AB$19,Dienstplan!$AH$8:$BJ$19)))))</f>
        <v/>
      </c>
      <c r="T26" s="472">
        <f>SUM($F$18*$Z9)</f>
        <v/>
      </c>
      <c r="U26" s="472">
        <f>SUM($C26*Frueh_1+$D26*Spaet_1+$E26*Nacht_1+$F26*Normal_1+$I26*Sonderd_1-$J26*Muster+$K26*Muster+$L26*EH_Kurs+$M26*Koor_taet+$N26*Sekre_1+$O26*Muster+$P26*Muster+$Q26*Muster+$R26*Muster+G26*Muster+H26*Muster)</f>
        <v/>
      </c>
      <c r="V26" s="472">
        <f>SUM($U26-$T26)</f>
        <v/>
      </c>
      <c r="W26" s="472">
        <f>V26+W10</f>
        <v/>
      </c>
      <c r="X26" s="472" t="n"/>
      <c r="Y26" s="472" t="n"/>
      <c r="Z26" s="472" t="n"/>
      <c r="AA26" s="472" t="n"/>
      <c r="AB26" s="472" t="n"/>
      <c r="AC26" s="472" t="n"/>
      <c r="AD26" s="472" t="n"/>
      <c r="AE26" s="472" t="n"/>
      <c r="AF26" s="472" t="n"/>
      <c r="AG26" s="472" t="n"/>
      <c r="AH26" s="472" t="n"/>
      <c r="AI26" s="472" t="n"/>
      <c r="AJ26" s="472" t="n"/>
    </row>
    <row r="27">
      <c r="A27" s="472" t="n"/>
      <c r="B27" s="471">
        <f>B11</f>
        <v/>
      </c>
      <c r="C27" s="472">
        <f>SUMPRODUCT((ISNUMBER(SEARCH($Y10,Dienstplan!$B$8:$B$19))*(ISNUMBER(SEARCH($AB$3,Dienstplan!$AH$8:$BJ$19)))))-D27</f>
        <v/>
      </c>
      <c r="D27" s="472">
        <f>SUMPRODUCT((ISNUMBER(SEARCH($Y10,Dienstplan!$B$8:$B$19))*(ISNUMBER(SEARCH($AB$4,Dienstplan!$AH$8:$BJ$19)))))</f>
        <v/>
      </c>
      <c r="E27" s="472">
        <f>SUMPRODUCT((ISNUMBER(SEARCH($Y10,Dienstplan!$B$8:$B$19))*(ISNUMBER(SEARCH($AB$5,Dienstplan!$AH$8:$BJ$19)))))</f>
        <v/>
      </c>
      <c r="F27" s="472">
        <f>SUMPRODUCT((ISNUMBER(SEARCH($Y10,Dienstplan!$B$8:$B$19))*(ISNUMBER(SEARCH($AB$6,Dienstplan!$AH$8:$BJ$19)))))</f>
        <v/>
      </c>
      <c r="G27" s="472">
        <f>SUMPRODUCT((ISNUMBER(SEARCH($Y10,Dienstplan!$B$8:$B$19))*(ISNUMBER(SEARCH($AB$7,Dienstplan!$AH$8:$BJ$19)))))-H27</f>
        <v/>
      </c>
      <c r="H27" s="472">
        <f>SUMPRODUCT((ISNUMBER(SEARCH($Y10,Dienstplan!$B$8:$B$19))*(ISNUMBER(SEARCH($AB$8,Dienstplan!$AH$8:$BJ$19)))))</f>
        <v/>
      </c>
      <c r="I27" s="472">
        <f>SUMPRODUCT((ISNUMBER(SEARCH($Y10,Dienstplan!$B$8:$B$19))*(ISNUMBER(SEARCH($AB$9,Dienstplan!$AH$8:$BJ$19)))))</f>
        <v/>
      </c>
      <c r="J27" s="472">
        <f>SUMPRODUCT((ISNUMBER(SEARCH($Y10,Dienstplan!$B$8:$B$19))*(ISNUMBER(SEARCH($AB$10,Dienstplan!$AH$8:$BJ$19)))))</f>
        <v/>
      </c>
      <c r="K27" s="472">
        <f>SUMPRODUCT((ISNUMBER(SEARCH($Y10,Dienstplan!$B$8:$B$19))*(ISNUMBER(SEARCH($AB$11,Dienstplan!$AH$8:$BJ$19)))))-$Q27</f>
        <v/>
      </c>
      <c r="L27" s="472">
        <f>SUMPRODUCT((ISNUMBER(SEARCH($Y10,Dienstplan!$B$8:$B$19))*(ISNUMBER(SEARCH($AB$12,Dienstplan!$AH$8:$BJ$19)))))</f>
        <v/>
      </c>
      <c r="M27" s="472">
        <f>SUMPRODUCT((ISNUMBER(SEARCH($Y10,Dienstplan!$B$8:$B$19))*(ISNUMBER(SEARCH($AB$13,Dienstplan!$AH$8:$BJ$19)))))</f>
        <v/>
      </c>
      <c r="N27" s="472">
        <f>SUMPRODUCT((ISNUMBER(SEARCH($Y10,Dienstplan!$B$8:$B$19))*(ISNUMBER(SEARCH($AB$14,Dienstplan!$AH$8:$BJ$19)))))</f>
        <v/>
      </c>
      <c r="O27" s="472">
        <f>SUMPRODUCT((ISNUMBER(SEARCH($Y10,Dienstplan!$B$8:$B$19))*(ISNUMBER(SEARCH($AB$15,Dienstplan!$AH$8:$BJ$19)))))</f>
        <v/>
      </c>
      <c r="P27" s="472">
        <f>SUMPRODUCT((ISNUMBER(SEARCH($Y10,Dienstplan!$B$8:$B$19))*(ISNUMBER(SEARCH($AB$16,Dienstplan!$AH$8:$BJ$19)))))</f>
        <v/>
      </c>
      <c r="Q27" s="472">
        <f>SUMPRODUCT((ISNUMBER(SEARCH($Y10,Dienstplan!$B$8:$B$19))*(ISNUMBER(SEARCH($AB$17,Dienstplan!$AH$8:$BJ$19)))))</f>
        <v/>
      </c>
      <c r="R27" s="472">
        <f>SUMPRODUCT((ISNUMBER(SEARCH($Y10,Dienstplan!$B$8:$B$19))*(ISNUMBER(SEARCH($AB$18,Dienstplan!$AH$8:$BJ$19)))))</f>
        <v/>
      </c>
      <c r="S27" s="472">
        <f>SUMPRODUCT((ISNUMBER(SEARCH($Y10,Dienstplan!$B$8:$B$19))*(ISNUMBER(SEARCH($AB$19,Dienstplan!$AH$8:$BJ$19)))))</f>
        <v/>
      </c>
      <c r="T27" s="472">
        <f>SUM($F$18*$Z10)</f>
        <v/>
      </c>
      <c r="U27" s="472">
        <f>SUM($C27*Frueh_1+$D27*Spaet_1+$E27*Nacht_1+$F27*Normal_1+$I27*Sonderd_1-$J27*Krem_E+$K27*Krem_E+$L27*EH_Kurs+$M27*Koor_taet+$N27*Sekre_1+$O27*Krem_E+$R27*Krem_E+$P27*Krem_E+$Q27*Krem_E+G27*Krem_E+H27*Krem_E)</f>
        <v/>
      </c>
      <c r="V27" s="472">
        <f>SUM($U27-$T27)</f>
        <v/>
      </c>
      <c r="W27" s="472">
        <f>V27+W11</f>
        <v/>
      </c>
      <c r="X27" s="472" t="n"/>
      <c r="Y27" s="472" t="n"/>
      <c r="Z27" s="472" t="n"/>
      <c r="AA27" s="472" t="n"/>
      <c r="AB27" s="472" t="n"/>
      <c r="AC27" s="472" t="n"/>
      <c r="AD27" s="472" t="n"/>
      <c r="AE27" s="472" t="n"/>
      <c r="AF27" s="472" t="n"/>
      <c r="AG27" s="472" t="n"/>
      <c r="AH27" s="472" t="n"/>
      <c r="AI27" s="472" t="n"/>
      <c r="AJ27" s="472" t="n"/>
    </row>
    <row r="28">
      <c r="A28" s="472" t="n"/>
      <c r="B28" s="471">
        <f>B12</f>
        <v/>
      </c>
      <c r="C28" s="472">
        <f>SUMPRODUCT((ISNUMBER(SEARCH($Y11,Dienstplan!$B$8:$B$19))*(ISNUMBER(SEARCH($AB$3,Dienstplan!$AH$8:$BJ$19)))))-D28</f>
        <v/>
      </c>
      <c r="D28" s="472">
        <f>SUMPRODUCT((ISNUMBER(SEARCH($Y11,Dienstplan!$B$8:$B$19))*(ISNUMBER(SEARCH($AB$4,Dienstplan!$AH$8:$BJ$19)))))</f>
        <v/>
      </c>
      <c r="E28" s="472">
        <f>SUMPRODUCT((ISNUMBER(SEARCH($Y11,Dienstplan!$B$8:$B$19))*(ISNUMBER(SEARCH($AB$5,Dienstplan!$AH$8:$BJ$19)))))</f>
        <v/>
      </c>
      <c r="F28" s="472">
        <f>SUMPRODUCT((ISNUMBER(SEARCH($Y11,Dienstplan!$B$8:$B$19))*(ISNUMBER(SEARCH($AB$6,Dienstplan!$AH$8:$BJ$19)))))</f>
        <v/>
      </c>
      <c r="G28" s="472">
        <f>SUMPRODUCT((ISNUMBER(SEARCH($Y11,Dienstplan!$B$8:$B$19))*(ISNUMBER(SEARCH($AB$7,Dienstplan!$AH$8:$BJ$19)))))-H28</f>
        <v/>
      </c>
      <c r="H28" s="472">
        <f>SUMPRODUCT((ISNUMBER(SEARCH($Y11,Dienstplan!$B$8:$B$19))*(ISNUMBER(SEARCH($AB$8,Dienstplan!$AH$8:$BJ$19)))))</f>
        <v/>
      </c>
      <c r="I28" s="472">
        <f>SUMPRODUCT((ISNUMBER(SEARCH($Y11,Dienstplan!$B$8:$B$19))*(ISNUMBER(SEARCH($AB$9,Dienstplan!$AH$8:$BJ$19)))))</f>
        <v/>
      </c>
      <c r="J28" s="472">
        <f>SUMPRODUCT((ISNUMBER(SEARCH($Y11,Dienstplan!$B$8:$B$19))*(ISNUMBER(SEARCH($AB$10,Dienstplan!$AH$8:$BJ$19)))))</f>
        <v/>
      </c>
      <c r="K28" s="472">
        <f>SUMPRODUCT((ISNUMBER(SEARCH($Y11,Dienstplan!$B$8:$B$19))*(ISNUMBER(SEARCH($AB$11,Dienstplan!$AH$8:$BJ$19)))))-$Q28</f>
        <v/>
      </c>
      <c r="L28" s="472">
        <f>SUMPRODUCT((ISNUMBER(SEARCH($Y11,Dienstplan!$B$8:$B$19))*(ISNUMBER(SEARCH($AB$12,Dienstplan!$AH$8:$BJ$19)))))</f>
        <v/>
      </c>
      <c r="M28" s="472">
        <f>SUMPRODUCT((ISNUMBER(SEARCH($Y11,Dienstplan!$B$8:$B$19))*(ISNUMBER(SEARCH($AB$13,Dienstplan!$AH$8:$BJ$19)))))</f>
        <v/>
      </c>
      <c r="N28" s="472">
        <f>SUMPRODUCT((ISNUMBER(SEARCH($Y11,Dienstplan!$B$8:$B$19))*(ISNUMBER(SEARCH($AB$14,Dienstplan!$AH$8:$BJ$19)))))</f>
        <v/>
      </c>
      <c r="O28" s="472">
        <f>SUMPRODUCT((ISNUMBER(SEARCH($Y11,Dienstplan!$B$8:$B$19))*(ISNUMBER(SEARCH($AB$15,Dienstplan!$AH$8:$BJ$19)))))</f>
        <v/>
      </c>
      <c r="P28" s="472">
        <f>SUMPRODUCT((ISNUMBER(SEARCH($Y11,Dienstplan!$B$8:$B$19))*(ISNUMBER(SEARCH($AB$16,Dienstplan!$AH$8:$BJ$19)))))</f>
        <v/>
      </c>
      <c r="Q28" s="472">
        <f>SUMPRODUCT((ISNUMBER(SEARCH($Y11,Dienstplan!$B$8:$B$19))*(ISNUMBER(SEARCH($AB$17,Dienstplan!$AH$8:$BJ$19)))))</f>
        <v/>
      </c>
      <c r="R28" s="472">
        <f>SUMPRODUCT((ISNUMBER(SEARCH($Y11,Dienstplan!$B$8:$B$19))*(ISNUMBER(SEARCH($AB$18,Dienstplan!$AH$8:$BJ$19)))))</f>
        <v/>
      </c>
      <c r="S28" s="472">
        <f>SUMPRODUCT((ISNUMBER(SEARCH($Y11,Dienstplan!$B$8:$B$19))*(ISNUMBER(SEARCH($AB$19,Dienstplan!$AH$8:$BJ$19)))))</f>
        <v/>
      </c>
      <c r="T28" s="472">
        <f>SUM($F$18*$Z11)</f>
        <v/>
      </c>
      <c r="U28" s="472">
        <f>SUM($C28*Frueh_1+$D28*Spaet_1+$E28*Nacht_1+$F28*Normal_1+$I28*Sonderd_1-$J28*Put_W+$K28*Put_W+$L28*EH_Kurs+$M28*Koor_taet+$N28*Sekre_1+$O28*Put_W+$R28*Put_W+$P28*Put_W+$Q28*Put_W+G28*Put_W+H28*Put_W)</f>
        <v/>
      </c>
      <c r="V28" s="472">
        <f>SUM($U28-$T28)</f>
        <v/>
      </c>
      <c r="W28" s="472">
        <f>V28+W12</f>
        <v/>
      </c>
      <c r="X28" s="472" t="n"/>
      <c r="Y28" s="472" t="n"/>
      <c r="Z28" s="472" t="n"/>
      <c r="AA28" s="472" t="n"/>
      <c r="AB28" s="472" t="n"/>
      <c r="AC28" s="472" t="n"/>
      <c r="AD28" s="472" t="n"/>
      <c r="AE28" s="472" t="n"/>
      <c r="AF28" s="472" t="n"/>
      <c r="AG28" s="472" t="n"/>
      <c r="AH28" s="472" t="n"/>
      <c r="AI28" s="472" t="n"/>
      <c r="AJ28" s="472" t="n"/>
    </row>
    <row r="29">
      <c r="A29" s="472" t="n"/>
      <c r="B29" s="471">
        <f>B13</f>
        <v/>
      </c>
      <c r="C29" s="472">
        <f>SUMPRODUCT((ISNUMBER(SEARCH($Y12,Dienstplan!$B$8:$B$19))*(ISNUMBER(SEARCH($AB$3,Dienstplan!$AH$8:$BJ$19)))))-D29</f>
        <v/>
      </c>
      <c r="D29" s="472">
        <f>SUMPRODUCT((ISNUMBER(SEARCH($Y12,Dienstplan!$B$8:$B$19))*(ISNUMBER(SEARCH($AB$4,Dienstplan!$AH$8:$BJ$19)))))</f>
        <v/>
      </c>
      <c r="E29" s="472">
        <f>SUMPRODUCT((ISNUMBER(SEARCH($Y12,Dienstplan!$B$8:$B$19))*(ISNUMBER(SEARCH($AB$5,Dienstplan!$AH$8:$BJ$19)))))</f>
        <v/>
      </c>
      <c r="F29" s="472">
        <f>SUMPRODUCT((ISNUMBER(SEARCH($Y12,Dienstplan!$B$8:$B$19))*(ISNUMBER(SEARCH($AB$6,Dienstplan!$AH$8:$BJ$19)))))</f>
        <v/>
      </c>
      <c r="G29" s="472">
        <f>SUMPRODUCT((ISNUMBER(SEARCH($Y12,Dienstplan!$B$8:$B$19))*(ISNUMBER(SEARCH($AB$7,Dienstplan!$AH$8:$BJ$19)))))-H29</f>
        <v/>
      </c>
      <c r="H29" s="472">
        <f>SUMPRODUCT((ISNUMBER(SEARCH($Y12,Dienstplan!$B$8:$B$19))*(ISNUMBER(SEARCH($AB$8,Dienstplan!$AH$8:$BJ$19)))))</f>
        <v/>
      </c>
      <c r="I29" s="472">
        <f>SUMPRODUCT((ISNUMBER(SEARCH($Y12,Dienstplan!$B$8:$B$19))*(ISNUMBER(SEARCH($AB$9,Dienstplan!$AH$8:$BJ$19)))))</f>
        <v/>
      </c>
      <c r="J29" s="472">
        <f>SUMPRODUCT((ISNUMBER(SEARCH($Y12,Dienstplan!$B$8:$B$19))*(ISNUMBER(SEARCH($AB$10,Dienstplan!$AH$8:$BJ$19)))))</f>
        <v/>
      </c>
      <c r="K29" s="472">
        <f>SUMPRODUCT((ISNUMBER(SEARCH($Y12,Dienstplan!$B$8:$B$19))*(ISNUMBER(SEARCH($AB$11,Dienstplan!$AH$8:$BJ$19)))))-$Q29</f>
        <v/>
      </c>
      <c r="L29" s="472">
        <f>SUMPRODUCT((ISNUMBER(SEARCH($Y12,Dienstplan!$B$8:$B$19))*(ISNUMBER(SEARCH($AB$12,Dienstplan!$AH$8:$BJ$19)))))</f>
        <v/>
      </c>
      <c r="M29" s="472">
        <f>SUMPRODUCT((ISNUMBER(SEARCH($Y12,Dienstplan!$B$8:$B$19))*(ISNUMBER(SEARCH($AB$13,Dienstplan!$AH$8:$BJ$19)))))</f>
        <v/>
      </c>
      <c r="N29" s="472">
        <f>SUMPRODUCT((ISNUMBER(SEARCH($Y12,Dienstplan!$B$8:$B$19))*(ISNUMBER(SEARCH($AB$14,Dienstplan!$AH$8:$BJ$19)))))</f>
        <v/>
      </c>
      <c r="O29" s="472">
        <f>SUMPRODUCT((ISNUMBER(SEARCH($Y12,Dienstplan!$B$8:$B$19))*(ISNUMBER(SEARCH($AB$15,Dienstplan!$AH$8:$BJ$19)))))</f>
        <v/>
      </c>
      <c r="P29" s="472">
        <f>SUMPRODUCT((ISNUMBER(SEARCH($Y12,Dienstplan!$B$8:$B$19))*(ISNUMBER(SEARCH($AB$16,Dienstplan!$AH$8:$BJ$19)))))</f>
        <v/>
      </c>
      <c r="Q29" s="472">
        <f>SUMPRODUCT((ISNUMBER(SEARCH($Y12,Dienstplan!$B$8:$B$19))*(ISNUMBER(SEARCH($AB$17,Dienstplan!$AH$8:$BJ$19)))))</f>
        <v/>
      </c>
      <c r="R29" s="472">
        <f>SUMPRODUCT((ISNUMBER(SEARCH($Y12,Dienstplan!$B$8:$B$19))*(ISNUMBER(SEARCH($AB$18,Dienstplan!$AH$8:$BJ$19)))))</f>
        <v/>
      </c>
      <c r="S29" s="472">
        <f>SUMPRODUCT((ISNUMBER(SEARCH($Y12,Dienstplan!$B$8:$B$19))*(ISNUMBER(SEARCH($AB$19,Dienstplan!$AH$8:$BJ$19)))))</f>
        <v/>
      </c>
      <c r="T29" s="472">
        <f>SUM($F$18*$Z12)</f>
        <v/>
      </c>
      <c r="U29" s="472">
        <f>SUM($C29*Frueh_1+$D29*Spaet_1+$E29*Nacht_1+$F29*Normal_1+$I29*Sonderd_1-$J29*Radi_L+$K29*Radi_L+$L29*EH_Kurs+$M29*Koor_taet+$N29*Sekre_1+$O29*Radi_L+$R29*Radi_L+$P29*Radi_L+$Q29*Radi_L+G29*Radi_L+H29*Radi_L)</f>
        <v/>
      </c>
      <c r="V29" s="472">
        <f>SUM($U29-$T29)</f>
        <v/>
      </c>
      <c r="W29" s="472">
        <f>V29+W13</f>
        <v/>
      </c>
      <c r="X29" s="472" t="n"/>
      <c r="Y29" s="472" t="inlineStr">
        <is>
          <t xml:space="preserve">Soll AZ </t>
        </is>
      </c>
      <c r="Z29" s="472" t="inlineStr">
        <is>
          <t>IRTAZ mal Arbeitstage</t>
        </is>
      </c>
      <c r="AA29" s="472" t="n"/>
      <c r="AB29" s="472" t="n"/>
      <c r="AC29" s="472" t="n"/>
      <c r="AD29" s="472" t="n"/>
      <c r="AE29" s="472" t="n"/>
      <c r="AF29" s="472" t="n"/>
      <c r="AG29" s="472" t="n"/>
      <c r="AH29" s="472" t="n"/>
      <c r="AI29" s="472" t="n"/>
      <c r="AJ29" s="472" t="n"/>
    </row>
    <row r="30">
      <c r="A30" s="472" t="n"/>
      <c r="B30" s="471">
        <f>B14</f>
        <v/>
      </c>
      <c r="C30" s="472">
        <f>SUMPRODUCT((ISNUMBER(SEARCH($Y13,Dienstplan!$B$8:$B$19))*(ISNUMBER(SEARCH($AB$3,Dienstplan!$AH$8:$BJ$19)))))-D30</f>
        <v/>
      </c>
      <c r="D30" s="472">
        <f>SUMPRODUCT((ISNUMBER(SEARCH($Y13,Dienstplan!$B$8:$B$19))*(ISNUMBER(SEARCH($AB$4,Dienstplan!$AH$8:$BJ$19)))))</f>
        <v/>
      </c>
      <c r="E30" s="472">
        <f>SUMPRODUCT((ISNUMBER(SEARCH($Y13,Dienstplan!$B$8:$B$19))*(ISNUMBER(SEARCH($AB$5,Dienstplan!$AH$8:$BJ$19)))))</f>
        <v/>
      </c>
      <c r="F30" s="472">
        <f>SUMPRODUCT((ISNUMBER(SEARCH($Y13,Dienstplan!$B$8:$B$19))*(ISNUMBER(SEARCH($AB$6,Dienstplan!$AH$8:$BJ$19)))))</f>
        <v/>
      </c>
      <c r="G30" s="472">
        <f>SUMPRODUCT((ISNUMBER(SEARCH($Y13,Dienstplan!$B$8:$B$19))*(ISNUMBER(SEARCH($AB$7,Dienstplan!$AH$8:$BJ$19)))))-H30</f>
        <v/>
      </c>
      <c r="H30" s="472">
        <f>SUMPRODUCT((ISNUMBER(SEARCH($Y13,Dienstplan!$B$8:$B$19))*(ISNUMBER(SEARCH($AB$8,Dienstplan!$AH$8:$BJ$19)))))</f>
        <v/>
      </c>
      <c r="I30" s="472">
        <f>SUMPRODUCT((ISNUMBER(SEARCH($Y13,Dienstplan!$B$8:$B$19))*(ISNUMBER(SEARCH($AB$9,Dienstplan!$AH$8:$BJ$19)))))</f>
        <v/>
      </c>
      <c r="J30" s="472">
        <f>SUMPRODUCT((ISNUMBER(SEARCH($Y13,Dienstplan!$B$8:$B$19))*(ISNUMBER(SEARCH($AB$10,Dienstplan!$AH$8:$BJ$19)))))</f>
        <v/>
      </c>
      <c r="K30" s="472">
        <f>SUMPRODUCT((ISNUMBER(SEARCH($Y13,Dienstplan!$B$8:$B$19))*(ISNUMBER(SEARCH($AB$11,Dienstplan!$AH$8:$BJ$19)))))-$Q30</f>
        <v/>
      </c>
      <c r="L30" s="472">
        <f>SUMPRODUCT((ISNUMBER(SEARCH($Y13,Dienstplan!$B$8:$B$19))*(ISNUMBER(SEARCH($AB$12,Dienstplan!$AH$8:$BJ$19)))))</f>
        <v/>
      </c>
      <c r="M30" s="472">
        <f>SUMPRODUCT((ISNUMBER(SEARCH($Y13,Dienstplan!$B$8:$B$19))*(ISNUMBER(SEARCH($AB$13,Dienstplan!$AH$8:$BJ$19)))))</f>
        <v/>
      </c>
      <c r="N30" s="472">
        <f>SUMPRODUCT((ISNUMBER(SEARCH($Y13,Dienstplan!$B$8:$B$19))*(ISNUMBER(SEARCH($AB$14,Dienstplan!$AH$8:$BJ$19)))))</f>
        <v/>
      </c>
      <c r="O30" s="472">
        <f>SUMPRODUCT((ISNUMBER(SEARCH($Y13,Dienstplan!$B$8:$B$19))*(ISNUMBER(SEARCH($AB$15,Dienstplan!$AH$8:$BJ$19)))))</f>
        <v/>
      </c>
      <c r="P30" s="472">
        <f>SUMPRODUCT((ISNUMBER(SEARCH($Y13,Dienstplan!$B$8:$B$19))*(ISNUMBER(SEARCH($AB$16,Dienstplan!$AH$8:$BJ$19)))))</f>
        <v/>
      </c>
      <c r="Q30" s="472">
        <f>SUMPRODUCT((ISNUMBER(SEARCH($Y13,Dienstplan!$B$8:$B$19))*(ISNUMBER(SEARCH($AB$17,Dienstplan!$AH$8:$BJ$19)))))</f>
        <v/>
      </c>
      <c r="R30" s="472">
        <f>SUMPRODUCT((ISNUMBER(SEARCH($Y13,Dienstplan!$B$8:$B$19))*(ISNUMBER(SEARCH($AB$18,Dienstplan!$AH$8:$BJ$19)))))</f>
        <v/>
      </c>
      <c r="S30" s="472">
        <f>SUMPRODUCT((ISNUMBER(SEARCH($Y13,Dienstplan!$B$8:$B$19))*(ISNUMBER(SEARCH($AB$19,Dienstplan!$AH$8:$BJ$19)))))</f>
        <v/>
      </c>
      <c r="T30" s="472">
        <f>SUM($F$18*$Z13)</f>
        <v/>
      </c>
      <c r="U30" s="472">
        <f>SUM($C30*Frueh_1+$D30*Spaet_1+$E30*Nacht_1+$F30*Normal_1+$I30*Sonderd_1-$J30*Fortenb+$K30*Fortenb+$L30*EH_Kurs+$M30*Koor_taet+$N30*Sekre_1+$O30*Fortenb+$R30*Fortenb+$P30*Fortenb+$Q30*Fortenb+G30*Fortenb+H30*Fortenb)</f>
        <v/>
      </c>
      <c r="V30" s="472">
        <f>SUM($U30-$T30)</f>
        <v/>
      </c>
      <c r="W30" s="472">
        <f>V30+W14</f>
        <v/>
      </c>
      <c r="X30" s="472" t="n"/>
      <c r="Y30" s="472" t="inlineStr">
        <is>
          <t>Ist AZ</t>
        </is>
      </c>
      <c r="Z30" s="472" t="inlineStr">
        <is>
          <t>erforderliche AZ laut Dienstplan</t>
        </is>
      </c>
      <c r="AA30" s="472" t="n"/>
      <c r="AB30" s="472" t="n"/>
      <c r="AC30" s="472" t="n"/>
      <c r="AD30" s="472" t="n"/>
      <c r="AE30" s="472" t="n"/>
      <c r="AF30" s="472" t="n"/>
      <c r="AG30" s="472" t="n"/>
      <c r="AH30" s="472" t="n"/>
      <c r="AI30" s="472" t="n"/>
      <c r="AJ30" s="472" t="n"/>
    </row>
    <row r="31">
      <c r="A31" s="472" t="n"/>
      <c r="B31" s="471" t="n"/>
      <c r="C31" s="472" t="n"/>
      <c r="D31" s="472" t="n"/>
      <c r="E31" s="472" t="n"/>
      <c r="F31" s="472" t="n"/>
      <c r="G31" s="472" t="n"/>
      <c r="H31" s="472" t="n"/>
      <c r="I31" s="472" t="n"/>
      <c r="J31" s="472" t="n"/>
      <c r="K31" s="472" t="n"/>
      <c r="L31" s="472" t="n"/>
      <c r="M31" s="472" t="n"/>
      <c r="N31" s="472" t="n"/>
      <c r="O31" s="472" t="n"/>
      <c r="P31" s="472" t="n"/>
      <c r="Q31" s="472" t="n"/>
      <c r="R31" s="472" t="n"/>
      <c r="S31" s="472" t="n"/>
      <c r="T31" s="472" t="n"/>
      <c r="U31" s="472" t="n"/>
      <c r="V31" s="472" t="n"/>
      <c r="W31" s="472" t="n"/>
      <c r="X31" s="472" t="n"/>
      <c r="Y31" s="472" t="n"/>
      <c r="Z31" s="472" t="n"/>
      <c r="AA31" s="472" t="n"/>
      <c r="AB31" s="472" t="n"/>
      <c r="AC31" s="472" t="n"/>
      <c r="AD31" s="472" t="n"/>
      <c r="AE31" s="472" t="n"/>
      <c r="AF31" s="472" t="n"/>
      <c r="AG31" s="472" t="n"/>
      <c r="AH31" s="472" t="n"/>
      <c r="AI31" s="472" t="n"/>
      <c r="AJ31" s="472" t="n"/>
    </row>
    <row r="32">
      <c r="A32" s="483" t="n"/>
      <c r="B32" s="483" t="inlineStr">
        <is>
          <t>Summe</t>
        </is>
      </c>
      <c r="C32" s="483">
        <f>SUM(C20:C31)</f>
        <v/>
      </c>
      <c r="D32" s="483">
        <f>SUM(D20:D31)</f>
        <v/>
      </c>
      <c r="E32" s="483">
        <f>SUM(E20:E31)</f>
        <v/>
      </c>
      <c r="F32" s="483">
        <f>SUM(F20:F31)</f>
        <v/>
      </c>
      <c r="G32" s="483">
        <f>SUM(G20:G31)</f>
        <v/>
      </c>
      <c r="H32" s="483">
        <f>SUM(H20:H31)</f>
        <v/>
      </c>
      <c r="I32" s="483">
        <f>SUM(I20:I31)</f>
        <v/>
      </c>
      <c r="J32" s="483">
        <f>SUM(J20:J31)</f>
        <v/>
      </c>
      <c r="K32" s="483">
        <f>SUM(K20:K31)</f>
        <v/>
      </c>
      <c r="L32" s="483">
        <f>SUM(L20:L31)</f>
        <v/>
      </c>
      <c r="M32" s="483">
        <f>SUM(M20:M31)</f>
        <v/>
      </c>
      <c r="N32" s="483">
        <f>SUM(N20:N31)</f>
        <v/>
      </c>
      <c r="O32" s="483">
        <f>SUM(O20:O31)</f>
        <v/>
      </c>
      <c r="P32" s="483">
        <f>SUM(P20:P31)</f>
        <v/>
      </c>
      <c r="Q32" s="483">
        <f>SUM(Q20:Q31)</f>
        <v/>
      </c>
      <c r="R32" s="483">
        <f>SUM(R20:R31)</f>
        <v/>
      </c>
      <c r="S32" s="483">
        <f>SUM(S20:S31)</f>
        <v/>
      </c>
      <c r="T32" s="483">
        <f>SUM(T20:T28)</f>
        <v/>
      </c>
      <c r="U32" s="483">
        <f>SUM(U20:U28)</f>
        <v/>
      </c>
      <c r="V32" s="483" t="n"/>
      <c r="W32" s="483" t="n"/>
      <c r="X32" s="483" t="n"/>
      <c r="Y32" s="483" t="n"/>
      <c r="Z32" s="483" t="n"/>
      <c r="AA32" s="483" t="n"/>
      <c r="AB32" s="483" t="n"/>
      <c r="AC32" s="483" t="n"/>
      <c r="AD32" s="483" t="n"/>
      <c r="AE32" s="483" t="n"/>
      <c r="AF32" s="483" t="n"/>
      <c r="AG32" s="483" t="n"/>
      <c r="AH32" s="483" t="n"/>
      <c r="AI32" s="483" t="n"/>
      <c r="AJ32" s="483" t="n"/>
    </row>
    <row r="33">
      <c r="A33" s="11" t="n"/>
      <c r="B33" s="12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  <c r="M33" s="1" t="n"/>
      <c r="N33" s="1" t="n"/>
      <c r="O33" s="1" t="n"/>
      <c r="P33" s="1" t="n"/>
      <c r="Q33" s="1" t="n"/>
      <c r="R33" s="1" t="n"/>
      <c r="S33" s="12" t="n"/>
      <c r="T33" s="1" t="n"/>
      <c r="U33" s="1" t="n"/>
      <c r="V33" s="12" t="n"/>
      <c r="W33" s="17" t="n"/>
    </row>
    <row r="34">
      <c r="A34" s="475" t="n"/>
      <c r="B34" s="476" t="inlineStr">
        <is>
          <t>März</t>
        </is>
      </c>
      <c r="C34" s="475" t="n"/>
      <c r="D34" s="477" t="inlineStr">
        <is>
          <t>Arbeitstage</t>
        </is>
      </c>
      <c r="E34" s="475" t="n"/>
      <c r="F34" s="478" t="n">
        <v>23</v>
      </c>
      <c r="G34" s="479" t="n"/>
      <c r="H34" s="479" t="n"/>
      <c r="I34" s="477" t="inlineStr">
        <is>
          <t>Samstage</t>
        </is>
      </c>
      <c r="J34" s="475" t="n"/>
      <c r="K34" s="478" t="n">
        <v>4</v>
      </c>
      <c r="L34" s="475" t="n"/>
      <c r="M34" s="475" t="n"/>
      <c r="N34" s="475" t="n"/>
      <c r="O34" s="475" t="n"/>
      <c r="P34" s="475" t="n"/>
      <c r="Q34" s="475" t="n"/>
      <c r="R34" s="475" t="n"/>
      <c r="S34" s="475" t="n"/>
      <c r="T34" s="475" t="n"/>
      <c r="U34" s="475" t="n"/>
      <c r="V34" s="475" t="n"/>
      <c r="W34" s="475" t="n"/>
      <c r="X34" s="475" t="n"/>
      <c r="Y34" s="475" t="n"/>
      <c r="Z34" s="475" t="n"/>
      <c r="AA34" s="475" t="n"/>
      <c r="AB34" s="475" t="n"/>
      <c r="AC34" s="475" t="n"/>
      <c r="AD34" s="475" t="n"/>
      <c r="AE34" s="475" t="n"/>
      <c r="AF34" s="475" t="n"/>
      <c r="AG34" s="475" t="n"/>
      <c r="AH34" s="475" t="n"/>
      <c r="AI34" s="475" t="n"/>
      <c r="AJ34" s="475" t="n"/>
    </row>
    <row r="35">
      <c r="A35" s="480" t="n"/>
      <c r="B35" s="480" t="n"/>
      <c r="C35" s="480">
        <f>Jahr!C3</f>
        <v/>
      </c>
      <c r="D35" s="480">
        <f>Jahr!D3</f>
        <v/>
      </c>
      <c r="E35" s="480">
        <f>Jahr!E3</f>
        <v/>
      </c>
      <c r="F35" s="480">
        <f>Jahr!F3</f>
        <v/>
      </c>
      <c r="G35" s="480">
        <f>Jahr!G3</f>
        <v/>
      </c>
      <c r="H35" s="480">
        <f>Jahr!H3</f>
        <v/>
      </c>
      <c r="I35" s="480">
        <f>Jahr!I3</f>
        <v/>
      </c>
      <c r="J35" s="480">
        <f>Jahr!J3</f>
        <v/>
      </c>
      <c r="K35" s="480">
        <f>Jahr!K3</f>
        <v/>
      </c>
      <c r="L35" s="480">
        <f>Jahr!L3</f>
        <v/>
      </c>
      <c r="M35" s="480">
        <f>Jahr!M3</f>
        <v/>
      </c>
      <c r="N35" s="480">
        <f>Jahr!N3</f>
        <v/>
      </c>
      <c r="O35" s="480">
        <f>Jahr!O3</f>
        <v/>
      </c>
      <c r="P35" s="480">
        <f>Jahr!P3</f>
        <v/>
      </c>
      <c r="Q35" s="480">
        <f>Jahr!Q3</f>
        <v/>
      </c>
      <c r="R35" s="480">
        <f>Jahr!R3</f>
        <v/>
      </c>
      <c r="S35" s="480">
        <f>Jahr!S3</f>
        <v/>
      </c>
      <c r="T35" s="480" t="inlineStr">
        <is>
          <t>Soll AZ</t>
        </is>
      </c>
      <c r="U35" s="480" t="inlineStr">
        <is>
          <t>Ist AZ</t>
        </is>
      </c>
      <c r="V35" s="480" t="inlineStr">
        <is>
          <t>Differenz</t>
        </is>
      </c>
      <c r="W35" s="480" t="inlineStr">
        <is>
          <t>Gesamt</t>
        </is>
      </c>
      <c r="X35" s="480" t="n"/>
      <c r="Y35" s="480" t="n"/>
      <c r="Z35" s="480" t="n"/>
      <c r="AA35" s="480" t="n"/>
      <c r="AB35" s="480" t="n"/>
      <c r="AC35" s="480" t="n"/>
      <c r="AD35" s="480" t="n"/>
      <c r="AE35" s="480" t="n"/>
      <c r="AF35" s="480" t="n"/>
      <c r="AG35" s="480" t="n"/>
      <c r="AH35" s="480" t="n"/>
      <c r="AI35" s="480" t="n"/>
      <c r="AJ35" s="480" t="n"/>
    </row>
    <row r="36">
      <c r="A36" s="472" t="n"/>
      <c r="B36" s="471">
        <f>B4</f>
        <v/>
      </c>
      <c r="C36" s="472">
        <f>SUMPRODUCT((ISNUMBER(SEARCH($Y3,Dienstplan!$B$8:$B$19))*(ISNUMBER(SEARCH($AB$3,Dienstplan!$BK$8:$CO$19)))))-D36</f>
        <v/>
      </c>
      <c r="D36" s="472">
        <f>SUMPRODUCT((ISNUMBER(SEARCH($Y3,Dienstplan!$B$8:$B$19))*(ISNUMBER(SEARCH($AB$4,Dienstplan!$BK$8:$CO$19)))))</f>
        <v/>
      </c>
      <c r="E36" s="472">
        <f>SUMPRODUCT((ISNUMBER(SEARCH($Y3,Dienstplan!$B$8:$B$19))*(ISNUMBER(SEARCH($AB$5,Dienstplan!$BK$8:$CO$19)))))</f>
        <v/>
      </c>
      <c r="F36" s="472">
        <f>SUMPRODUCT((ISNUMBER(SEARCH($Y3,Dienstplan!$B$8:$B$19))*(ISNUMBER(SEARCH($AB$6,Dienstplan!$BK$8:$CO$19)))))</f>
        <v/>
      </c>
      <c r="G36" s="472">
        <f>SUMPRODUCT((ISNUMBER(SEARCH($Y3,Dienstplan!$B$8:$B$19))*(ISNUMBER(SEARCH($AB$7,Dienstplan!$BK$8:$CO$19)))))-H36</f>
        <v/>
      </c>
      <c r="H36" s="472">
        <f>SUMPRODUCT((ISNUMBER(SEARCH($Y3,Dienstplan!$B$8:$B$19))*(ISNUMBER(SEARCH($AB$8,Dienstplan!$BK$8:$CO$19)))))</f>
        <v/>
      </c>
      <c r="I36" s="472">
        <f>SUMPRODUCT((ISNUMBER(SEARCH($Y3,Dienstplan!$B$8:$B$19))*(ISNUMBER(SEARCH($AB$9,Dienstplan!$BK$8:$CO$19)))))</f>
        <v/>
      </c>
      <c r="J36" s="472">
        <f>SUMPRODUCT((ISNUMBER(SEARCH($Y3,Dienstplan!$B$8:$B$19))*(ISNUMBER(SEARCH($AB$10,Dienstplan!$BK$8:$CO$19)))))</f>
        <v/>
      </c>
      <c r="K36" s="472">
        <f>SUMPRODUCT((ISNUMBER(SEARCH($Y3,Dienstplan!$B$8:$B$19))*(ISNUMBER(SEARCH($AB$11,Dienstplan!$BK$8:$CO$19)))))-$Q36</f>
        <v/>
      </c>
      <c r="L36" s="472">
        <f>SUMPRODUCT((ISNUMBER(SEARCH($Y3,Dienstplan!$B$8:$B$19))*(ISNUMBER(SEARCH($AB$12,Dienstplan!$BK$8:$CO$19)))))</f>
        <v/>
      </c>
      <c r="M36" s="472">
        <f>SUMPRODUCT((ISNUMBER(SEARCH($Y3,Dienstplan!$B$8:$B$19))*(ISNUMBER(SEARCH($AB$13,Dienstplan!$BK$8:$CO$19)))))</f>
        <v/>
      </c>
      <c r="N36" s="472">
        <f>SUMPRODUCT((ISNUMBER(SEARCH($Y3,Dienstplan!$B$8:$B$19))*(ISNUMBER(SEARCH($AB$14,Dienstplan!$BK$8:$CO$19)))))</f>
        <v/>
      </c>
      <c r="O36" s="472">
        <f>SUMPRODUCT((ISNUMBER(SEARCH($Y3,Dienstplan!$B$8:$B$19))*(ISNUMBER(SEARCH($AB$15,Dienstplan!$BK$8:$CO$19)))))</f>
        <v/>
      </c>
      <c r="P36" s="472">
        <f>SUMPRODUCT((ISNUMBER(SEARCH($Y3,Dienstplan!$B$8:$B$19))*(ISNUMBER(SEARCH($AB$16,Dienstplan!$BK$8:$CO$19)))))</f>
        <v/>
      </c>
      <c r="Q36" s="472">
        <f>SUMPRODUCT((ISNUMBER(SEARCH($Y3,Dienstplan!$B$8:$B$19))*(ISNUMBER(SEARCH($AB$17,Dienstplan!$BK$8:$CO$19)))))</f>
        <v/>
      </c>
      <c r="R36" s="472">
        <f>SUMPRODUCT((ISNUMBER(SEARCH($Y3,Dienstplan!$B$8:$B$19))*(ISNUMBER(SEARCH($AB$18,Dienstplan!$BK$8:$CO$19)))))</f>
        <v/>
      </c>
      <c r="S36" s="472">
        <f>SUMPRODUCT((ISNUMBER(SEARCH($Y3,Dienstplan!$B$8:$B$19))*(ISNUMBER(SEARCH($AB$19,Dienstplan!$BK$8:$CO$19)))))</f>
        <v/>
      </c>
      <c r="T36" s="472">
        <f>SUM($F$34*$Z3)</f>
        <v/>
      </c>
      <c r="U36" s="472">
        <f>SUM($C36*Frueh_1+$D36*Spaet_1+$E36*Nacht_1+$F36*Normal_1+$I36*Sonderd_1-$J36*Velten+$K36*Velten+$L36*EH_Kurs+$M36*Koor_taet+$N36*Sekre_1+$O36*Velten+$R36*Velten+$P36*Velten+$Q36*Velten+G36*Velt_M+H36*Velt_M)</f>
        <v/>
      </c>
      <c r="V36" s="472">
        <f>SUM($U36-$T36)</f>
        <v/>
      </c>
      <c r="W36" s="472">
        <f>V36+W20</f>
        <v/>
      </c>
      <c r="X36" s="472" t="n"/>
      <c r="Y36" s="472" t="n"/>
      <c r="Z36" s="472" t="n"/>
      <c r="AA36" s="472" t="n"/>
      <c r="AB36" s="472" t="n"/>
      <c r="AC36" s="472" t="n"/>
      <c r="AD36" s="472" t="n"/>
      <c r="AE36" s="472" t="n"/>
      <c r="AF36" s="472" t="n"/>
      <c r="AG36" s="472" t="n"/>
      <c r="AH36" s="472" t="n"/>
      <c r="AI36" s="472" t="n"/>
      <c r="AJ36" s="472" t="n"/>
    </row>
    <row r="37">
      <c r="A37" s="472" t="n"/>
      <c r="B37" s="471">
        <f>B5</f>
        <v/>
      </c>
      <c r="C37" s="472">
        <f>SUMPRODUCT((ISNUMBER(SEARCH($Y4,Dienstplan!$B$8:$B$19))*(ISNUMBER(SEARCH($AB$3,Dienstplan!$BK$8:$CO$19)))))-D37</f>
        <v/>
      </c>
      <c r="D37" s="472">
        <f>SUMPRODUCT((ISNUMBER(SEARCH($Y4,Dienstplan!$B$8:$B$19))*(ISNUMBER(SEARCH($AB$4,Dienstplan!$BK$8:$CO$19)))))</f>
        <v/>
      </c>
      <c r="E37" s="472">
        <f>SUMPRODUCT((ISNUMBER(SEARCH($Y4,Dienstplan!$B$8:$B$19))*(ISNUMBER(SEARCH($AB$5,Dienstplan!$BK$8:$CO$19)))))</f>
        <v/>
      </c>
      <c r="F37" s="472">
        <f>SUMPRODUCT((ISNUMBER(SEARCH($Y4,Dienstplan!$B$8:$B$19))*(ISNUMBER(SEARCH($AB$6,Dienstplan!$BK$8:$CO$19)))))</f>
        <v/>
      </c>
      <c r="G37" s="472">
        <f>SUMPRODUCT((ISNUMBER(SEARCH($Y4,Dienstplan!$B$8:$B$19))*(ISNUMBER(SEARCH($AB$7,Dienstplan!$BK$8:$CO$19)))))-H37</f>
        <v/>
      </c>
      <c r="H37" s="472">
        <f>SUMPRODUCT((ISNUMBER(SEARCH($Y4,Dienstplan!$B$8:$B$19))*(ISNUMBER(SEARCH($AB$8,Dienstplan!$BK$8:$CO$19)))))</f>
        <v/>
      </c>
      <c r="I37" s="472">
        <f>SUMPRODUCT((ISNUMBER(SEARCH($Y4,Dienstplan!$B$8:$B$19))*(ISNUMBER(SEARCH($AB$9,Dienstplan!$BK$8:$CO$19)))))</f>
        <v/>
      </c>
      <c r="J37" s="472">
        <f>SUMPRODUCT((ISNUMBER(SEARCH($Y4,Dienstplan!$B$8:$B$19))*(ISNUMBER(SEARCH($AB$10,Dienstplan!$BK$8:$CO$19)))))</f>
        <v/>
      </c>
      <c r="K37" s="472">
        <f>SUMPRODUCT((ISNUMBER(SEARCH($Y4,Dienstplan!$B$8:$B$19))*(ISNUMBER(SEARCH($AB$11,Dienstplan!$BK$8:$CO$19)))))-$Q37</f>
        <v/>
      </c>
      <c r="L37" s="472">
        <f>SUMPRODUCT((ISNUMBER(SEARCH($Y4,Dienstplan!$B$8:$B$19))*(ISNUMBER(SEARCH($AB$12,Dienstplan!$BK$8:$CO$19)))))</f>
        <v/>
      </c>
      <c r="M37" s="472">
        <f>SUMPRODUCT((ISNUMBER(SEARCH($Y4,Dienstplan!$B$8:$B$19))*(ISNUMBER(SEARCH($AB$13,Dienstplan!$BK$8:$CO$19)))))</f>
        <v/>
      </c>
      <c r="N37" s="472">
        <f>SUMPRODUCT((ISNUMBER(SEARCH($Y4,Dienstplan!$B$8:$B$19))*(ISNUMBER(SEARCH($AB$14,Dienstplan!$BK$8:$CO$19)))))</f>
        <v/>
      </c>
      <c r="O37" s="472">
        <f>SUMPRODUCT((ISNUMBER(SEARCH($Y4,Dienstplan!$B$8:$B$19))*(ISNUMBER(SEARCH($AB$15,Dienstplan!$BK$8:$CO$19)))))</f>
        <v/>
      </c>
      <c r="P37" s="472">
        <f>SUMPRODUCT((ISNUMBER(SEARCH($Y4,Dienstplan!$B$8:$B$19))*(ISNUMBER(SEARCH($AB$16,Dienstplan!$BK$8:$CO$19)))))</f>
        <v/>
      </c>
      <c r="Q37" s="472">
        <f>SUMPRODUCT((ISNUMBER(SEARCH($Y4,Dienstplan!$B$8:$B$19))*(ISNUMBER(SEARCH($AB$17,Dienstplan!$BK$8:$CO$19)))))</f>
        <v/>
      </c>
      <c r="R37" s="472">
        <f>SUMPRODUCT((ISNUMBER(SEARCH($Y4,Dienstplan!$B$8:$B$19))*(ISNUMBER(SEARCH($AB$18,Dienstplan!$BK$8:$CO$19)))))</f>
        <v/>
      </c>
      <c r="S37" s="472">
        <f>SUMPRODUCT((ISNUMBER(SEARCH($Y4,Dienstplan!$B$8:$B$19))*(ISNUMBER(SEARCH($AB$19,Dienstplan!$BK$8:$CO$19)))))</f>
        <v/>
      </c>
      <c r="T37" s="472">
        <f>SUM($F$34*$Z4)</f>
        <v/>
      </c>
      <c r="U37" s="472">
        <f>SUM($C37*Frueh_1+$D37*Spaet_1+$E37*Nacht_1+$F37*Normal_1+$I37*Sonderd_1-$J37*Brue_H+$K37*Brue_H+$L37*EH_Kurs+$M37*Koor_taet+$N37*Sekre_1+$O37*Brue_H+$R37*Brue_H+$P37*Brue_H+$Q37*Brue_H+G37*Brue_H+H37*Brue_H)</f>
        <v/>
      </c>
      <c r="V37" s="472">
        <f>SUM($U37-$T37)</f>
        <v/>
      </c>
      <c r="W37" s="472">
        <f>V37+W21</f>
        <v/>
      </c>
      <c r="X37" s="472" t="n"/>
      <c r="Y37" s="472" t="n"/>
      <c r="Z37" s="472" t="n"/>
      <c r="AA37" s="472" t="n"/>
      <c r="AB37" s="472" t="n"/>
      <c r="AC37" s="472" t="n"/>
      <c r="AD37" s="472" t="n"/>
      <c r="AE37" s="472" t="n"/>
      <c r="AF37" s="472" t="n"/>
      <c r="AG37" s="472" t="n"/>
      <c r="AH37" s="472" t="n"/>
      <c r="AI37" s="472" t="n"/>
      <c r="AJ37" s="472" t="n"/>
    </row>
    <row r="38">
      <c r="A38" s="472" t="n"/>
      <c r="B38" s="471">
        <f>B6</f>
        <v/>
      </c>
      <c r="C38" s="472">
        <f>SUMPRODUCT((ISNUMBER(SEARCH($Y5,Dienstplan!$B$8:$B$19))*(ISNUMBER(SEARCH($AB$3,Dienstplan!$BK$8:$CO$19)))))-D38</f>
        <v/>
      </c>
      <c r="D38" s="472">
        <f>SUMPRODUCT((ISNUMBER(SEARCH($Y5,Dienstplan!$B$8:$B$19))*(ISNUMBER(SEARCH($AB$4,Dienstplan!$BK$8:$CO$19)))))</f>
        <v/>
      </c>
      <c r="E38" s="472">
        <f>SUMPRODUCT((ISNUMBER(SEARCH($Y5,Dienstplan!$B$8:$B$19))*(ISNUMBER(SEARCH($AB$5,Dienstplan!$BK$8:$CO$19)))))</f>
        <v/>
      </c>
      <c r="F38" s="472">
        <f>SUMPRODUCT((ISNUMBER(SEARCH($Y5,Dienstplan!$B$8:$B$19))*(ISNUMBER(SEARCH($AB$6,Dienstplan!$BK$8:$CO$19)))))</f>
        <v/>
      </c>
      <c r="G38" s="472">
        <f>SUMPRODUCT((ISNUMBER(SEARCH($Y5,Dienstplan!$B$8:$B$19))*(ISNUMBER(SEARCH($AB$7,Dienstplan!$BK$8:$CO$19)))))-H38</f>
        <v/>
      </c>
      <c r="H38" s="472">
        <f>SUMPRODUCT((ISNUMBER(SEARCH($Y5,Dienstplan!$B$8:$B$19))*(ISNUMBER(SEARCH($AB$8,Dienstplan!$BK$8:$CO$19)))))</f>
        <v/>
      </c>
      <c r="I38" s="472">
        <f>SUMPRODUCT((ISNUMBER(SEARCH($Y5,Dienstplan!$B$8:$B$19))*(ISNUMBER(SEARCH($AB$9,Dienstplan!$BK$8:$CO$19)))))</f>
        <v/>
      </c>
      <c r="J38" s="472">
        <f>SUMPRODUCT((ISNUMBER(SEARCH($Y5,Dienstplan!$B$8:$B$19))*(ISNUMBER(SEARCH($AB$10,Dienstplan!$BK$8:$CO$19)))))</f>
        <v/>
      </c>
      <c r="K38" s="472">
        <f>SUMPRODUCT((ISNUMBER(SEARCH($Y5,Dienstplan!$B$8:$B$19))*(ISNUMBER(SEARCH($AB$11,Dienstplan!$BK$8:$CO$19)))))-$Q38</f>
        <v/>
      </c>
      <c r="L38" s="472">
        <f>SUMPRODUCT((ISNUMBER(SEARCH($Y5,Dienstplan!$B$8:$B$19))*(ISNUMBER(SEARCH($AB$12,Dienstplan!$BK$8:$CO$19)))))</f>
        <v/>
      </c>
      <c r="M38" s="472">
        <f>SUMPRODUCT((ISNUMBER(SEARCH($Y5,Dienstplan!$B$8:$B$19))*(ISNUMBER(SEARCH($AB$13,Dienstplan!$BK$8:$CO$19)))))</f>
        <v/>
      </c>
      <c r="N38" s="472">
        <f>SUMPRODUCT((ISNUMBER(SEARCH($Y5,Dienstplan!$B$8:$B$19))*(ISNUMBER(SEARCH($AB$14,Dienstplan!$BK$8:$CO$19)))))</f>
        <v/>
      </c>
      <c r="O38" s="472">
        <f>SUMPRODUCT((ISNUMBER(SEARCH($Y5,Dienstplan!$B$8:$B$19))*(ISNUMBER(SEARCH($AB$15,Dienstplan!$BK$8:$CO$19)))))</f>
        <v/>
      </c>
      <c r="P38" s="472">
        <f>SUMPRODUCT((ISNUMBER(SEARCH($Y5,Dienstplan!$B$8:$B$19))*(ISNUMBER(SEARCH($AB$16,Dienstplan!$BK$8:$CO$19)))))</f>
        <v/>
      </c>
      <c r="Q38" s="472">
        <f>SUMPRODUCT((ISNUMBER(SEARCH($Y5,Dienstplan!$B$8:$B$19))*(ISNUMBER(SEARCH($AB$17,Dienstplan!$BK$8:$CO$19)))))</f>
        <v/>
      </c>
      <c r="R38" s="472">
        <f>SUMPRODUCT((ISNUMBER(SEARCH($Y5,Dienstplan!$B$8:$B$19))*(ISNUMBER(SEARCH($AB$18,Dienstplan!$BK$8:$CO$19)))))</f>
        <v/>
      </c>
      <c r="S38" s="472">
        <f>SUMPRODUCT((ISNUMBER(SEARCH($Y5,Dienstplan!$B$8:$B$19))*(ISNUMBER(SEARCH($AB$19,Dienstplan!$BK$8:$CO$19)))))</f>
        <v/>
      </c>
      <c r="T38" s="472">
        <f>SUM($F$34*$Z5)</f>
        <v/>
      </c>
      <c r="U38" s="472">
        <f>SUM($C38*Frueh_1+$D38*Spaet_1+$E38*Nacht_1+$F38*Normal_1+$I38*Sonderd_1-$J38*Rath_M+$K38*Rath_M+$L38*EH_Kurs+$M38*Koor_taet+$N38*Sekre_1+$O38*Rath_M+$R38*Rath_M+$P38*Rath_M+$Q38*Rath_M+G38*Rath_M+H38*Rath_M)</f>
        <v/>
      </c>
      <c r="V38" s="472">
        <f>SUM($U38-$T38)</f>
        <v/>
      </c>
      <c r="W38" s="472">
        <f>V38+W22</f>
        <v/>
      </c>
      <c r="X38" s="472" t="n"/>
      <c r="Y38" s="472" t="n"/>
      <c r="Z38" s="472" t="n"/>
      <c r="AA38" s="472" t="n"/>
      <c r="AB38" s="472" t="n"/>
      <c r="AC38" s="472" t="n"/>
      <c r="AD38" s="472" t="n"/>
      <c r="AE38" s="472" t="n"/>
      <c r="AF38" s="472" t="n"/>
      <c r="AG38" s="472" t="n"/>
      <c r="AH38" s="472" t="n"/>
      <c r="AI38" s="472" t="n"/>
      <c r="AJ38" s="472" t="n"/>
    </row>
    <row r="39">
      <c r="A39" s="472" t="n"/>
      <c r="B39" s="471">
        <f>B7</f>
        <v/>
      </c>
      <c r="C39" s="472">
        <f>SUMPRODUCT((ISNUMBER(SEARCH($Y6,Dienstplan!$B$8:$B$19))*(ISNUMBER(SEARCH($AB$3,Dienstplan!$BK$8:$CO$19)))))-D39</f>
        <v/>
      </c>
      <c r="D39" s="472">
        <f>SUMPRODUCT((ISNUMBER(SEARCH($Y6,Dienstplan!$B$8:$B$19))*(ISNUMBER(SEARCH($AB$4,Dienstplan!$BK$8:$CO$19)))))</f>
        <v/>
      </c>
      <c r="E39" s="472">
        <f>SUMPRODUCT((ISNUMBER(SEARCH($Y6,Dienstplan!$B$8:$B$19))*(ISNUMBER(SEARCH($AB$5,Dienstplan!$BK$8:$CO$19)))))</f>
        <v/>
      </c>
      <c r="F39" s="472">
        <f>SUMPRODUCT((ISNUMBER(SEARCH($Y6,Dienstplan!$B$8:$B$19))*(ISNUMBER(SEARCH($AB$6,Dienstplan!$BK$8:$CO$19)))))</f>
        <v/>
      </c>
      <c r="G39" s="472">
        <f>SUMPRODUCT((ISNUMBER(SEARCH($Y6,Dienstplan!$B$8:$B$19))*(ISNUMBER(SEARCH($AB$7,Dienstplan!$BK$8:$CO$19)))))-H39</f>
        <v/>
      </c>
      <c r="H39" s="472">
        <f>SUMPRODUCT((ISNUMBER(SEARCH($Y6,Dienstplan!$B$8:$B$19))*(ISNUMBER(SEARCH($AB$8,Dienstplan!$BK$8:$CO$19)))))</f>
        <v/>
      </c>
      <c r="I39" s="472">
        <f>SUMPRODUCT((ISNUMBER(SEARCH($Y6,Dienstplan!$B$8:$B$19))*(ISNUMBER(SEARCH($AB$9,Dienstplan!$BK$8:$CO$19)))))</f>
        <v/>
      </c>
      <c r="J39" s="472">
        <f>SUMPRODUCT((ISNUMBER(SEARCH($Y6,Dienstplan!$B$8:$B$19))*(ISNUMBER(SEARCH($AB$10,Dienstplan!$BK$8:$CO$19)))))</f>
        <v/>
      </c>
      <c r="K39" s="472">
        <f>SUMPRODUCT((ISNUMBER(SEARCH($Y6,Dienstplan!$B$8:$B$19))*(ISNUMBER(SEARCH($AB$11,Dienstplan!$BK$8:$CO$19)))))-$Q39</f>
        <v/>
      </c>
      <c r="L39" s="472">
        <f>SUMPRODUCT((ISNUMBER(SEARCH($Y6,Dienstplan!$B$8:$B$19))*(ISNUMBER(SEARCH($AB$12,Dienstplan!$BK$8:$CO$19)))))</f>
        <v/>
      </c>
      <c r="M39" s="472">
        <f>SUMPRODUCT((ISNUMBER(SEARCH($Y6,Dienstplan!$B$8:$B$19))*(ISNUMBER(SEARCH($AB$13,Dienstplan!$BK$8:$CO$19)))))</f>
        <v/>
      </c>
      <c r="N39" s="472">
        <f>SUMPRODUCT((ISNUMBER(SEARCH($Y6,Dienstplan!$B$8:$B$19))*(ISNUMBER(SEARCH($AB$14,Dienstplan!$BK$8:$CO$19)))))</f>
        <v/>
      </c>
      <c r="O39" s="472">
        <f>SUMPRODUCT((ISNUMBER(SEARCH($Y6,Dienstplan!$B$8:$B$19))*(ISNUMBER(SEARCH($AB$15,Dienstplan!$BK$8:$CO$19)))))</f>
        <v/>
      </c>
      <c r="P39" s="472">
        <f>SUMPRODUCT((ISNUMBER(SEARCH($Y6,Dienstplan!$B$8:$B$19))*(ISNUMBER(SEARCH($AB$16,Dienstplan!$BK$8:$CO$19)))))</f>
        <v/>
      </c>
      <c r="Q39" s="472">
        <f>SUMPRODUCT((ISNUMBER(SEARCH($Y6,Dienstplan!$B$8:$B$19))*(ISNUMBER(SEARCH($AB$17,Dienstplan!$BK$8:$CO$19)))))</f>
        <v/>
      </c>
      <c r="R39" s="472">
        <f>SUMPRODUCT((ISNUMBER(SEARCH($Y6,Dienstplan!$B$8:$B$19))*(ISNUMBER(SEARCH($AB$18,Dienstplan!$BK$8:$CO$19)))))</f>
        <v/>
      </c>
      <c r="S39" s="472">
        <f>SUMPRODUCT((ISNUMBER(SEARCH($Y6,Dienstplan!$B$8:$B$19))*(ISNUMBER(SEARCH($AB$19,Dienstplan!$BK$8:$CO$19)))))</f>
        <v/>
      </c>
      <c r="T39" s="472">
        <f>SUM($F$34*$Z6)</f>
        <v/>
      </c>
      <c r="U39" s="472">
        <f>SUM($C39*Frueh_1+$D39*Spaet_1+$E39*Nacht_1+$F39*Normal_1+$I39*Sonderd_1-$J39*Scho_K+$K39*Scho_K+$L39*EH_Kurs+$M39*Koor_taet+$N39*Sekre_1+$O39*Scho_K+$R39*Scho_K+$P39*Scho_K+$Q39*Scho_K+G39*Scho_K+H39)</f>
        <v/>
      </c>
      <c r="V39" s="472">
        <f>SUM($U39-$T39)</f>
        <v/>
      </c>
      <c r="W39" s="472">
        <f>V39+W23</f>
        <v/>
      </c>
      <c r="X39" s="472" t="n"/>
      <c r="Y39" s="472" t="n"/>
      <c r="Z39" s="472" t="n"/>
      <c r="AA39" s="472" t="n"/>
      <c r="AB39" s="472" t="n"/>
      <c r="AC39" s="472" t="n"/>
      <c r="AD39" s="472" t="n"/>
      <c r="AE39" s="472" t="n"/>
      <c r="AF39" s="472" t="n"/>
      <c r="AG39" s="472" t="n"/>
      <c r="AH39" s="472" t="n"/>
      <c r="AI39" s="472" t="n"/>
      <c r="AJ39" s="472" t="n"/>
    </row>
    <row r="40">
      <c r="A40" s="472" t="n"/>
      <c r="B40" s="471">
        <f>B8</f>
        <v/>
      </c>
      <c r="C40" s="472">
        <f>SUMPRODUCT((ISNUMBER(SEARCH($Y7,Dienstplan!$B$8:$B$19))*(ISNUMBER(SEARCH($AB$3,Dienstplan!$BK$8:$CO$19)))))-D40</f>
        <v/>
      </c>
      <c r="D40" s="472">
        <f>SUMPRODUCT((ISNUMBER(SEARCH($Y7,Dienstplan!$B$8:$B$19))*(ISNUMBER(SEARCH($AB$4,Dienstplan!$BK$8:$CO$19)))))</f>
        <v/>
      </c>
      <c r="E40" s="472">
        <f>SUMPRODUCT((ISNUMBER(SEARCH($Y7,Dienstplan!$B$8:$B$19))*(ISNUMBER(SEARCH($AB$5,Dienstplan!$BK$8:$CO$19)))))</f>
        <v/>
      </c>
      <c r="F40" s="472">
        <f>SUMPRODUCT((ISNUMBER(SEARCH($Y7,Dienstplan!$B$8:$B$19))*(ISNUMBER(SEARCH($AB$6,Dienstplan!$BK$8:$CO$19)))))</f>
        <v/>
      </c>
      <c r="G40" s="472">
        <f>SUMPRODUCT((ISNUMBER(SEARCH($Y7,Dienstplan!$B$8:$B$19))*(ISNUMBER(SEARCH($AB$7,Dienstplan!$BK$8:$CO$19)))))-H40</f>
        <v/>
      </c>
      <c r="H40" s="472">
        <f>SUMPRODUCT((ISNUMBER(SEARCH($Y7,Dienstplan!$B$8:$B$19))*(ISNUMBER(SEARCH($AB$8,Dienstplan!$BK$8:$CO$19)))))</f>
        <v/>
      </c>
      <c r="I40" s="472">
        <f>SUMPRODUCT((ISNUMBER(SEARCH($Y7,Dienstplan!$B$8:$B$19))*(ISNUMBER(SEARCH($AB$9,Dienstplan!$BK$8:$CO$19)))))</f>
        <v/>
      </c>
      <c r="J40" s="472">
        <f>SUMPRODUCT((ISNUMBER(SEARCH($Y7,Dienstplan!$B$8:$B$19))*(ISNUMBER(SEARCH($AB$10,Dienstplan!$BK$8:$CO$19)))))</f>
        <v/>
      </c>
      <c r="K40" s="472">
        <f>SUMPRODUCT((ISNUMBER(SEARCH($Y7,Dienstplan!$B$8:$B$19))*(ISNUMBER(SEARCH($AB$11,Dienstplan!$BK$8:$CO$19)))))-$Q40</f>
        <v/>
      </c>
      <c r="L40" s="472">
        <f>SUMPRODUCT((ISNUMBER(SEARCH($Y7,Dienstplan!$B$8:$B$19))*(ISNUMBER(SEARCH($AB$12,Dienstplan!$BK$8:$CO$19)))))</f>
        <v/>
      </c>
      <c r="M40" s="472">
        <f>SUMPRODUCT((ISNUMBER(SEARCH($Y7,Dienstplan!$B$8:$B$19))*(ISNUMBER(SEARCH($AB$13,Dienstplan!$BK$8:$CO$19)))))</f>
        <v/>
      </c>
      <c r="N40" s="472">
        <f>SUMPRODUCT((ISNUMBER(SEARCH($Y7,Dienstplan!$B$8:$B$19))*(ISNUMBER(SEARCH($AB$14,Dienstplan!$BK$8:$CO$19)))))</f>
        <v/>
      </c>
      <c r="O40" s="472">
        <f>SUMPRODUCT((ISNUMBER(SEARCH($Y7,Dienstplan!$B$8:$B$19))*(ISNUMBER(SEARCH($AB$15,Dienstplan!$BK$8:$CO$19)))))</f>
        <v/>
      </c>
      <c r="P40" s="472">
        <f>SUMPRODUCT((ISNUMBER(SEARCH($Y7,Dienstplan!$B$8:$B$19))*(ISNUMBER(SEARCH($AB$16,Dienstplan!$BK$8:$CO$19)))))</f>
        <v/>
      </c>
      <c r="Q40" s="472">
        <f>SUMPRODUCT((ISNUMBER(SEARCH($Y7,Dienstplan!$B$8:$B$19))*(ISNUMBER(SEARCH($AB$17,Dienstplan!$BK$8:$CO$19)))))</f>
        <v/>
      </c>
      <c r="R40" s="472">
        <f>SUMPRODUCT((ISNUMBER(SEARCH($Y7,Dienstplan!$B$8:$B$19))*(ISNUMBER(SEARCH($AB$18,Dienstplan!$BK$8:$CO$19)))))</f>
        <v/>
      </c>
      <c r="S40" s="472">
        <f>SUMPRODUCT((ISNUMBER(SEARCH($Y7,Dienstplan!$B$8:$B$19))*(ISNUMBER(SEARCH($AB$19,Dienstplan!$BK$8:$CO$19)))))</f>
        <v/>
      </c>
      <c r="T40" s="472">
        <f>SUM($F$34*$Z7)</f>
        <v/>
      </c>
      <c r="U40" s="472">
        <f>SUM($C40*Frueh_1+$D40*Spaet_1+$E40*Nacht_1+$F40*Normal_1+$I40*Sonderd_1-$J40*Krie_B+$K40*Krie_B+$L40*EH_Kurs+$M40*Koor_taet+$N40*Sekre_1+$O40*Krie_B+$R40*Krie_B+$P40*Krie_B+$Q40*Krie_B+G40*Krie_B+H40*Krie_B)</f>
        <v/>
      </c>
      <c r="V40" s="472">
        <f>SUM($U40-$T40)</f>
        <v/>
      </c>
      <c r="W40" s="472">
        <f>V40+W24</f>
        <v/>
      </c>
      <c r="X40" s="472" t="n"/>
      <c r="Y40" s="472" t="n"/>
      <c r="Z40" s="472" t="n"/>
      <c r="AA40" s="472" t="n"/>
      <c r="AB40" s="472" t="n"/>
      <c r="AC40" s="472" t="n"/>
      <c r="AD40" s="472" t="n"/>
      <c r="AE40" s="472" t="n"/>
      <c r="AF40" s="472" t="n"/>
      <c r="AG40" s="472" t="n"/>
      <c r="AH40" s="472" t="n"/>
      <c r="AI40" s="472" t="n"/>
      <c r="AJ40" s="472" t="n"/>
    </row>
    <row r="41">
      <c r="A41" s="472" t="n"/>
      <c r="B41" s="471">
        <f>B9</f>
        <v/>
      </c>
      <c r="C41" s="472">
        <f>SUMPRODUCT((ISNUMBER(SEARCH($Y8,Dienstplan!$B$8:$B$19))*(ISNUMBER(SEARCH($AB$3,Dienstplan!$BK$8:$CO$19)))))-D41</f>
        <v/>
      </c>
      <c r="D41" s="472">
        <f>SUMPRODUCT((ISNUMBER(SEARCH($Y8,Dienstplan!$B$8:$B$19))*(ISNUMBER(SEARCH($AB$4,Dienstplan!$BK$8:$CO$19)))))</f>
        <v/>
      </c>
      <c r="E41" s="472">
        <f>SUMPRODUCT((ISNUMBER(SEARCH($Y8,Dienstplan!$B$8:$B$19))*(ISNUMBER(SEARCH($AB$5,Dienstplan!$BK$8:$CO$19)))))</f>
        <v/>
      </c>
      <c r="F41" s="472">
        <f>SUMPRODUCT((ISNUMBER(SEARCH($Y8,Dienstplan!$B$8:$B$19))*(ISNUMBER(SEARCH($AB$6,Dienstplan!$BK$8:$CO$19)))))</f>
        <v/>
      </c>
      <c r="G41" s="472">
        <f>SUMPRODUCT((ISNUMBER(SEARCH($Y8,Dienstplan!$B$8:$B$19))*(ISNUMBER(SEARCH($AB$7,Dienstplan!$BK$8:$CO$19)))))-H41</f>
        <v/>
      </c>
      <c r="H41" s="472">
        <f>SUMPRODUCT((ISNUMBER(SEARCH($Y8,Dienstplan!$B$8:$B$19))*(ISNUMBER(SEARCH($AB$8,Dienstplan!$BK$8:$CO$19)))))</f>
        <v/>
      </c>
      <c r="I41" s="472">
        <f>SUMPRODUCT((ISNUMBER(SEARCH($Y8,Dienstplan!$B$8:$B$19))*(ISNUMBER(SEARCH($AB$9,Dienstplan!$BK$8:$CO$19)))))</f>
        <v/>
      </c>
      <c r="J41" s="472">
        <f>SUMPRODUCT((ISNUMBER(SEARCH($Y8,Dienstplan!$B$8:$B$19))*(ISNUMBER(SEARCH($AB$10,Dienstplan!$BK$8:$CO$19)))))</f>
        <v/>
      </c>
      <c r="K41" s="472">
        <f>SUMPRODUCT((ISNUMBER(SEARCH($Y8,Dienstplan!$B$8:$B$19))*(ISNUMBER(SEARCH($AB$11,Dienstplan!$BK$8:$CO$19)))))-$Q41</f>
        <v/>
      </c>
      <c r="L41" s="472">
        <f>SUMPRODUCT((ISNUMBER(SEARCH($Y8,Dienstplan!$B$8:$B$19))*(ISNUMBER(SEARCH($AB$12,Dienstplan!$BK$8:$CO$19)))))</f>
        <v/>
      </c>
      <c r="M41" s="472">
        <f>SUMPRODUCT((ISNUMBER(SEARCH($Y8,Dienstplan!$B$8:$B$19))*(ISNUMBER(SEARCH($AB$13,Dienstplan!$BK$8:$CO$19)))))</f>
        <v/>
      </c>
      <c r="N41" s="472">
        <f>SUMPRODUCT((ISNUMBER(SEARCH($Y8,Dienstplan!$B$8:$B$19))*(ISNUMBER(SEARCH($AB$14,Dienstplan!$BK$8:$CO$19)))))</f>
        <v/>
      </c>
      <c r="O41" s="472">
        <f>SUMPRODUCT((ISNUMBER(SEARCH($Y8,Dienstplan!$B$8:$B$19))*(ISNUMBER(SEARCH($AB$15,Dienstplan!$BK$8:$CO$19)))))</f>
        <v/>
      </c>
      <c r="P41" s="472">
        <f>SUMPRODUCT((ISNUMBER(SEARCH($Y8,Dienstplan!$B$8:$B$19))*(ISNUMBER(SEARCH($AB$16,Dienstplan!$BK$8:$CO$19)))))</f>
        <v/>
      </c>
      <c r="Q41" s="472">
        <f>SUMPRODUCT((ISNUMBER(SEARCH($Y8,Dienstplan!$B$8:$B$19))*(ISNUMBER(SEARCH($AB$17,Dienstplan!$BK$8:$CO$19)))))</f>
        <v/>
      </c>
      <c r="R41" s="472">
        <f>SUMPRODUCT((ISNUMBER(SEARCH($Y8,Dienstplan!$B$8:$B$19))*(ISNUMBER(SEARCH($AB$18,Dienstplan!$BK$8:$CO$19)))))</f>
        <v/>
      </c>
      <c r="S41" s="472">
        <f>SUMPRODUCT((ISNUMBER(SEARCH($Y8,Dienstplan!$B$8:$B$19))*(ISNUMBER(SEARCH($AB$19,Dienstplan!$BK$8:$CO$19)))))</f>
        <v/>
      </c>
      <c r="T41" s="472">
        <f>SUM($F$34*$Z8)</f>
        <v/>
      </c>
      <c r="U41" s="472">
        <f>SUM($C41*Frueh_1+$D41*Spaet_1+$E41*Nacht_1+$F41*Normal_1+$I41*Sonderd_1-$J41*Muster+$K41*Muster+$L41*EH_Kurs+$M41*Koor_taet+$N41*Sekre_1+$O41*Muster+$P41*Muster+$Q41*Muster+$R41*Muster+G41*Muster+H41*Muster)</f>
        <v/>
      </c>
      <c r="V41" s="472">
        <f>SUM($U41-$T41)</f>
        <v/>
      </c>
      <c r="W41" s="472">
        <f>V41+W25</f>
        <v/>
      </c>
      <c r="X41" s="472" t="n"/>
      <c r="Y41" s="472" t="n"/>
      <c r="Z41" s="472" t="n"/>
      <c r="AA41" s="472" t="n"/>
      <c r="AB41" s="472" t="n"/>
      <c r="AC41" s="472" t="n"/>
      <c r="AD41" s="472" t="n"/>
      <c r="AE41" s="472" t="n"/>
      <c r="AF41" s="472" t="n"/>
      <c r="AG41" s="472" t="n"/>
      <c r="AH41" s="472" t="n"/>
      <c r="AI41" s="472" t="n"/>
      <c r="AJ41" s="472" t="n"/>
    </row>
    <row r="42">
      <c r="A42" s="472" t="n"/>
      <c r="B42" s="471">
        <f>B10</f>
        <v/>
      </c>
      <c r="C42" s="472">
        <f t="array" ref="C42">SUMPRODUCT((ISNUMBER(SEARCH($Y9,Dienstplan!$B$8:$B$19))*(ISNUMBER(SEARCH($AB$3,Dienstplan!$BK$8:$CO$19)))))-D42</f>
        <v/>
      </c>
      <c r="D42" s="472">
        <f t="array" ref="D42">SUMPRODUCT((ISNUMBER(SEARCH($Y9,Dienstplan!$B$8:$B$19))*(ISNUMBER(SEARCH($AB$4,Dienstplan!$BK$8:$CO$19)))))</f>
        <v/>
      </c>
      <c r="E42" s="472">
        <f t="array" ref="E42">SUMPRODUCT((ISNUMBER(SEARCH($Y9,Dienstplan!$B$8:$B$19))*(ISNUMBER(SEARCH($AB$5,Dienstplan!$BK$8:$CO$19)))))</f>
        <v/>
      </c>
      <c r="F42" s="472">
        <f t="array" ref="F42">SUMPRODUCT((ISNUMBER(SEARCH($Y9,Dienstplan!$B$8:$B$19))*(ISNUMBER(SEARCH($AB$6,Dienstplan!$BK$8:$CO$19)))))</f>
        <v/>
      </c>
      <c r="G42" s="472">
        <f>SUMPRODUCT((ISNUMBER(SEARCH($Y9,Dienstplan!$B$8:$B$19))*(ISNUMBER(SEARCH($AB$7,Dienstplan!$BK$8:$CO$19)))))-H42</f>
        <v/>
      </c>
      <c r="H42" s="472">
        <f>SUMPRODUCT((ISNUMBER(SEARCH($Y9,Dienstplan!$B$8:$B$19))*(ISNUMBER(SEARCH($AB$8,Dienstplan!$BK$8:$CO$19)))))</f>
        <v/>
      </c>
      <c r="I42" s="472">
        <f>SUMPRODUCT((ISNUMBER(SEARCH($Y9,Dienstplan!$B$8:$B$19))*(ISNUMBER(SEARCH($AB$9,Dienstplan!$BK$8:$CO$19)))))</f>
        <v/>
      </c>
      <c r="J42" s="472">
        <f>SUMPRODUCT((ISNUMBER(SEARCH($Y9,Dienstplan!$B$8:$B$19))*(ISNUMBER(SEARCH($AB$10,Dienstplan!$BK$8:$CO$19)))))</f>
        <v/>
      </c>
      <c r="K42" s="472">
        <f>SUMPRODUCT((ISNUMBER(SEARCH($Y9,Dienstplan!$B$8:$B$19))*(ISNUMBER(SEARCH($AB$11,Dienstplan!$BK$8:$CO$19)))))-$Q42</f>
        <v/>
      </c>
      <c r="L42" s="472">
        <f>SUMPRODUCT((ISNUMBER(SEARCH($Y9,Dienstplan!$B$8:$B$19))*(ISNUMBER(SEARCH($AB$12,Dienstplan!$BK$8:$CO$19)))))</f>
        <v/>
      </c>
      <c r="M42" s="472">
        <f>SUMPRODUCT((ISNUMBER(SEARCH($Y9,Dienstplan!$B$8:$B$19))*(ISNUMBER(SEARCH($AB$13,Dienstplan!$BK$8:$CO$19)))))</f>
        <v/>
      </c>
      <c r="N42" s="472">
        <f>SUMPRODUCT((ISNUMBER(SEARCH($Y9,Dienstplan!$B$8:$B$19))*(ISNUMBER(SEARCH($AB$14,Dienstplan!$BK$8:$CO$19)))))</f>
        <v/>
      </c>
      <c r="O42" s="472">
        <f>SUMPRODUCT((ISNUMBER(SEARCH($Y9,Dienstplan!$B$8:$B$19))*(ISNUMBER(SEARCH($AB$15,Dienstplan!$BK$8:$CO$19)))))</f>
        <v/>
      </c>
      <c r="P42" s="472">
        <f>SUMPRODUCT((ISNUMBER(SEARCH($Y9,Dienstplan!$B$8:$B$19))*(ISNUMBER(SEARCH($AB$16,Dienstplan!$BK$8:$CO$19)))))</f>
        <v/>
      </c>
      <c r="Q42" s="472">
        <f>SUMPRODUCT((ISNUMBER(SEARCH($Y9,Dienstplan!$B$8:$B$19))*(ISNUMBER(SEARCH($AB$17,Dienstplan!$BK$8:$CO$19)))))</f>
        <v/>
      </c>
      <c r="R42" s="472">
        <f>SUMPRODUCT((ISNUMBER(SEARCH($Y9,Dienstplan!$B$8:$B$19))*(ISNUMBER(SEARCH($AB$18,Dienstplan!$BK$8:$CO$19)))))</f>
        <v/>
      </c>
      <c r="S42" s="472">
        <f>SUMPRODUCT((ISNUMBER(SEARCH($Y9,Dienstplan!$B$8:$B$19))*(ISNUMBER(SEARCH($AB$19,Dienstplan!$BK$8:$CO$19)))))</f>
        <v/>
      </c>
      <c r="T42" s="472">
        <f>SUM($F$34*$Z9)</f>
        <v/>
      </c>
      <c r="U42" s="472">
        <f>SUM($C42*Frueh_1+$D42*Spaet_1+$E42*Nacht_1+$F42*Normal_1+$I42*Sonderd_1-$J42*Muster+$K42*Muster+$L42*EH_Kurs+$M42*Koor_taet+$N42*Sekre_1+$O42*Muster+$P42*Muster+$Q42*Muster+$R42*Muster+G42*Muster+H42*Muster)</f>
        <v/>
      </c>
      <c r="V42" s="472">
        <f>SUM($U42-$T42)</f>
        <v/>
      </c>
      <c r="W42" s="472">
        <f>V42+W26</f>
        <v/>
      </c>
      <c r="X42" s="472" t="n"/>
      <c r="Y42" s="472" t="n"/>
      <c r="Z42" s="472" t="n"/>
      <c r="AA42" s="472" t="n"/>
      <c r="AB42" s="472" t="n"/>
      <c r="AC42" s="472" t="n"/>
      <c r="AD42" s="472" t="n"/>
      <c r="AE42" s="472" t="n"/>
      <c r="AF42" s="472" t="n"/>
      <c r="AG42" s="472" t="n"/>
      <c r="AH42" s="472" t="n"/>
      <c r="AI42" s="472" t="n"/>
      <c r="AJ42" s="472" t="n"/>
    </row>
    <row r="43">
      <c r="A43" s="472" t="n"/>
      <c r="B43" s="471">
        <f>B11</f>
        <v/>
      </c>
      <c r="C43" s="472">
        <f>SUMPRODUCT((ISNUMBER(SEARCH($Y10,Dienstplan!$B$8:$B$19))*(ISNUMBER(SEARCH($AB$3,Dienstplan!$BK$8:$CO$19)))))-D43</f>
        <v/>
      </c>
      <c r="D43" s="472">
        <f>SUMPRODUCT((ISNUMBER(SEARCH($Y10,Dienstplan!$B$8:$B$19))*(ISNUMBER(SEARCH($AB$4,Dienstplan!$BK$8:$CO$19)))))</f>
        <v/>
      </c>
      <c r="E43" s="472">
        <f>SUMPRODUCT((ISNUMBER(SEARCH($Y10,Dienstplan!$B$8:$B$19))*(ISNUMBER(SEARCH($AB$5,Dienstplan!$BK$8:$CO$19)))))</f>
        <v/>
      </c>
      <c r="F43" s="472">
        <f>SUMPRODUCT((ISNUMBER(SEARCH($Y10,Dienstplan!$B$8:$B$19))*(ISNUMBER(SEARCH($AB$6,Dienstplan!$BK$8:$CO$19)))))</f>
        <v/>
      </c>
      <c r="G43" s="472">
        <f>SUMPRODUCT((ISNUMBER(SEARCH($Y10,Dienstplan!$B$8:$B$19))*(ISNUMBER(SEARCH($AB$7,Dienstplan!$BK$8:$CO$19)))))-H43</f>
        <v/>
      </c>
      <c r="H43" s="472">
        <f>SUMPRODUCT((ISNUMBER(SEARCH($Y10,Dienstplan!$B$8:$B$19))*(ISNUMBER(SEARCH($AB$8,Dienstplan!$BK$8:$CO$19)))))</f>
        <v/>
      </c>
      <c r="I43" s="472">
        <f>SUMPRODUCT((ISNUMBER(SEARCH($Y10,Dienstplan!$B$8:$B$19))*(ISNUMBER(SEARCH($AB$9,Dienstplan!$BK$8:$CO$19)))))</f>
        <v/>
      </c>
      <c r="J43" s="472">
        <f>SUMPRODUCT((ISNUMBER(SEARCH($Y10,Dienstplan!$B$8:$B$19))*(ISNUMBER(SEARCH($AB$10,Dienstplan!$BK$8:$CO$19)))))</f>
        <v/>
      </c>
      <c r="K43" s="472">
        <f>SUMPRODUCT((ISNUMBER(SEARCH($Y10,Dienstplan!$B$8:$B$19))*(ISNUMBER(SEARCH($AB$11,Dienstplan!$BK$8:$CO$19)))))-$Q43</f>
        <v/>
      </c>
      <c r="L43" s="472">
        <f>SUMPRODUCT((ISNUMBER(SEARCH($Y10,Dienstplan!$B$8:$B$19))*(ISNUMBER(SEARCH($AB$12,Dienstplan!$BK$8:$CO$19)))))</f>
        <v/>
      </c>
      <c r="M43" s="472">
        <f>SUMPRODUCT((ISNUMBER(SEARCH($Y10,Dienstplan!$B$8:$B$19))*(ISNUMBER(SEARCH($AB$13,Dienstplan!$BK$8:$CO$19)))))</f>
        <v/>
      </c>
      <c r="N43" s="472">
        <f>SUMPRODUCT((ISNUMBER(SEARCH($Y10,Dienstplan!$B$8:$B$19))*(ISNUMBER(SEARCH($AB$14,Dienstplan!$BK$8:$CO$19)))))</f>
        <v/>
      </c>
      <c r="O43" s="472">
        <f>SUMPRODUCT((ISNUMBER(SEARCH($Y10,Dienstplan!$B$8:$B$19))*(ISNUMBER(SEARCH($AB$15,Dienstplan!$BK$8:$CO$19)))))</f>
        <v/>
      </c>
      <c r="P43" s="472">
        <f>SUMPRODUCT((ISNUMBER(SEARCH($Y10,Dienstplan!$B$8:$B$19))*(ISNUMBER(SEARCH($AB$16,Dienstplan!$BK$8:$CO$19)))))</f>
        <v/>
      </c>
      <c r="Q43" s="472">
        <f>SUMPRODUCT((ISNUMBER(SEARCH($Y10,Dienstplan!$B$8:$B$19))*(ISNUMBER(SEARCH($AB$17,Dienstplan!$BK$8:$CO$19)))))</f>
        <v/>
      </c>
      <c r="R43" s="472">
        <f>SUMPRODUCT((ISNUMBER(SEARCH($Y10,Dienstplan!$B$8:$B$19))*(ISNUMBER(SEARCH($AB$18,Dienstplan!$BK$8:$CO$19)))))</f>
        <v/>
      </c>
      <c r="S43" s="472">
        <f>SUMPRODUCT((ISNUMBER(SEARCH($Y10,Dienstplan!$B$8:$B$19))*(ISNUMBER(SEARCH($AB$19,Dienstplan!$BK$8:$CO$19)))))</f>
        <v/>
      </c>
      <c r="T43" s="472">
        <f>SUM($F$34*$Z10)</f>
        <v/>
      </c>
      <c r="U43" s="472">
        <f>SUM($C43*Frueh_1+$D43*Spaet_1+$E43*Nacht_1+$F43*Normal_1+$I43*Sonderd_1-$J43*Krem_E+$K43*Krem_E+$L43*EH_Kurs+$M43*Koor_taet+$N43*Sekre_1+$O43*Krem_E+$R43*Krem_E+$P43*Krem_E+$Q43*Krem_E+G43*Krem_E+H43*Krem_E)</f>
        <v/>
      </c>
      <c r="V43" s="472">
        <f>SUM($U43-$T43)</f>
        <v/>
      </c>
      <c r="W43" s="472">
        <f>V43+W27</f>
        <v/>
      </c>
      <c r="X43" s="472" t="n"/>
      <c r="Y43" s="472" t="n"/>
      <c r="Z43" s="472" t="n"/>
      <c r="AA43" s="472" t="n"/>
      <c r="AB43" s="472" t="n"/>
      <c r="AC43" s="472" t="n"/>
      <c r="AD43" s="472" t="n"/>
      <c r="AE43" s="472" t="n"/>
      <c r="AF43" s="472" t="n"/>
      <c r="AG43" s="472" t="n"/>
      <c r="AH43" s="472" t="n"/>
      <c r="AI43" s="472" t="n"/>
      <c r="AJ43" s="472" t="n"/>
    </row>
    <row r="44">
      <c r="A44" s="472" t="n"/>
      <c r="B44" s="471">
        <f>B12</f>
        <v/>
      </c>
      <c r="C44" s="472">
        <f>SUMPRODUCT((ISNUMBER(SEARCH($Y11,Dienstplan!$B$8:$B$19))*(ISNUMBER(SEARCH($AB$3,Dienstplan!$BK$8:$CO$19)))))-D44</f>
        <v/>
      </c>
      <c r="D44" s="472">
        <f>SUMPRODUCT((ISNUMBER(SEARCH($Y11,Dienstplan!$B$8:$B$19))*(ISNUMBER(SEARCH($AB$4,Dienstplan!$BK$8:$CO$19)))))</f>
        <v/>
      </c>
      <c r="E44" s="472">
        <f>SUMPRODUCT((ISNUMBER(SEARCH($Y11,Dienstplan!$B$8:$B$19))*(ISNUMBER(SEARCH($AB$5,Dienstplan!$BK$8:$CO$19)))))</f>
        <v/>
      </c>
      <c r="F44" s="472">
        <f>SUMPRODUCT((ISNUMBER(SEARCH($Y11,Dienstplan!$B$8:$B$19))*(ISNUMBER(SEARCH($AB$6,Dienstplan!$BK$8:$CO$19)))))</f>
        <v/>
      </c>
      <c r="G44" s="472">
        <f>SUMPRODUCT((ISNUMBER(SEARCH($Y11,Dienstplan!$B$8:$B$19))*(ISNUMBER(SEARCH($AB$7,Dienstplan!$BK$8:$CO$19)))))-H44</f>
        <v/>
      </c>
      <c r="H44" s="472">
        <f>SUMPRODUCT((ISNUMBER(SEARCH($Y11,Dienstplan!$B$8:$B$19))*(ISNUMBER(SEARCH($AB$8,Dienstplan!$BK$8:$CO$19)))))</f>
        <v/>
      </c>
      <c r="I44" s="472">
        <f>SUMPRODUCT((ISNUMBER(SEARCH($Y11,Dienstplan!$B$8:$B$19))*(ISNUMBER(SEARCH($AB$9,Dienstplan!$BK$8:$CO$19)))))</f>
        <v/>
      </c>
      <c r="J44" s="472">
        <f>SUMPRODUCT((ISNUMBER(SEARCH($Y11,Dienstplan!$B$8:$B$19))*(ISNUMBER(SEARCH($AB$10,Dienstplan!$BK$8:$CO$19)))))</f>
        <v/>
      </c>
      <c r="K44" s="472">
        <f>SUMPRODUCT((ISNUMBER(SEARCH($Y11,Dienstplan!$B$8:$B$19))*(ISNUMBER(SEARCH($AB$11,Dienstplan!$BK$8:$CO$19)))))-$Q44</f>
        <v/>
      </c>
      <c r="L44" s="472">
        <f>SUMPRODUCT((ISNUMBER(SEARCH($Y11,Dienstplan!$B$8:$B$19))*(ISNUMBER(SEARCH($AB$12,Dienstplan!$BK$8:$CO$19)))))</f>
        <v/>
      </c>
      <c r="M44" s="472">
        <f>SUMPRODUCT((ISNUMBER(SEARCH($Y11,Dienstplan!$B$8:$B$19))*(ISNUMBER(SEARCH($AB$13,Dienstplan!$BK$8:$CO$19)))))</f>
        <v/>
      </c>
      <c r="N44" s="472">
        <f>SUMPRODUCT((ISNUMBER(SEARCH($Y11,Dienstplan!$B$8:$B$19))*(ISNUMBER(SEARCH($AB$14,Dienstplan!$BK$8:$CO$19)))))</f>
        <v/>
      </c>
      <c r="O44" s="472">
        <f>SUMPRODUCT((ISNUMBER(SEARCH($Y11,Dienstplan!$B$8:$B$19))*(ISNUMBER(SEARCH($AB$15,Dienstplan!$BK$8:$CO$19)))))</f>
        <v/>
      </c>
      <c r="P44" s="472">
        <f>SUMPRODUCT((ISNUMBER(SEARCH($Y11,Dienstplan!$B$8:$B$19))*(ISNUMBER(SEARCH($AB$16,Dienstplan!$BK$8:$CO$19)))))</f>
        <v/>
      </c>
      <c r="Q44" s="472">
        <f>SUMPRODUCT((ISNUMBER(SEARCH($Y11,Dienstplan!$B$8:$B$19))*(ISNUMBER(SEARCH($AB$17,Dienstplan!$BK$8:$CO$19)))))</f>
        <v/>
      </c>
      <c r="R44" s="472">
        <f>SUMPRODUCT((ISNUMBER(SEARCH($Y11,Dienstplan!$B$8:$B$19))*(ISNUMBER(SEARCH($AB$18,Dienstplan!$BK$8:$CO$19)))))</f>
        <v/>
      </c>
      <c r="S44" s="472">
        <f>SUMPRODUCT((ISNUMBER(SEARCH($Y11,Dienstplan!$B$8:$B$19))*(ISNUMBER(SEARCH($AB$19,Dienstplan!$BK$8:$CO$19)))))</f>
        <v/>
      </c>
      <c r="T44" s="472">
        <f>SUM($F$34*$Z11)</f>
        <v/>
      </c>
      <c r="U44" s="472">
        <f>SUM($C44*Frueh_1+$D44*Spaet_1+$E44*Nacht_1+$F44*Normal_1+$I44*Sonderd_1-$J44*Put_W+$K44*Put_W+$L44*EH_Kurs+$M44*Koor_taet+$N44*Sekre_1+$O44*Put_W+$R44*Put_W+$P44*Put_W+$Q44*Put_W+G44*Put_W+H44*Put_W)</f>
        <v/>
      </c>
      <c r="V44" s="472">
        <f>SUM($U44-$T44)</f>
        <v/>
      </c>
      <c r="W44" s="472">
        <f>V44+W28</f>
        <v/>
      </c>
      <c r="X44" s="472" t="n"/>
      <c r="Y44" s="472" t="n"/>
      <c r="Z44" s="472" t="n"/>
      <c r="AA44" s="472" t="n"/>
      <c r="AB44" s="472" t="n"/>
      <c r="AC44" s="472" t="n"/>
      <c r="AD44" s="472" t="n"/>
      <c r="AE44" s="472" t="n"/>
      <c r="AF44" s="472" t="n"/>
      <c r="AG44" s="472" t="n"/>
      <c r="AH44" s="472" t="n"/>
      <c r="AI44" s="472" t="n"/>
      <c r="AJ44" s="472" t="n"/>
    </row>
    <row r="45">
      <c r="A45" s="472" t="n"/>
      <c r="B45" s="471">
        <f>B13</f>
        <v/>
      </c>
      <c r="C45" s="472">
        <f>SUMPRODUCT((ISNUMBER(SEARCH($Y12,Dienstplan!$B$8:$B$19))*(ISNUMBER(SEARCH($AB$3,Dienstplan!$BK$8:$CO$19)))))-D45</f>
        <v/>
      </c>
      <c r="D45" s="472">
        <f>SUMPRODUCT((ISNUMBER(SEARCH($Y12,Dienstplan!$B$8:$B$19))*(ISNUMBER(SEARCH($AB$4,Dienstplan!$BK$8:$CO$19)))))</f>
        <v/>
      </c>
      <c r="E45" s="472">
        <f>SUMPRODUCT((ISNUMBER(SEARCH($Y12,Dienstplan!$B$8:$B$19))*(ISNUMBER(SEARCH($AB$5,Dienstplan!$BK$8:$CO$19)))))</f>
        <v/>
      </c>
      <c r="F45" s="472">
        <f>SUMPRODUCT((ISNUMBER(SEARCH($Y12,Dienstplan!$B$8:$B$19))*(ISNUMBER(SEARCH($AB$6,Dienstplan!$BK$8:$CO$19)))))</f>
        <v/>
      </c>
      <c r="G45" s="472">
        <f>SUMPRODUCT((ISNUMBER(SEARCH($Y12,Dienstplan!$B$8:$B$19))*(ISNUMBER(SEARCH($AB$7,Dienstplan!$BK$8:$CO$19)))))-H45</f>
        <v/>
      </c>
      <c r="H45" s="472">
        <f>SUMPRODUCT((ISNUMBER(SEARCH($Y12,Dienstplan!$B$8:$B$19))*(ISNUMBER(SEARCH($AB$8,Dienstplan!$BK$8:$CO$19)))))</f>
        <v/>
      </c>
      <c r="I45" s="472">
        <f>SUMPRODUCT((ISNUMBER(SEARCH($Y12,Dienstplan!$B$8:$B$19))*(ISNUMBER(SEARCH($AB$9,Dienstplan!$BK$8:$CO$19)))))</f>
        <v/>
      </c>
      <c r="J45" s="472">
        <f>SUMPRODUCT((ISNUMBER(SEARCH($Y12,Dienstplan!$B$8:$B$19))*(ISNUMBER(SEARCH($AB$10,Dienstplan!$BK$8:$CO$19)))))</f>
        <v/>
      </c>
      <c r="K45" s="472">
        <f>SUMPRODUCT((ISNUMBER(SEARCH($Y12,Dienstplan!$B$8:$B$19))*(ISNUMBER(SEARCH($AB$11,Dienstplan!$BK$8:$CO$19)))))-$Q45</f>
        <v/>
      </c>
      <c r="L45" s="472">
        <f>SUMPRODUCT((ISNUMBER(SEARCH($Y12,Dienstplan!$B$8:$B$19))*(ISNUMBER(SEARCH($AB$12,Dienstplan!$BK$8:$CO$19)))))</f>
        <v/>
      </c>
      <c r="M45" s="472">
        <f>SUMPRODUCT((ISNUMBER(SEARCH($Y12,Dienstplan!$B$8:$B$19))*(ISNUMBER(SEARCH($AB$13,Dienstplan!$BK$8:$CO$19)))))</f>
        <v/>
      </c>
      <c r="N45" s="472">
        <f>SUMPRODUCT((ISNUMBER(SEARCH($Y12,Dienstplan!$B$8:$B$19))*(ISNUMBER(SEARCH($AB$14,Dienstplan!$BK$8:$CO$19)))))</f>
        <v/>
      </c>
      <c r="O45" s="472">
        <f>SUMPRODUCT((ISNUMBER(SEARCH($Y12,Dienstplan!$B$8:$B$19))*(ISNUMBER(SEARCH($AB$15,Dienstplan!$BK$8:$CO$19)))))</f>
        <v/>
      </c>
      <c r="P45" s="472">
        <f>SUMPRODUCT((ISNUMBER(SEARCH($Y12,Dienstplan!$B$8:$B$19))*(ISNUMBER(SEARCH($AB$16,Dienstplan!$BK$8:$CO$19)))))</f>
        <v/>
      </c>
      <c r="Q45" s="472">
        <f>SUMPRODUCT((ISNUMBER(SEARCH($Y12,Dienstplan!$B$8:$B$19))*(ISNUMBER(SEARCH($AB$17,Dienstplan!$BK$8:$CO$19)))))</f>
        <v/>
      </c>
      <c r="R45" s="472">
        <f>SUMPRODUCT((ISNUMBER(SEARCH($Y12,Dienstplan!$B$8:$B$19))*(ISNUMBER(SEARCH($AB$18,Dienstplan!$BK$8:$CO$19)))))</f>
        <v/>
      </c>
      <c r="S45" s="472">
        <f>SUMPRODUCT((ISNUMBER(SEARCH($Y12,Dienstplan!$B$8:$B$19))*(ISNUMBER(SEARCH($AB$19,Dienstplan!$BK$8:$CO$19)))))</f>
        <v/>
      </c>
      <c r="T45" s="472">
        <f>SUM($F$34*$Z12)</f>
        <v/>
      </c>
      <c r="U45" s="472">
        <f>SUM($C45*Frueh_1+$D45*Spaet_1+$E45*Nacht_1+$F45*Normal_1+$I45*Sonderd_1-$J45*Radi_L+$K45*Radi_L+$L45*EH_Kurs+$M45*Koor_taet+$N45*Sekre_1+$O45*Radi_L+$R45*Radi_L+$P45*Radi_L+$Q45*Radi_L+G45*Radi_L+H45*Radi_L)</f>
        <v/>
      </c>
      <c r="V45" s="472">
        <f>SUM($U45-$T45)</f>
        <v/>
      </c>
      <c r="W45" s="472">
        <f>V45+W29</f>
        <v/>
      </c>
      <c r="X45" s="472" t="n"/>
      <c r="Y45" s="472" t="n"/>
      <c r="Z45" s="472" t="n"/>
      <c r="AA45" s="472" t="n"/>
      <c r="AB45" s="472" t="n"/>
      <c r="AC45" s="472" t="n"/>
      <c r="AD45" s="472" t="n"/>
      <c r="AE45" s="472" t="n"/>
      <c r="AF45" s="472" t="n"/>
      <c r="AG45" s="472" t="n"/>
      <c r="AH45" s="472" t="n"/>
      <c r="AI45" s="472" t="n"/>
      <c r="AJ45" s="472" t="n"/>
    </row>
    <row r="46">
      <c r="A46" s="472" t="n"/>
      <c r="B46" s="471">
        <f>B14</f>
        <v/>
      </c>
      <c r="C46" s="472">
        <f>SUMPRODUCT((ISNUMBER(SEARCH($Y13,Dienstplan!$B$8:$B$19))*(ISNUMBER(SEARCH($AB$3,Dienstplan!$BK$8:$CO$19)))))-D46</f>
        <v/>
      </c>
      <c r="D46" s="472">
        <f>SUMPRODUCT((ISNUMBER(SEARCH($Y13,Dienstplan!$B$8:$B$19))*(ISNUMBER(SEARCH($AB$4,Dienstplan!$BK$8:$CO$19)))))</f>
        <v/>
      </c>
      <c r="E46" s="472">
        <f>SUMPRODUCT((ISNUMBER(SEARCH($Y13,Dienstplan!$B$8:$B$19))*(ISNUMBER(SEARCH($AB$5,Dienstplan!$BK$8:$CO$19)))))</f>
        <v/>
      </c>
      <c r="F46" s="472">
        <f>SUMPRODUCT((ISNUMBER(SEARCH($Y13,Dienstplan!$B$8:$B$19))*(ISNUMBER(SEARCH($AB$6,Dienstplan!$BK$8:$CO$19)))))</f>
        <v/>
      </c>
      <c r="G46" s="472">
        <f>SUMPRODUCT((ISNUMBER(SEARCH($Y13,Dienstplan!$B$8:$B$19))*(ISNUMBER(SEARCH($AB$7,Dienstplan!$BK$8:$CO$19)))))-H46</f>
        <v/>
      </c>
      <c r="H46" s="472">
        <f>SUMPRODUCT((ISNUMBER(SEARCH($Y13,Dienstplan!$B$8:$B$19))*(ISNUMBER(SEARCH($AB$8,Dienstplan!$BK$8:$CO$19)))))</f>
        <v/>
      </c>
      <c r="I46" s="472">
        <f>SUMPRODUCT((ISNUMBER(SEARCH($Y13,Dienstplan!$B$8:$B$19))*(ISNUMBER(SEARCH($AB$9,Dienstplan!$BK$8:$CO$19)))))</f>
        <v/>
      </c>
      <c r="J46" s="472">
        <f>SUMPRODUCT((ISNUMBER(SEARCH($Y13,Dienstplan!$B$8:$B$19))*(ISNUMBER(SEARCH($AB$10,Dienstplan!$BK$8:$CO$19)))))</f>
        <v/>
      </c>
      <c r="K46" s="472">
        <f>SUMPRODUCT((ISNUMBER(SEARCH($Y13,Dienstplan!$B$8:$B$19))*(ISNUMBER(SEARCH($AB$11,Dienstplan!$BK$8:$CO$19)))))-$Q46</f>
        <v/>
      </c>
      <c r="L46" s="472">
        <f>SUMPRODUCT((ISNUMBER(SEARCH($Y13,Dienstplan!$B$8:$B$19))*(ISNUMBER(SEARCH($AB$12,Dienstplan!$BK$8:$CO$19)))))</f>
        <v/>
      </c>
      <c r="M46" s="472">
        <f>SUMPRODUCT((ISNUMBER(SEARCH($Y13,Dienstplan!$B$8:$B$19))*(ISNUMBER(SEARCH($AB$13,Dienstplan!$BK$8:$CO$19)))))</f>
        <v/>
      </c>
      <c r="N46" s="472">
        <f>SUMPRODUCT((ISNUMBER(SEARCH($Y13,Dienstplan!$B$8:$B$19))*(ISNUMBER(SEARCH($AB$14,Dienstplan!$BK$8:$CO$19)))))</f>
        <v/>
      </c>
      <c r="O46" s="472">
        <f>SUMPRODUCT((ISNUMBER(SEARCH($Y13,Dienstplan!$B$8:$B$19))*(ISNUMBER(SEARCH($AB$15,Dienstplan!$BK$8:$CO$19)))))</f>
        <v/>
      </c>
      <c r="P46" s="472">
        <f>SUMPRODUCT((ISNUMBER(SEARCH($Y13,Dienstplan!$B$8:$B$19))*(ISNUMBER(SEARCH($AB$16,Dienstplan!$BK$8:$CO$19)))))</f>
        <v/>
      </c>
      <c r="Q46" s="472">
        <f>SUMPRODUCT((ISNUMBER(SEARCH($Y13,Dienstplan!$B$8:$B$19))*(ISNUMBER(SEARCH($AB$17,Dienstplan!$BK$8:$CO$19)))))</f>
        <v/>
      </c>
      <c r="R46" s="472">
        <f>SUMPRODUCT((ISNUMBER(SEARCH($Y13,Dienstplan!$B$8:$B$19))*(ISNUMBER(SEARCH($AB$18,Dienstplan!$BK$8:$CO$19)))))</f>
        <v/>
      </c>
      <c r="S46" s="472">
        <f>SUMPRODUCT((ISNUMBER(SEARCH($Y13,Dienstplan!$B$8:$B$19))*(ISNUMBER(SEARCH($AB$19,Dienstplan!$BK$8:$CO$19)))))</f>
        <v/>
      </c>
      <c r="T46" s="472">
        <f>SUM($F$34*$Z13)</f>
        <v/>
      </c>
      <c r="U46" s="472">
        <f>SUM($C46*Frueh_1+$D46*Spaet_1+$E46*Nacht_1+$F46*Normal_1+$I46*Sonderd_1-$J46*Fortenb+$K46*Fortenb+$L46*EH_Kurs+$M46*Koor_taet+$N46*Sekre_1+$O46*Fortenb+$R46*Fortenb+$P46*Fortenb+$Q46*Fortenb+G46*Fortenb+H46*Fortenb)</f>
        <v/>
      </c>
      <c r="V46" s="472">
        <f>SUM($U46-$T46)</f>
        <v/>
      </c>
      <c r="W46" s="472">
        <f>V46+W30</f>
        <v/>
      </c>
      <c r="X46" s="472" t="n"/>
      <c r="Y46" s="472" t="n"/>
      <c r="Z46" s="472" t="n"/>
      <c r="AA46" s="472" t="n"/>
      <c r="AB46" s="472" t="n"/>
      <c r="AC46" s="472" t="n"/>
      <c r="AD46" s="472" t="n"/>
      <c r="AE46" s="472" t="n"/>
      <c r="AF46" s="472" t="n"/>
      <c r="AG46" s="472" t="n"/>
      <c r="AH46" s="472" t="n"/>
      <c r="AI46" s="472" t="n"/>
      <c r="AJ46" s="472" t="n"/>
    </row>
    <row r="47">
      <c r="A47" s="472" t="n"/>
      <c r="B47" s="471" t="n"/>
      <c r="C47" s="472" t="n"/>
      <c r="D47" s="472" t="n"/>
      <c r="E47" s="472" t="n"/>
      <c r="F47" s="472" t="n"/>
      <c r="G47" s="472" t="n"/>
      <c r="H47" s="472" t="n"/>
      <c r="I47" s="472" t="n"/>
      <c r="J47" s="472" t="n"/>
      <c r="K47" s="472" t="n"/>
      <c r="L47" s="472" t="n"/>
      <c r="M47" s="472" t="n"/>
      <c r="N47" s="472" t="n"/>
      <c r="O47" s="472" t="n"/>
      <c r="P47" s="472" t="n"/>
      <c r="Q47" s="472" t="n"/>
      <c r="R47" s="472" t="n"/>
      <c r="S47" s="472" t="n"/>
      <c r="T47" s="472" t="n"/>
      <c r="U47" s="472" t="n"/>
      <c r="V47" s="472" t="n"/>
      <c r="W47" s="472" t="n"/>
      <c r="X47" s="472" t="n"/>
      <c r="Y47" s="472" t="n"/>
      <c r="Z47" s="472" t="n"/>
      <c r="AA47" s="472" t="n"/>
      <c r="AB47" s="472" t="n"/>
      <c r="AC47" s="472" t="n"/>
      <c r="AD47" s="472" t="n"/>
      <c r="AE47" s="472" t="n"/>
      <c r="AF47" s="472" t="n"/>
      <c r="AG47" s="472" t="n"/>
      <c r="AH47" s="472" t="n"/>
      <c r="AI47" s="472" t="n"/>
      <c r="AJ47" s="472" t="n"/>
    </row>
    <row r="48">
      <c r="A48" s="483" t="n"/>
      <c r="B48" s="483" t="inlineStr">
        <is>
          <t>Summe</t>
        </is>
      </c>
      <c r="C48" s="483">
        <f>SUM(C36:C47)</f>
        <v/>
      </c>
      <c r="D48" s="483">
        <f>SUM(D36:D47)</f>
        <v/>
      </c>
      <c r="E48" s="483">
        <f>SUM(E36:E47)</f>
        <v/>
      </c>
      <c r="F48" s="483">
        <f>SUM(F36:F47)</f>
        <v/>
      </c>
      <c r="G48" s="483">
        <f>SUM(G36:G47)</f>
        <v/>
      </c>
      <c r="H48" s="483">
        <f>SUM(H36:H47)</f>
        <v/>
      </c>
      <c r="I48" s="483">
        <f>SUM(I36:I47)</f>
        <v/>
      </c>
      <c r="J48" s="483">
        <f>SUM(J36:J47)</f>
        <v/>
      </c>
      <c r="K48" s="483">
        <f>SUM(K36:K47)</f>
        <v/>
      </c>
      <c r="L48" s="483">
        <f>SUM(L36:L47)</f>
        <v/>
      </c>
      <c r="M48" s="483">
        <f>SUM(M36:M47)</f>
        <v/>
      </c>
      <c r="N48" s="483">
        <f>SUM(N36:N47)</f>
        <v/>
      </c>
      <c r="O48" s="483">
        <f>SUM(O36:O47)</f>
        <v/>
      </c>
      <c r="P48" s="483">
        <f>SUM(P36:P47)</f>
        <v/>
      </c>
      <c r="Q48" s="483">
        <f>SUM(Q36:Q47)</f>
        <v/>
      </c>
      <c r="R48" s="483">
        <f>SUM(R36:R47)</f>
        <v/>
      </c>
      <c r="S48" s="483">
        <f>SUM(S36:S47)</f>
        <v/>
      </c>
      <c r="T48" s="483">
        <f>SUM(T36:T44)</f>
        <v/>
      </c>
      <c r="U48" s="483">
        <f>SUM(U36:U44)</f>
        <v/>
      </c>
      <c r="V48" s="483" t="n"/>
      <c r="W48" s="483" t="n"/>
      <c r="X48" s="483" t="n"/>
      <c r="Y48" s="483" t="n"/>
      <c r="Z48" s="483" t="n"/>
      <c r="AA48" s="483" t="n"/>
      <c r="AB48" s="483" t="n"/>
      <c r="AC48" s="483" t="n"/>
      <c r="AD48" s="483" t="n"/>
      <c r="AE48" s="483" t="n"/>
      <c r="AF48" s="483" t="n"/>
      <c r="AG48" s="483" t="n"/>
      <c r="AH48" s="483" t="n"/>
      <c r="AI48" s="483" t="n"/>
      <c r="AJ48" s="483" t="n"/>
    </row>
    <row r="49">
      <c r="A49" s="11" t="n"/>
      <c r="B49" s="12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  <c r="M49" s="1" t="n"/>
      <c r="N49" s="1" t="n"/>
      <c r="O49" s="1" t="n"/>
      <c r="P49" s="1" t="n"/>
      <c r="Q49" s="1" t="n"/>
      <c r="R49" s="1" t="n"/>
      <c r="S49" s="12" t="n"/>
      <c r="T49" s="1" t="n"/>
      <c r="U49" s="1" t="n"/>
      <c r="V49" s="12" t="n"/>
      <c r="W49" s="17" t="n"/>
    </row>
    <row r="50">
      <c r="A50" s="475" t="n"/>
      <c r="B50" s="476" t="inlineStr">
        <is>
          <t>April</t>
        </is>
      </c>
      <c r="C50" s="475" t="n"/>
      <c r="D50" s="477" t="inlineStr">
        <is>
          <t>Arbeitstage</t>
        </is>
      </c>
      <c r="E50" s="475" t="n"/>
      <c r="F50" s="478" t="n">
        <v>18</v>
      </c>
      <c r="G50" s="479" t="n"/>
      <c r="H50" s="479" t="n"/>
      <c r="I50" s="477" t="inlineStr">
        <is>
          <t>Samstage</t>
        </is>
      </c>
      <c r="J50" s="475" t="n"/>
      <c r="K50" s="478" t="n">
        <v>5</v>
      </c>
      <c r="L50" s="475" t="n"/>
      <c r="M50" s="475" t="n"/>
      <c r="N50" s="475" t="n"/>
      <c r="O50" s="475" t="n"/>
      <c r="P50" s="475" t="n"/>
      <c r="Q50" s="475" t="n"/>
      <c r="R50" s="475" t="n"/>
      <c r="S50" s="475" t="n"/>
      <c r="T50" s="475" t="n"/>
      <c r="U50" s="475" t="n"/>
      <c r="V50" s="475" t="n"/>
      <c r="W50" s="475" t="n"/>
      <c r="X50" s="475" t="n"/>
      <c r="Y50" s="475" t="n"/>
      <c r="Z50" s="475" t="n"/>
      <c r="AA50" s="475" t="n"/>
      <c r="AB50" s="475" t="n"/>
      <c r="AC50" s="475" t="n"/>
      <c r="AD50" s="475" t="n"/>
      <c r="AE50" s="475" t="n"/>
      <c r="AF50" s="475" t="n"/>
      <c r="AG50" s="475" t="n"/>
      <c r="AH50" s="475" t="n"/>
      <c r="AI50" s="475" t="n"/>
      <c r="AJ50" s="475" t="n"/>
    </row>
    <row r="51">
      <c r="A51" s="480" t="n"/>
      <c r="B51" s="480" t="n"/>
      <c r="C51" s="480">
        <f>Jahr!C3</f>
        <v/>
      </c>
      <c r="D51" s="480">
        <f>Jahr!D3</f>
        <v/>
      </c>
      <c r="E51" s="480">
        <f>Jahr!E3</f>
        <v/>
      </c>
      <c r="F51" s="480">
        <f>Jahr!F3</f>
        <v/>
      </c>
      <c r="G51" s="480">
        <f>Jahr!G3</f>
        <v/>
      </c>
      <c r="H51" s="480">
        <f>Jahr!H3</f>
        <v/>
      </c>
      <c r="I51" s="480">
        <f>Jahr!I3</f>
        <v/>
      </c>
      <c r="J51" s="480">
        <f>Jahr!J3</f>
        <v/>
      </c>
      <c r="K51" s="480">
        <f>Jahr!K3</f>
        <v/>
      </c>
      <c r="L51" s="480">
        <f>Jahr!L3</f>
        <v/>
      </c>
      <c r="M51" s="480">
        <f>Jahr!M3</f>
        <v/>
      </c>
      <c r="N51" s="480">
        <f>Jahr!N3</f>
        <v/>
      </c>
      <c r="O51" s="480">
        <f>Jahr!O3</f>
        <v/>
      </c>
      <c r="P51" s="480">
        <f>Jahr!P3</f>
        <v/>
      </c>
      <c r="Q51" s="480">
        <f>Jahr!Q3</f>
        <v/>
      </c>
      <c r="R51" s="480">
        <f>Jahr!R3</f>
        <v/>
      </c>
      <c r="S51" s="480">
        <f>Jahr!S3</f>
        <v/>
      </c>
      <c r="T51" s="480" t="inlineStr">
        <is>
          <t>Soll AZ</t>
        </is>
      </c>
      <c r="U51" s="480" t="inlineStr">
        <is>
          <t>Ist AZ</t>
        </is>
      </c>
      <c r="V51" s="480" t="inlineStr">
        <is>
          <t>Differenz</t>
        </is>
      </c>
      <c r="W51" s="480" t="inlineStr">
        <is>
          <t>Gesamt</t>
        </is>
      </c>
      <c r="X51" s="480" t="n"/>
      <c r="Y51" s="480" t="n"/>
      <c r="Z51" s="480" t="n"/>
      <c r="AA51" s="480" t="n"/>
      <c r="AB51" s="480" t="n"/>
      <c r="AC51" s="480" t="n"/>
      <c r="AD51" s="480" t="n"/>
      <c r="AE51" s="480" t="n"/>
      <c r="AF51" s="480" t="n"/>
      <c r="AG51" s="480" t="n"/>
      <c r="AH51" s="480" t="n"/>
      <c r="AI51" s="480" t="n"/>
      <c r="AJ51" s="480" t="n"/>
    </row>
    <row r="52">
      <c r="A52" s="472" t="n"/>
      <c r="B52" s="471">
        <f>B4</f>
        <v/>
      </c>
      <c r="C52" s="472">
        <f>SUMPRODUCT((ISNUMBER(SEARCH($Y3,Dienstplan!$B$8:$B$19))*(ISNUMBER(SEARCH($AB$3,Dienstplan!$CP$8:$DS$19)))))-D52</f>
        <v/>
      </c>
      <c r="D52" s="472">
        <f>SUMPRODUCT((ISNUMBER(SEARCH($Y3,Dienstplan!$B$8:$B$19))*(ISNUMBER(SEARCH($AB$4,Dienstplan!$CP$8:$DS$19)))))</f>
        <v/>
      </c>
      <c r="E52" s="472">
        <f>SUMPRODUCT((ISNUMBER(SEARCH($Y3,Dienstplan!$B$8:$B$19))*(ISNUMBER(SEARCH($AB$5,Dienstplan!$CP$8:$DS$19)))))</f>
        <v/>
      </c>
      <c r="F52" s="472">
        <f>SUMPRODUCT((ISNUMBER(SEARCH($Y3,Dienstplan!$B$8:$B$19))*(ISNUMBER(SEARCH($AB$6,Dienstplan!$CP$8:$DS$19)))))</f>
        <v/>
      </c>
      <c r="G52" s="472">
        <f>SUMPRODUCT((ISNUMBER(SEARCH($Y3,Dienstplan!$B$8:$B$19))*(ISNUMBER(SEARCH($AB$7,Dienstplan!$CP$8:$DS$19)))))-H52</f>
        <v/>
      </c>
      <c r="H52" s="472">
        <f>SUMPRODUCT((ISNUMBER(SEARCH($Y3,Dienstplan!$B$8:$B$19))*(ISNUMBER(SEARCH($AB$8,Dienstplan!$CP$8:$DS$19)))))</f>
        <v/>
      </c>
      <c r="I52" s="472">
        <f>SUMPRODUCT((ISNUMBER(SEARCH($Y3,Dienstplan!$B$8:$B$19))*(ISNUMBER(SEARCH($AB$9,Dienstplan!$CP$8:$DS$19)))))</f>
        <v/>
      </c>
      <c r="J52" s="472">
        <f>SUMPRODUCT((ISNUMBER(SEARCH($Y3,Dienstplan!$B$8:$B$19))*(ISNUMBER(SEARCH($AB$10,Dienstplan!$CP$8:$DS$19)))))</f>
        <v/>
      </c>
      <c r="K52" s="472">
        <f>SUMPRODUCT((ISNUMBER(SEARCH($Y3,Dienstplan!$B$8:$B$19))*(ISNUMBER(SEARCH($AB$11,Dienstplan!$CP$8:$DS$19)))))-$Q52</f>
        <v/>
      </c>
      <c r="L52" s="472">
        <f>SUMPRODUCT((ISNUMBER(SEARCH($Y3,Dienstplan!$B$8:$B$19))*(ISNUMBER(SEARCH($AB$12,Dienstplan!$CP$8:$DS$19)))))</f>
        <v/>
      </c>
      <c r="M52" s="472">
        <f>SUMPRODUCT((ISNUMBER(SEARCH($Y3,Dienstplan!$B$8:$B$19))*(ISNUMBER(SEARCH($AB$13,Dienstplan!$CP$8:$DS$19)))))</f>
        <v/>
      </c>
      <c r="N52" s="472">
        <f>SUMPRODUCT((ISNUMBER(SEARCH($Y3,Dienstplan!$B$8:$B$19))*(ISNUMBER(SEARCH($AB$14,Dienstplan!$CP$8:$DS$19)))))</f>
        <v/>
      </c>
      <c r="O52" s="472">
        <f>SUMPRODUCT((ISNUMBER(SEARCH($Y3,Dienstplan!$B$8:$B$19))*(ISNUMBER(SEARCH($AB$15,Dienstplan!$CP$8:$DS$19)))))</f>
        <v/>
      </c>
      <c r="P52" s="472">
        <f>SUMPRODUCT((ISNUMBER(SEARCH($Y3,Dienstplan!$B$8:$B$19))*(ISNUMBER(SEARCH($AB$16,Dienstplan!$CP$8:$DS$19)))))</f>
        <v/>
      </c>
      <c r="Q52" s="472">
        <f>SUMPRODUCT((ISNUMBER(SEARCH($Y3,Dienstplan!$B$8:$B$19))*(ISNUMBER(SEARCH($AB$17,Dienstplan!$CP$8:$DS$19)))))</f>
        <v/>
      </c>
      <c r="R52" s="472">
        <f>SUMPRODUCT((ISNUMBER(SEARCH($Y3,Dienstplan!$B$8:$B$19))*(ISNUMBER(SEARCH($AB$18,Dienstplan!$CP$8:$DS$19)))))</f>
        <v/>
      </c>
      <c r="S52" s="472">
        <f>SUMPRODUCT((ISNUMBER(SEARCH($Y3,Dienstplan!$B$8:$B$19))*(ISNUMBER(SEARCH($AB$19,Dienstplan!$CP$8:$DS$19)))))</f>
        <v/>
      </c>
      <c r="T52" s="472">
        <f>SUM($F$50*$Z3)</f>
        <v/>
      </c>
      <c r="U52" s="472">
        <f>SUM($C52*Frueh_1+$D52*Spaet_1+$E52*Nacht_1+$F52*Normal_1+$I52*Sonderd_1-$J52*Velten+$K52*Velten+$L52*EH_Kurs+$M52*Koor_taet+$N52*Sekre_1+$O52*Velten+$R52*Velten+$P52*Velten+$Q52*Velten+G52*Velt_M+H52*Velt_M)</f>
        <v/>
      </c>
      <c r="V52" s="472">
        <f>SUM($U52-$T52)</f>
        <v/>
      </c>
      <c r="W52" s="472">
        <f>V52+W36</f>
        <v/>
      </c>
      <c r="X52" s="472" t="n"/>
      <c r="Y52" s="472" t="n"/>
      <c r="Z52" s="472" t="n"/>
      <c r="AA52" s="472" t="n"/>
      <c r="AB52" s="472" t="n"/>
      <c r="AC52" s="472" t="n"/>
      <c r="AD52" s="472" t="n"/>
      <c r="AE52" s="472" t="n"/>
      <c r="AF52" s="472" t="n"/>
      <c r="AG52" s="472" t="n"/>
      <c r="AH52" s="472" t="n"/>
      <c r="AI52" s="472" t="n"/>
      <c r="AJ52" s="472" t="n"/>
    </row>
    <row r="53">
      <c r="A53" s="472" t="n"/>
      <c r="B53" s="471">
        <f>B5</f>
        <v/>
      </c>
      <c r="C53" s="472">
        <f>SUMPRODUCT((ISNUMBER(SEARCH($Y4,Dienstplan!$B$8:$B$19))*(ISNUMBER(SEARCH($AB$3,Dienstplan!$CP$8:$DS$19)))))-D53</f>
        <v/>
      </c>
      <c r="D53" s="472">
        <f>SUMPRODUCT((ISNUMBER(SEARCH($Y4,Dienstplan!$B$8:$B$19))*(ISNUMBER(SEARCH($AB$4,Dienstplan!$CP$8:$DS$19)))))</f>
        <v/>
      </c>
      <c r="E53" s="472">
        <f>SUMPRODUCT((ISNUMBER(SEARCH($Y4,Dienstplan!$B$8:$B$19))*(ISNUMBER(SEARCH($AB$5,Dienstplan!$CP$8:$DS$19)))))</f>
        <v/>
      </c>
      <c r="F53" s="472">
        <f>SUMPRODUCT((ISNUMBER(SEARCH($Y4,Dienstplan!$B$8:$B$19))*(ISNUMBER(SEARCH($AB$6,Dienstplan!$CP$8:$DS$19)))))</f>
        <v/>
      </c>
      <c r="G53" s="472">
        <f>SUMPRODUCT((ISNUMBER(SEARCH($Y4,Dienstplan!$B$8:$B$19))*(ISNUMBER(SEARCH($AB$7,Dienstplan!$CP$8:$DS$19)))))-H53</f>
        <v/>
      </c>
      <c r="H53" s="472">
        <f>SUMPRODUCT((ISNUMBER(SEARCH($Y4,Dienstplan!$B$8:$B$19))*(ISNUMBER(SEARCH($AB$8,Dienstplan!$CP$8:$DS$19)))))</f>
        <v/>
      </c>
      <c r="I53" s="472">
        <f>SUMPRODUCT((ISNUMBER(SEARCH($Y4,Dienstplan!$B$8:$B$19))*(ISNUMBER(SEARCH($AB$9,Dienstplan!$CP$8:$DS$19)))))</f>
        <v/>
      </c>
      <c r="J53" s="472">
        <f>SUMPRODUCT((ISNUMBER(SEARCH($Y4,Dienstplan!$B$8:$B$19))*(ISNUMBER(SEARCH($AB$10,Dienstplan!$CP$8:$DS$19)))))</f>
        <v/>
      </c>
      <c r="K53" s="472">
        <f>SUMPRODUCT((ISNUMBER(SEARCH($Y4,Dienstplan!$B$8:$B$19))*(ISNUMBER(SEARCH($AB$11,Dienstplan!$CP$8:$DS$19)))))-$Q53</f>
        <v/>
      </c>
      <c r="L53" s="472">
        <f>SUMPRODUCT((ISNUMBER(SEARCH($Y4,Dienstplan!$B$8:$B$19))*(ISNUMBER(SEARCH($AB$12,Dienstplan!$CP$8:$DS$19)))))</f>
        <v/>
      </c>
      <c r="M53" s="472">
        <f>SUMPRODUCT((ISNUMBER(SEARCH($Y4,Dienstplan!$B$8:$B$19))*(ISNUMBER(SEARCH($AB$13,Dienstplan!$CP$8:$DS$19)))))</f>
        <v/>
      </c>
      <c r="N53" s="472">
        <f>SUMPRODUCT((ISNUMBER(SEARCH($Y4,Dienstplan!$B$8:$B$19))*(ISNUMBER(SEARCH($AB$14,Dienstplan!$CP$8:$DS$19)))))</f>
        <v/>
      </c>
      <c r="O53" s="472">
        <f>SUMPRODUCT((ISNUMBER(SEARCH($Y4,Dienstplan!$B$8:$B$19))*(ISNUMBER(SEARCH($AB$15,Dienstplan!$CP$8:$DS$19)))))</f>
        <v/>
      </c>
      <c r="P53" s="472">
        <f>SUMPRODUCT((ISNUMBER(SEARCH($Y4,Dienstplan!$B$8:$B$19))*(ISNUMBER(SEARCH($AB$16,Dienstplan!$CP$8:$DS$19)))))</f>
        <v/>
      </c>
      <c r="Q53" s="472">
        <f>SUMPRODUCT((ISNUMBER(SEARCH($Y4,Dienstplan!$B$8:$B$19))*(ISNUMBER(SEARCH($AB$17,Dienstplan!$CP$8:$DS$19)))))</f>
        <v/>
      </c>
      <c r="R53" s="472">
        <f>SUMPRODUCT((ISNUMBER(SEARCH($Y4,Dienstplan!$B$8:$B$19))*(ISNUMBER(SEARCH($AB$18,Dienstplan!$CP$8:$DS$19)))))</f>
        <v/>
      </c>
      <c r="S53" s="472">
        <f>SUMPRODUCT((ISNUMBER(SEARCH($Y4,Dienstplan!$B$8:$B$19))*(ISNUMBER(SEARCH($AB$19,Dienstplan!$CP$8:$DS$19)))))</f>
        <v/>
      </c>
      <c r="T53" s="472">
        <f>SUM($F$50*$Z4)</f>
        <v/>
      </c>
      <c r="U53" s="472">
        <f>SUM($C53*Frueh_1+$D53*Spaet_1+$E53*Nacht_1+$F53*Normal_1+$I53*Sonderd_1-$J53*Brue_H+$K53*Brue_H+$L53*EH_Kurs+$M53*Koor_taet+$N53*Sekre_1+$O53*Brue_H+$R53*Brue_H+$P53*Brue_H+$Q53*Brue_H+G53*Brue_H+H53*Brue_H)</f>
        <v/>
      </c>
      <c r="V53" s="472">
        <f>SUM($U53-$T53)</f>
        <v/>
      </c>
      <c r="W53" s="472">
        <f>V53+W37</f>
        <v/>
      </c>
      <c r="X53" s="472" t="n"/>
      <c r="Y53" s="472" t="n"/>
      <c r="Z53" s="472" t="n"/>
      <c r="AA53" s="472" t="n"/>
      <c r="AB53" s="472" t="n"/>
      <c r="AC53" s="472" t="n"/>
      <c r="AD53" s="472" t="n"/>
      <c r="AE53" s="472" t="n"/>
      <c r="AF53" s="472" t="n"/>
      <c r="AG53" s="472" t="n"/>
      <c r="AH53" s="472" t="n"/>
      <c r="AI53" s="472" t="n"/>
      <c r="AJ53" s="472" t="n"/>
    </row>
    <row r="54">
      <c r="A54" s="472" t="n"/>
      <c r="B54" s="471">
        <f>B6</f>
        <v/>
      </c>
      <c r="C54" s="472">
        <f>SUMPRODUCT((ISNUMBER(SEARCH($Y5,Dienstplan!$B$8:$B$19))*(ISNUMBER(SEARCH($AB$3,Dienstplan!$CP$8:$DS$19)))))-D54</f>
        <v/>
      </c>
      <c r="D54" s="472">
        <f>SUMPRODUCT((ISNUMBER(SEARCH($Y5,Dienstplan!$B$8:$B$19))*(ISNUMBER(SEARCH($AB$4,Dienstplan!$CP$8:$DS$19)))))</f>
        <v/>
      </c>
      <c r="E54" s="472">
        <f>SUMPRODUCT((ISNUMBER(SEARCH($Y5,Dienstplan!$B$8:$B$19))*(ISNUMBER(SEARCH($AB$5,Dienstplan!$CP$8:$DS$19)))))</f>
        <v/>
      </c>
      <c r="F54" s="472">
        <f>SUMPRODUCT((ISNUMBER(SEARCH($Y5,Dienstplan!$B$8:$B$19))*(ISNUMBER(SEARCH($AB$6,Dienstplan!$CP$8:$DS$19)))))</f>
        <v/>
      </c>
      <c r="G54" s="472">
        <f>SUMPRODUCT((ISNUMBER(SEARCH($Y5,Dienstplan!$B$8:$B$19))*(ISNUMBER(SEARCH($AB$7,Dienstplan!$CP$8:$DS$19)))))-H54</f>
        <v/>
      </c>
      <c r="H54" s="472">
        <f>SUMPRODUCT((ISNUMBER(SEARCH($Y5,Dienstplan!$B$8:$B$19))*(ISNUMBER(SEARCH($AB$8,Dienstplan!$CP$8:$DS$19)))))</f>
        <v/>
      </c>
      <c r="I54" s="472">
        <f>SUMPRODUCT((ISNUMBER(SEARCH($Y5,Dienstplan!$B$8:$B$19))*(ISNUMBER(SEARCH($AB$9,Dienstplan!$CP$8:$DS$19)))))</f>
        <v/>
      </c>
      <c r="J54" s="472">
        <f>SUMPRODUCT((ISNUMBER(SEARCH($Y5,Dienstplan!$B$8:$B$19))*(ISNUMBER(SEARCH($AB$10,Dienstplan!$CP$8:$DS$19)))))</f>
        <v/>
      </c>
      <c r="K54" s="472">
        <f>SUMPRODUCT((ISNUMBER(SEARCH($Y5,Dienstplan!$B$8:$B$19))*(ISNUMBER(SEARCH($AB$11,Dienstplan!$CP$8:$DS$19)))))-$Q54</f>
        <v/>
      </c>
      <c r="L54" s="472">
        <f>SUMPRODUCT((ISNUMBER(SEARCH($Y5,Dienstplan!$B$8:$B$19))*(ISNUMBER(SEARCH($AB$12,Dienstplan!$CP$8:$DS$19)))))</f>
        <v/>
      </c>
      <c r="M54" s="472">
        <f>SUMPRODUCT((ISNUMBER(SEARCH($Y5,Dienstplan!$B$8:$B$19))*(ISNUMBER(SEARCH($AB$13,Dienstplan!$CP$8:$DS$19)))))</f>
        <v/>
      </c>
      <c r="N54" s="472">
        <f>SUMPRODUCT((ISNUMBER(SEARCH($Y5,Dienstplan!$B$8:$B$19))*(ISNUMBER(SEARCH($AB$14,Dienstplan!$CP$8:$DS$19)))))</f>
        <v/>
      </c>
      <c r="O54" s="472">
        <f>SUMPRODUCT((ISNUMBER(SEARCH($Y5,Dienstplan!$B$8:$B$19))*(ISNUMBER(SEARCH($AB$15,Dienstplan!$CP$8:$DS$19)))))</f>
        <v/>
      </c>
      <c r="P54" s="472">
        <f>SUMPRODUCT((ISNUMBER(SEARCH($Y5,Dienstplan!$B$8:$B$19))*(ISNUMBER(SEARCH($AB$16,Dienstplan!$CP$8:$DS$19)))))</f>
        <v/>
      </c>
      <c r="Q54" s="472">
        <f>SUMPRODUCT((ISNUMBER(SEARCH($Y5,Dienstplan!$B$8:$B$19))*(ISNUMBER(SEARCH($AB$17,Dienstplan!$CP$8:$DS$19)))))</f>
        <v/>
      </c>
      <c r="R54" s="472">
        <f>SUMPRODUCT((ISNUMBER(SEARCH($Y5,Dienstplan!$B$8:$B$19))*(ISNUMBER(SEARCH($AB$18,Dienstplan!$CP$8:$DS$19)))))</f>
        <v/>
      </c>
      <c r="S54" s="472">
        <f>SUMPRODUCT((ISNUMBER(SEARCH($Y5,Dienstplan!$B$8:$B$19))*(ISNUMBER(SEARCH($AB$19,Dienstplan!$CP$8:$DS$19)))))</f>
        <v/>
      </c>
      <c r="T54" s="472">
        <f>SUM($F$50*$Z5)</f>
        <v/>
      </c>
      <c r="U54" s="472">
        <f>SUM($C54*Frueh_1+$D54*Spaet_1+$E54*Nacht_1+$F54*Normal_1+$I54*Sonderd_1-$J54*Rath_M+$K54*Rath_M+$L54*EH_Kurs+$M54*Koor_taet+$N54*Sekre_1+$O54*Rath_M+$R54*Rath_M+$P54*Rath_M+$Q54*Rath_M+G54*Rath_M+H54*Rath_M)</f>
        <v/>
      </c>
      <c r="V54" s="472">
        <f>SUM($U54-$T54)</f>
        <v/>
      </c>
      <c r="W54" s="472">
        <f>V54+W38</f>
        <v/>
      </c>
      <c r="X54" s="472" t="n"/>
      <c r="Y54" s="472" t="n"/>
      <c r="Z54" s="472" t="n"/>
      <c r="AA54" s="472" t="n"/>
      <c r="AB54" s="472" t="n"/>
      <c r="AC54" s="472" t="n"/>
      <c r="AD54" s="472" t="n"/>
      <c r="AE54" s="472" t="n"/>
      <c r="AF54" s="472" t="n"/>
      <c r="AG54" s="472" t="n"/>
      <c r="AH54" s="472" t="n"/>
      <c r="AI54" s="472" t="n"/>
      <c r="AJ54" s="472" t="n"/>
    </row>
    <row r="55">
      <c r="A55" s="472" t="n"/>
      <c r="B55" s="471">
        <f>B7</f>
        <v/>
      </c>
      <c r="C55" s="472">
        <f>SUMPRODUCT((ISNUMBER(SEARCH($Y6,Dienstplan!$B$8:$B$19))*(ISNUMBER(SEARCH($AB$3,Dienstplan!$CP$8:$DS$19)))))-D55</f>
        <v/>
      </c>
      <c r="D55" s="472">
        <f>SUMPRODUCT((ISNUMBER(SEARCH($Y6,Dienstplan!$B$8:$B$19))*(ISNUMBER(SEARCH($AB$4,Dienstplan!$CP$8:$DS$19)))))</f>
        <v/>
      </c>
      <c r="E55" s="472">
        <f>SUMPRODUCT((ISNUMBER(SEARCH($Y6,Dienstplan!$B$8:$B$19))*(ISNUMBER(SEARCH($AB$5,Dienstplan!$CP$8:$DS$19)))))</f>
        <v/>
      </c>
      <c r="F55" s="472">
        <f>SUMPRODUCT((ISNUMBER(SEARCH($Y6,Dienstplan!$B$8:$B$19))*(ISNUMBER(SEARCH($AB$6,Dienstplan!$CP$8:$DS$19)))))</f>
        <v/>
      </c>
      <c r="G55" s="472">
        <f>SUMPRODUCT((ISNUMBER(SEARCH($Y6,Dienstplan!$B$8:$B$19))*(ISNUMBER(SEARCH($AB$7,Dienstplan!$CP$8:$DS$19)))))-H55</f>
        <v/>
      </c>
      <c r="H55" s="472">
        <f>SUMPRODUCT((ISNUMBER(SEARCH($Y6,Dienstplan!$B$8:$B$19))*(ISNUMBER(SEARCH($AB$8,Dienstplan!$CP$8:$DS$19)))))</f>
        <v/>
      </c>
      <c r="I55" s="472">
        <f>SUMPRODUCT((ISNUMBER(SEARCH($Y6,Dienstplan!$B$8:$B$19))*(ISNUMBER(SEARCH($AB$9,Dienstplan!$CP$8:$DS$19)))))</f>
        <v/>
      </c>
      <c r="J55" s="472">
        <f>SUMPRODUCT((ISNUMBER(SEARCH($Y6,Dienstplan!$B$8:$B$19))*(ISNUMBER(SEARCH($AB$10,Dienstplan!$CP$8:$DS$19)))))</f>
        <v/>
      </c>
      <c r="K55" s="472">
        <f>SUMPRODUCT((ISNUMBER(SEARCH($Y6,Dienstplan!$B$8:$B$19))*(ISNUMBER(SEARCH($AB$11,Dienstplan!$CP$8:$DS$19)))))-$Q55</f>
        <v/>
      </c>
      <c r="L55" s="472">
        <f>SUMPRODUCT((ISNUMBER(SEARCH($Y6,Dienstplan!$B$8:$B$19))*(ISNUMBER(SEARCH($AB$12,Dienstplan!$CP$8:$DS$19)))))</f>
        <v/>
      </c>
      <c r="M55" s="472">
        <f>SUMPRODUCT((ISNUMBER(SEARCH($Y6,Dienstplan!$B$8:$B$19))*(ISNUMBER(SEARCH($AB$13,Dienstplan!$CP$8:$DS$19)))))</f>
        <v/>
      </c>
      <c r="N55" s="472">
        <f>SUMPRODUCT((ISNUMBER(SEARCH($Y6,Dienstplan!$B$8:$B$19))*(ISNUMBER(SEARCH($AB$14,Dienstplan!$CP$8:$DS$19)))))</f>
        <v/>
      </c>
      <c r="O55" s="472">
        <f>SUMPRODUCT((ISNUMBER(SEARCH($Y6,Dienstplan!$B$8:$B$19))*(ISNUMBER(SEARCH($AB$15,Dienstplan!$CP$8:$DS$19)))))</f>
        <v/>
      </c>
      <c r="P55" s="472">
        <f>SUMPRODUCT((ISNUMBER(SEARCH($Y6,Dienstplan!$B$8:$B$19))*(ISNUMBER(SEARCH($AB$16,Dienstplan!$CP$8:$DS$19)))))</f>
        <v/>
      </c>
      <c r="Q55" s="472">
        <f>SUMPRODUCT((ISNUMBER(SEARCH($Y6,Dienstplan!$B$8:$B$19))*(ISNUMBER(SEARCH($AB$17,Dienstplan!$CP$8:$DS$19)))))</f>
        <v/>
      </c>
      <c r="R55" s="472">
        <f>SUMPRODUCT((ISNUMBER(SEARCH($Y6,Dienstplan!$B$8:$B$19))*(ISNUMBER(SEARCH($AB$18,Dienstplan!$CP$8:$DS$19)))))</f>
        <v/>
      </c>
      <c r="S55" s="472">
        <f>SUMPRODUCT((ISNUMBER(SEARCH($Y6,Dienstplan!$B$8:$B$19))*(ISNUMBER(SEARCH($AB$19,Dienstplan!$CP$8:$DS$19)))))</f>
        <v/>
      </c>
      <c r="T55" s="472">
        <f>SUM($F$50*$Z6)</f>
        <v/>
      </c>
      <c r="U55" s="472">
        <f>SUM($C55*Frueh_1+$D55*Spaet_1+$E55*Nacht_1+$F55*Normal_1+$I55*Sonderd_1-$J55*Scho_K+$K55*Scho_K+$L55*EH_Kurs+$M55*Koor_taet+$N55*Sekre_1+$O55*Scho_K+$R55*Scho_K+$P55*Scho_K+$Q55*Scho_K+G55*Scho_K+H55*Scho_K)</f>
        <v/>
      </c>
      <c r="V55" s="472">
        <f>SUM($U55-$T55)</f>
        <v/>
      </c>
      <c r="W55" s="472">
        <f>V55+W39</f>
        <v/>
      </c>
      <c r="X55" s="472" t="n"/>
      <c r="Y55" s="472" t="n"/>
      <c r="Z55" s="472" t="n"/>
      <c r="AA55" s="472" t="n"/>
      <c r="AB55" s="472" t="n"/>
      <c r="AC55" s="472" t="n"/>
      <c r="AD55" s="472" t="n"/>
      <c r="AE55" s="472" t="n"/>
      <c r="AF55" s="472" t="n"/>
      <c r="AG55" s="472" t="n"/>
      <c r="AH55" s="472" t="n"/>
      <c r="AI55" s="472" t="n"/>
      <c r="AJ55" s="472" t="n"/>
    </row>
    <row r="56">
      <c r="A56" s="472" t="n"/>
      <c r="B56" s="471">
        <f>B8</f>
        <v/>
      </c>
      <c r="C56" s="472">
        <f>SUMPRODUCT((ISNUMBER(SEARCH($Y7,Dienstplan!$B$8:$B$19))*(ISNUMBER(SEARCH($AB$3,Dienstplan!$CP$8:$DS$19)))))-D56</f>
        <v/>
      </c>
      <c r="D56" s="472">
        <f>SUMPRODUCT((ISNUMBER(SEARCH($Y7,Dienstplan!$B$8:$B$19))*(ISNUMBER(SEARCH($AB$4,Dienstplan!$CP$8:$DS$19)))))</f>
        <v/>
      </c>
      <c r="E56" s="472">
        <f>SUMPRODUCT((ISNUMBER(SEARCH($Y7,Dienstplan!$B$8:$B$19))*(ISNUMBER(SEARCH($AB$5,Dienstplan!$CP$8:$DS$19)))))</f>
        <v/>
      </c>
      <c r="F56" s="472">
        <f>SUMPRODUCT((ISNUMBER(SEARCH($Y7,Dienstplan!$B$8:$B$19))*(ISNUMBER(SEARCH($AB$6,Dienstplan!$CP$8:$DS$19)))))</f>
        <v/>
      </c>
      <c r="G56" s="472">
        <f>SUMPRODUCT((ISNUMBER(SEARCH($Y7,Dienstplan!$B$8:$B$19))*(ISNUMBER(SEARCH($AB$7,Dienstplan!$CP$8:$DS$19)))))-H56</f>
        <v/>
      </c>
      <c r="H56" s="472">
        <f>SUMPRODUCT((ISNUMBER(SEARCH($Y7,Dienstplan!$B$8:$B$19))*(ISNUMBER(SEARCH($AB$8,Dienstplan!$CP$8:$DS$19)))))</f>
        <v/>
      </c>
      <c r="I56" s="472">
        <f>SUMPRODUCT((ISNUMBER(SEARCH($Y7,Dienstplan!$B$8:$B$19))*(ISNUMBER(SEARCH($AB$9,Dienstplan!$CP$8:$DS$19)))))</f>
        <v/>
      </c>
      <c r="J56" s="472">
        <f>SUMPRODUCT((ISNUMBER(SEARCH($Y7,Dienstplan!$B$8:$B$19))*(ISNUMBER(SEARCH($AB$10,Dienstplan!$CP$8:$DS$19)))))</f>
        <v/>
      </c>
      <c r="K56" s="472">
        <f>SUMPRODUCT((ISNUMBER(SEARCH($Y7,Dienstplan!$B$8:$B$19))*(ISNUMBER(SEARCH($AB$11,Dienstplan!$CP$8:$DS$19)))))-$Q56</f>
        <v/>
      </c>
      <c r="L56" s="472">
        <f>SUMPRODUCT((ISNUMBER(SEARCH($Y7,Dienstplan!$B$8:$B$19))*(ISNUMBER(SEARCH($AB$12,Dienstplan!$CP$8:$DS$19)))))</f>
        <v/>
      </c>
      <c r="M56" s="472">
        <f>SUMPRODUCT((ISNUMBER(SEARCH($Y7,Dienstplan!$B$8:$B$19))*(ISNUMBER(SEARCH($AB$13,Dienstplan!$CP$8:$DS$19)))))</f>
        <v/>
      </c>
      <c r="N56" s="472">
        <f>SUMPRODUCT((ISNUMBER(SEARCH($Y7,Dienstplan!$B$8:$B$19))*(ISNUMBER(SEARCH($AB$14,Dienstplan!$CP$8:$DS$19)))))</f>
        <v/>
      </c>
      <c r="O56" s="472">
        <f>SUMPRODUCT((ISNUMBER(SEARCH($Y7,Dienstplan!$B$8:$B$19))*(ISNUMBER(SEARCH($AB$15,Dienstplan!$CP$8:$DS$19)))))</f>
        <v/>
      </c>
      <c r="P56" s="472">
        <f>SUMPRODUCT((ISNUMBER(SEARCH($Y7,Dienstplan!$B$8:$B$19))*(ISNUMBER(SEARCH($AB$16,Dienstplan!$CP$8:$DS$19)))))</f>
        <v/>
      </c>
      <c r="Q56" s="472">
        <f>SUMPRODUCT((ISNUMBER(SEARCH($Y7,Dienstplan!$B$8:$B$19))*(ISNUMBER(SEARCH($AB$17,Dienstplan!$CP$8:$DS$19)))))</f>
        <v/>
      </c>
      <c r="R56" s="472">
        <f>SUMPRODUCT((ISNUMBER(SEARCH($Y7,Dienstplan!$B$8:$B$19))*(ISNUMBER(SEARCH($AB$18,Dienstplan!$CP$8:$DS$19)))))</f>
        <v/>
      </c>
      <c r="S56" s="472">
        <f>SUMPRODUCT((ISNUMBER(SEARCH($Y7,Dienstplan!$B$8:$B$19))*(ISNUMBER(SEARCH($AB$19,Dienstplan!$CP$8:$DS$19)))))</f>
        <v/>
      </c>
      <c r="T56" s="472">
        <f>SUM($F$50*$Z7)</f>
        <v/>
      </c>
      <c r="U56" s="472">
        <f>SUM($C56*Frueh_1+$D56*Spaet_1+$E56*Nacht_1+$F56*Normal_1+$I56*Sonderd_1-$J56*Krie_B+$K56*Krie_B+$L56*EH_Kurs+$M56*Koor_taet+$N56*Sekre_1+$O56*Krie_B+$R56*Krie_B+$P56*Krie_B+$Q56*Krie_B+G56*Krie_B+H56*Krie_B)</f>
        <v/>
      </c>
      <c r="V56" s="472">
        <f>SUM($U56-$T56)</f>
        <v/>
      </c>
      <c r="W56" s="472">
        <f>V56+W40</f>
        <v/>
      </c>
      <c r="X56" s="472" t="n"/>
      <c r="Y56" s="472" t="n"/>
      <c r="Z56" s="472" t="n"/>
      <c r="AA56" s="472" t="n"/>
      <c r="AB56" s="472" t="n"/>
      <c r="AC56" s="472" t="n"/>
      <c r="AD56" s="472" t="n"/>
      <c r="AE56" s="472" t="n"/>
      <c r="AF56" s="472" t="n"/>
      <c r="AG56" s="472" t="n"/>
      <c r="AH56" s="472" t="n"/>
      <c r="AI56" s="472" t="n"/>
      <c r="AJ56" s="472" t="n"/>
    </row>
    <row r="57">
      <c r="A57" s="472" t="n"/>
      <c r="B57" s="471">
        <f>B9</f>
        <v/>
      </c>
      <c r="C57" s="472">
        <f>SUMPRODUCT((ISNUMBER(SEARCH($Y8,Dienstplan!$B$8:$B$19))*(ISNUMBER(SEARCH($AB$3,Dienstplan!$CP$8:$DS$19)))))-D57</f>
        <v/>
      </c>
      <c r="D57" s="472">
        <f>SUMPRODUCT((ISNUMBER(SEARCH($Y8,Dienstplan!$B$8:$B$19))*(ISNUMBER(SEARCH($AB$4,Dienstplan!$CP$8:$DS$19)))))</f>
        <v/>
      </c>
      <c r="E57" s="472">
        <f>SUMPRODUCT((ISNUMBER(SEARCH($Y8,Dienstplan!$B$8:$B$19))*(ISNUMBER(SEARCH($AB$5,Dienstplan!$CP$8:$DS$19)))))</f>
        <v/>
      </c>
      <c r="F57" s="472">
        <f>SUMPRODUCT((ISNUMBER(SEARCH($Y8,Dienstplan!$B$8:$B$19))*(ISNUMBER(SEARCH($AB$6,Dienstplan!$CP$8:$DS$19)))))</f>
        <v/>
      </c>
      <c r="G57" s="472">
        <f>SUMPRODUCT((ISNUMBER(SEARCH($Y8,Dienstplan!$B$8:$B$19))*(ISNUMBER(SEARCH($AB$7,Dienstplan!$CP$8:$DS$19)))))-H57</f>
        <v/>
      </c>
      <c r="H57" s="472">
        <f>SUMPRODUCT((ISNUMBER(SEARCH($Y8,Dienstplan!$B$8:$B$19))*(ISNUMBER(SEARCH($AB$8,Dienstplan!$CP$8:$DS$19)))))</f>
        <v/>
      </c>
      <c r="I57" s="472">
        <f>SUMPRODUCT((ISNUMBER(SEARCH($Y8,Dienstplan!$B$8:$B$19))*(ISNUMBER(SEARCH($AB$9,Dienstplan!$CP$8:$DS$19)))))</f>
        <v/>
      </c>
      <c r="J57" s="472">
        <f>SUMPRODUCT((ISNUMBER(SEARCH($Y8,Dienstplan!$B$8:$B$19))*(ISNUMBER(SEARCH($AB$10,Dienstplan!$CP$8:$DS$19)))))</f>
        <v/>
      </c>
      <c r="K57" s="472">
        <f>SUMPRODUCT((ISNUMBER(SEARCH($Y8,Dienstplan!$B$8:$B$19))*(ISNUMBER(SEARCH($AB$11,Dienstplan!$CP$8:$DS$19)))))-$Q57</f>
        <v/>
      </c>
      <c r="L57" s="472">
        <f>SUMPRODUCT((ISNUMBER(SEARCH($Y8,Dienstplan!$B$8:$B$19))*(ISNUMBER(SEARCH($AB$12,Dienstplan!$CP$8:$DS$19)))))</f>
        <v/>
      </c>
      <c r="M57" s="472">
        <f>SUMPRODUCT((ISNUMBER(SEARCH($Y8,Dienstplan!$B$8:$B$19))*(ISNUMBER(SEARCH($AB$13,Dienstplan!$CP$8:$DS$19)))))</f>
        <v/>
      </c>
      <c r="N57" s="472">
        <f>SUMPRODUCT((ISNUMBER(SEARCH($Y8,Dienstplan!$B$8:$B$19))*(ISNUMBER(SEARCH($AB$14,Dienstplan!$CP$8:$DS$19)))))</f>
        <v/>
      </c>
      <c r="O57" s="472">
        <f>SUMPRODUCT((ISNUMBER(SEARCH($Y8,Dienstplan!$B$8:$B$19))*(ISNUMBER(SEARCH($AB$15,Dienstplan!$CP$8:$DS$19)))))</f>
        <v/>
      </c>
      <c r="P57" s="472">
        <f>SUMPRODUCT((ISNUMBER(SEARCH($Y8,Dienstplan!$B$8:$B$19))*(ISNUMBER(SEARCH($AB$16,Dienstplan!$CP$8:$DS$19)))))</f>
        <v/>
      </c>
      <c r="Q57" s="472">
        <f>SUMPRODUCT((ISNUMBER(SEARCH($Y8,Dienstplan!$B$8:$B$19))*(ISNUMBER(SEARCH($AB$17,Dienstplan!$CP$8:$DS$19)))))</f>
        <v/>
      </c>
      <c r="R57" s="472">
        <f>SUMPRODUCT((ISNUMBER(SEARCH($Y8,Dienstplan!$B$8:$B$19))*(ISNUMBER(SEARCH($AB$18,Dienstplan!$CP$8:$DS$19)))))</f>
        <v/>
      </c>
      <c r="S57" s="472">
        <f>SUMPRODUCT((ISNUMBER(SEARCH($Y8,Dienstplan!$B$8:$B$19))*(ISNUMBER(SEARCH($AB$19,Dienstplan!$CP$8:$DS$19)))))</f>
        <v/>
      </c>
      <c r="T57" s="472">
        <f>SUM($F$50*$Z8)</f>
        <v/>
      </c>
      <c r="U57" s="472">
        <f>SUM($C57*Frueh_1+$D57*Spaet_1+$E57*Nacht_1+$F57*Normal_1+$I57*Sonderd_1-$J57*Muster+$K57*Muster+$L57*EH_Kurs+$M57*Koor_taet+$N57*Sekre_1+$O57*Muster+$P57*Muster+$Q57*Muster+$R57*Muster+G57*Muster+H57*Muster)</f>
        <v/>
      </c>
      <c r="V57" s="472">
        <f>SUM($U57-$T57)</f>
        <v/>
      </c>
      <c r="W57" s="472">
        <f>V57+W41</f>
        <v/>
      </c>
      <c r="X57" s="472" t="n"/>
      <c r="Y57" s="472" t="n"/>
      <c r="Z57" s="472" t="n"/>
      <c r="AA57" s="472" t="n"/>
      <c r="AB57" s="472" t="n"/>
      <c r="AC57" s="472" t="n"/>
      <c r="AD57" s="472" t="n"/>
      <c r="AE57" s="472" t="n"/>
      <c r="AF57" s="472" t="n"/>
      <c r="AG57" s="472" t="n"/>
      <c r="AH57" s="472" t="n"/>
      <c r="AI57" s="472" t="n"/>
      <c r="AJ57" s="472" t="n"/>
    </row>
    <row r="58">
      <c r="A58" s="472" t="n"/>
      <c r="B58" s="471">
        <f>B10</f>
        <v/>
      </c>
      <c r="C58" s="472">
        <f>SUMPRODUCT((ISNUMBER(SEARCH($Y9,Dienstplan!$B$8:$B$19))*(ISNUMBER(SEARCH($AB$3,Dienstplan!$CP$8:$DS$19)))))-D58</f>
        <v/>
      </c>
      <c r="D58" s="472">
        <f>SUMPRODUCT((ISNUMBER(SEARCH($Y9,Dienstplan!$B$8:$B$19))*(ISNUMBER(SEARCH($AB$4,Dienstplan!$CP$8:$DS$19)))))</f>
        <v/>
      </c>
      <c r="E58" s="472">
        <f>SUMPRODUCT((ISNUMBER(SEARCH($Y9,Dienstplan!$B$8:$B$19))*(ISNUMBER(SEARCH($AB$5,Dienstplan!$CP$8:$DS$19)))))</f>
        <v/>
      </c>
      <c r="F58" s="472">
        <f>SUMPRODUCT((ISNUMBER(SEARCH($Y9,Dienstplan!$B$8:$B$19))*(ISNUMBER(SEARCH($AB$6,Dienstplan!$CP$8:$DS$19)))))</f>
        <v/>
      </c>
      <c r="G58" s="472">
        <f>SUMPRODUCT((ISNUMBER(SEARCH($Y9,Dienstplan!$B$8:$B$19))*(ISNUMBER(SEARCH($AB$7,Dienstplan!$CP$8:$DS$19)))))-H58</f>
        <v/>
      </c>
      <c r="H58" s="472">
        <f>SUMPRODUCT((ISNUMBER(SEARCH($Y9,Dienstplan!$B$8:$B$19))*(ISNUMBER(SEARCH($AB$8,Dienstplan!$CP$8:$DS$19)))))</f>
        <v/>
      </c>
      <c r="I58" s="472">
        <f>SUMPRODUCT((ISNUMBER(SEARCH($Y9,Dienstplan!$B$8:$B$19))*(ISNUMBER(SEARCH($AB$9,Dienstplan!$CP$8:$DS$19)))))</f>
        <v/>
      </c>
      <c r="J58" s="472">
        <f>SUMPRODUCT((ISNUMBER(SEARCH($Y9,Dienstplan!$B$8:$B$19))*(ISNUMBER(SEARCH($AB$10,Dienstplan!$CP$8:$DS$19)))))</f>
        <v/>
      </c>
      <c r="K58" s="472">
        <f>SUMPRODUCT((ISNUMBER(SEARCH($Y9,Dienstplan!$B$8:$B$19))*(ISNUMBER(SEARCH($AB$11,Dienstplan!$CP$8:$DS$19)))))-$Q58</f>
        <v/>
      </c>
      <c r="L58" s="472">
        <f>SUMPRODUCT((ISNUMBER(SEARCH($Y9,Dienstplan!$B$8:$B$19))*(ISNUMBER(SEARCH($AB$12,Dienstplan!$CP$8:$DS$19)))))</f>
        <v/>
      </c>
      <c r="M58" s="472">
        <f>SUMPRODUCT((ISNUMBER(SEARCH($Y9,Dienstplan!$B$8:$B$19))*(ISNUMBER(SEARCH($AB$13,Dienstplan!$CP$8:$DS$19)))))</f>
        <v/>
      </c>
      <c r="N58" s="472">
        <f>SUMPRODUCT((ISNUMBER(SEARCH($Y9,Dienstplan!$B$8:$B$19))*(ISNUMBER(SEARCH($AB$14,Dienstplan!$CP$8:$DS$19)))))</f>
        <v/>
      </c>
      <c r="O58" s="472">
        <f>SUMPRODUCT((ISNUMBER(SEARCH($Y9,Dienstplan!$B$8:$B$19))*(ISNUMBER(SEARCH($AB$15,Dienstplan!$CP$8:$DS$19)))))</f>
        <v/>
      </c>
      <c r="P58" s="472">
        <f>SUMPRODUCT((ISNUMBER(SEARCH($Y9,Dienstplan!$B$8:$B$19))*(ISNUMBER(SEARCH($AB$16,Dienstplan!$CP$8:$DS$19)))))</f>
        <v/>
      </c>
      <c r="Q58" s="472">
        <f>SUMPRODUCT((ISNUMBER(SEARCH($Y9,Dienstplan!$B$8:$B$19))*(ISNUMBER(SEARCH($AB$17,Dienstplan!$CP$8:$DS$19)))))</f>
        <v/>
      </c>
      <c r="R58" s="472">
        <f>SUMPRODUCT((ISNUMBER(SEARCH($Y9,Dienstplan!$B$8:$B$19))*(ISNUMBER(SEARCH($AB$18,Dienstplan!$CP$8:$DS$19)))))</f>
        <v/>
      </c>
      <c r="S58" s="472">
        <f>SUMPRODUCT((ISNUMBER(SEARCH($Y9,Dienstplan!$B$8:$B$19))*(ISNUMBER(SEARCH($AB$19,Dienstplan!$CP$8:$DS$19)))))</f>
        <v/>
      </c>
      <c r="T58" s="472">
        <f>SUM($F$50*$Z9)</f>
        <v/>
      </c>
      <c r="U58" s="472">
        <f>SUM($C58*Frueh_1+$D58*Spaet_1+$E58*Nacht_1+$F58*Normal_1+$I58*Sonderd_1-$J58*Muster+$K58*Muster+$L58*EH_Kurs+$M58*Koor_taet+$N58*Sekre_1+$O58*Muster+$P58*Muster+$Q58*Muster+$R58*Muster+G58*Muster+H58*Muster)</f>
        <v/>
      </c>
      <c r="V58" s="472">
        <f>SUM($U58-$T58)</f>
        <v/>
      </c>
      <c r="W58" s="472">
        <f>V58+W42</f>
        <v/>
      </c>
      <c r="X58" s="472" t="n"/>
      <c r="Y58" s="472" t="n"/>
      <c r="Z58" s="472" t="n"/>
      <c r="AA58" s="472" t="n"/>
      <c r="AB58" s="472" t="n"/>
      <c r="AC58" s="472" t="n"/>
      <c r="AD58" s="472" t="n"/>
      <c r="AE58" s="472" t="n"/>
      <c r="AF58" s="472" t="n"/>
      <c r="AG58" s="472" t="n"/>
      <c r="AH58" s="472" t="n"/>
      <c r="AI58" s="472" t="n"/>
      <c r="AJ58" s="472" t="n"/>
    </row>
    <row r="59">
      <c r="A59" s="472" t="n"/>
      <c r="B59" s="471">
        <f>B11</f>
        <v/>
      </c>
      <c r="C59" s="472">
        <f>SUMPRODUCT((ISNUMBER(SEARCH($Y10,Dienstplan!$B$8:$B$19))*(ISNUMBER(SEARCH($AB$3,Dienstplan!$CP$8:$DS$19)))))-D59</f>
        <v/>
      </c>
      <c r="D59" s="472">
        <f>SUMPRODUCT((ISNUMBER(SEARCH($Y10,Dienstplan!$B$8:$B$19))*(ISNUMBER(SEARCH($AB$4,Dienstplan!$CP$8:$DS$19)))))</f>
        <v/>
      </c>
      <c r="E59" s="472">
        <f>SUMPRODUCT((ISNUMBER(SEARCH($Y10,Dienstplan!$B$8:$B$19))*(ISNUMBER(SEARCH($AB$5,Dienstplan!$CP$8:$DS$19)))))</f>
        <v/>
      </c>
      <c r="F59" s="472">
        <f>SUMPRODUCT((ISNUMBER(SEARCH($Y10,Dienstplan!$B$8:$B$19))*(ISNUMBER(SEARCH($AB$6,Dienstplan!$CP$8:$DS$19)))))</f>
        <v/>
      </c>
      <c r="G59" s="472">
        <f>SUMPRODUCT((ISNUMBER(SEARCH($Y10,Dienstplan!$B$8:$B$19))*(ISNUMBER(SEARCH($AB$7,Dienstplan!$CP$8:$DS$19)))))-H59</f>
        <v/>
      </c>
      <c r="H59" s="472">
        <f>SUMPRODUCT((ISNUMBER(SEARCH($Y10,Dienstplan!$B$8:$B$19))*(ISNUMBER(SEARCH($AB$8,Dienstplan!$CP$8:$DS$19)))))</f>
        <v/>
      </c>
      <c r="I59" s="472">
        <f>SUMPRODUCT((ISNUMBER(SEARCH($Y10,Dienstplan!$B$8:$B$19))*(ISNUMBER(SEARCH($AB$9,Dienstplan!$CP$8:$DS$19)))))</f>
        <v/>
      </c>
      <c r="J59" s="472">
        <f>SUMPRODUCT((ISNUMBER(SEARCH($Y10,Dienstplan!$B$8:$B$19))*(ISNUMBER(SEARCH($AB$10,Dienstplan!$CP$8:$DS$19)))))</f>
        <v/>
      </c>
      <c r="K59" s="472">
        <f>SUMPRODUCT((ISNUMBER(SEARCH($Y10,Dienstplan!$B$8:$B$19))*(ISNUMBER(SEARCH($AB$11,Dienstplan!$CP$8:$DS$19)))))-$Q59</f>
        <v/>
      </c>
      <c r="L59" s="472">
        <f>SUMPRODUCT((ISNUMBER(SEARCH($Y10,Dienstplan!$B$8:$B$19))*(ISNUMBER(SEARCH($AB$12,Dienstplan!$CP$8:$DS$19)))))</f>
        <v/>
      </c>
      <c r="M59" s="472">
        <f>SUMPRODUCT((ISNUMBER(SEARCH($Y10,Dienstplan!$B$8:$B$19))*(ISNUMBER(SEARCH($AB$13,Dienstplan!$CP$8:$DS$19)))))</f>
        <v/>
      </c>
      <c r="N59" s="472">
        <f>SUMPRODUCT((ISNUMBER(SEARCH($Y10,Dienstplan!$B$8:$B$19))*(ISNUMBER(SEARCH($AB$14,Dienstplan!$CP$8:$DS$19)))))</f>
        <v/>
      </c>
      <c r="O59" s="472">
        <f>SUMPRODUCT((ISNUMBER(SEARCH($Y10,Dienstplan!$B$8:$B$19))*(ISNUMBER(SEARCH($AB$15,Dienstplan!$CP$8:$DS$19)))))</f>
        <v/>
      </c>
      <c r="P59" s="472">
        <f>SUMPRODUCT((ISNUMBER(SEARCH($Y10,Dienstplan!$B$8:$B$19))*(ISNUMBER(SEARCH($AB$16,Dienstplan!$CP$8:$DS$19)))))</f>
        <v/>
      </c>
      <c r="Q59" s="472">
        <f>SUMPRODUCT((ISNUMBER(SEARCH($Y10,Dienstplan!$B$8:$B$19))*(ISNUMBER(SEARCH($AB$17,Dienstplan!$CP$8:$DS$19)))))</f>
        <v/>
      </c>
      <c r="R59" s="472">
        <f>SUMPRODUCT((ISNUMBER(SEARCH($Y10,Dienstplan!$B$8:$B$19))*(ISNUMBER(SEARCH($AB$18,Dienstplan!$CP$8:$DS$19)))))</f>
        <v/>
      </c>
      <c r="S59" s="472">
        <f>SUMPRODUCT((ISNUMBER(SEARCH($Y10,Dienstplan!$B$8:$B$19))*(ISNUMBER(SEARCH($AB$19,Dienstplan!$CP$8:$DS$19)))))</f>
        <v/>
      </c>
      <c r="T59" s="472">
        <f>SUM($F$50*$Z10)</f>
        <v/>
      </c>
      <c r="U59" s="472">
        <f>SUM($C59*Frueh_1+$D59*Spaet_1+$E59*Nacht_1+$F59*Normal_1+$I59*Sonderd_1-$J59*Krem_E+$K59*Krem_E+$L59*EH_Kurs+$M59*Koor_taet+$N59*Sekre_1+$O59*Krem_E+$R59*Krem_E+$P59*Krem_E+$Q59*Krem_E+G59*Krem_E+H59*Krem_E)</f>
        <v/>
      </c>
      <c r="V59" s="472">
        <f>SUM($U59-$T59)</f>
        <v/>
      </c>
      <c r="W59" s="472">
        <f>V59+W43</f>
        <v/>
      </c>
      <c r="X59" s="472" t="n"/>
      <c r="Y59" s="472" t="n"/>
      <c r="Z59" s="472" t="n"/>
      <c r="AA59" s="472" t="n"/>
      <c r="AB59" s="472" t="n"/>
      <c r="AC59" s="472" t="n"/>
      <c r="AD59" s="472" t="n"/>
      <c r="AE59" s="472" t="n"/>
      <c r="AF59" s="472" t="n"/>
      <c r="AG59" s="472" t="n"/>
      <c r="AH59" s="472" t="n"/>
      <c r="AI59" s="472" t="n"/>
      <c r="AJ59" s="472" t="n"/>
    </row>
    <row r="60">
      <c r="A60" s="472" t="n"/>
      <c r="B60" s="471">
        <f>B12</f>
        <v/>
      </c>
      <c r="C60" s="472">
        <f>SUMPRODUCT((ISNUMBER(SEARCH($Y11,Dienstplan!$B$8:$B$19))*(ISNUMBER(SEARCH($AB$3,Dienstplan!$CP$8:$DS$19)))))-D60</f>
        <v/>
      </c>
      <c r="D60" s="472">
        <f>SUMPRODUCT((ISNUMBER(SEARCH($Y11,Dienstplan!$B$8:$B$19))*(ISNUMBER(SEARCH($AB$4,Dienstplan!$CP$8:$DS$19)))))</f>
        <v/>
      </c>
      <c r="E60" s="472">
        <f>SUMPRODUCT((ISNUMBER(SEARCH($Y11,Dienstplan!$B$8:$B$19))*(ISNUMBER(SEARCH($AB$5,Dienstplan!$CP$8:$DS$19)))))</f>
        <v/>
      </c>
      <c r="F60" s="472">
        <f>SUMPRODUCT((ISNUMBER(SEARCH($Y11,Dienstplan!$B$8:$B$19))*(ISNUMBER(SEARCH($AB$6,Dienstplan!$CP$8:$DS$19)))))</f>
        <v/>
      </c>
      <c r="G60" s="472">
        <f>SUMPRODUCT((ISNUMBER(SEARCH($Y11,Dienstplan!$B$8:$B$19))*(ISNUMBER(SEARCH($AB$7,Dienstplan!$CP$8:$DS$19)))))-H60</f>
        <v/>
      </c>
      <c r="H60" s="472">
        <f>SUMPRODUCT((ISNUMBER(SEARCH($Y11,Dienstplan!$B$8:$B$19))*(ISNUMBER(SEARCH($AB$8,Dienstplan!$CP$8:$DS$19)))))</f>
        <v/>
      </c>
      <c r="I60" s="472">
        <f>SUMPRODUCT((ISNUMBER(SEARCH($Y11,Dienstplan!$B$8:$B$19))*(ISNUMBER(SEARCH($AB$9,Dienstplan!$CP$8:$DS$19)))))</f>
        <v/>
      </c>
      <c r="J60" s="472">
        <f>SUMPRODUCT((ISNUMBER(SEARCH($Y11,Dienstplan!$B$8:$B$19))*(ISNUMBER(SEARCH($AB$10,Dienstplan!$CP$8:$DS$19)))))</f>
        <v/>
      </c>
      <c r="K60" s="472">
        <f>SUMPRODUCT((ISNUMBER(SEARCH($Y11,Dienstplan!$B$8:$B$19))*(ISNUMBER(SEARCH($AB$11,Dienstplan!$CP$8:$DS$19)))))-$Q60</f>
        <v/>
      </c>
      <c r="L60" s="472">
        <f>SUMPRODUCT((ISNUMBER(SEARCH($Y11,Dienstplan!$B$8:$B$19))*(ISNUMBER(SEARCH($AB$12,Dienstplan!$CP$8:$DS$19)))))</f>
        <v/>
      </c>
      <c r="M60" s="472">
        <f>SUMPRODUCT((ISNUMBER(SEARCH($Y11,Dienstplan!$B$8:$B$19))*(ISNUMBER(SEARCH($AB$13,Dienstplan!$CP$8:$DS$19)))))</f>
        <v/>
      </c>
      <c r="N60" s="472">
        <f>SUMPRODUCT((ISNUMBER(SEARCH($Y11,Dienstplan!$B$8:$B$19))*(ISNUMBER(SEARCH($AB$14,Dienstplan!$CP$8:$DS$19)))))</f>
        <v/>
      </c>
      <c r="O60" s="472">
        <f>SUMPRODUCT((ISNUMBER(SEARCH($Y11,Dienstplan!$B$8:$B$19))*(ISNUMBER(SEARCH($AB$15,Dienstplan!$CP$8:$DS$19)))))</f>
        <v/>
      </c>
      <c r="P60" s="472">
        <f>SUMPRODUCT((ISNUMBER(SEARCH($Y11,Dienstplan!$B$8:$B$19))*(ISNUMBER(SEARCH($AB$16,Dienstplan!$CP$8:$DS$19)))))</f>
        <v/>
      </c>
      <c r="Q60" s="472">
        <f>SUMPRODUCT((ISNUMBER(SEARCH($Y11,Dienstplan!$B$8:$B$19))*(ISNUMBER(SEARCH($AB$17,Dienstplan!$CP$8:$DS$19)))))</f>
        <v/>
      </c>
      <c r="R60" s="472">
        <f>SUMPRODUCT((ISNUMBER(SEARCH($Y11,Dienstplan!$B$8:$B$19))*(ISNUMBER(SEARCH($AB$18,Dienstplan!$CP$8:$DS$19)))))</f>
        <v/>
      </c>
      <c r="S60" s="472">
        <f>SUMPRODUCT((ISNUMBER(SEARCH($Y11,Dienstplan!$B$8:$B$19))*(ISNUMBER(SEARCH($AB$19,Dienstplan!$CP$8:$DS$19)))))</f>
        <v/>
      </c>
      <c r="T60" s="472">
        <f>SUM($F$50*$Z11)</f>
        <v/>
      </c>
      <c r="U60" s="472">
        <f>SUM($C60*Frueh_1+$D60*Spaet_1+$E60*Nacht_1+$F60*Normal_1+$I60*Sonderd_1-$J60*Put_W+$K60*Put_W+$L60*EH_Kurs+$M60*Koor_taet+$N60*Sekre_1+$O60*Put_W+$R60*Put_W+$P60*Put_W+$Q60*Put_W+G60*Put_W+H60*Put_W)</f>
        <v/>
      </c>
      <c r="V60" s="472">
        <f>SUM($U60-$T60)</f>
        <v/>
      </c>
      <c r="W60" s="472">
        <f>V60+W44</f>
        <v/>
      </c>
      <c r="X60" s="472" t="n"/>
      <c r="Y60" s="472" t="n"/>
      <c r="Z60" s="472" t="n"/>
      <c r="AA60" s="472" t="n"/>
      <c r="AB60" s="472" t="n"/>
      <c r="AC60" s="472" t="n"/>
      <c r="AD60" s="472" t="n"/>
      <c r="AE60" s="472" t="n"/>
      <c r="AF60" s="472" t="n"/>
      <c r="AG60" s="472" t="n"/>
      <c r="AH60" s="472" t="n"/>
      <c r="AI60" s="472" t="n"/>
      <c r="AJ60" s="472" t="n"/>
    </row>
    <row r="61">
      <c r="A61" s="472" t="n"/>
      <c r="B61" s="471">
        <f>B13</f>
        <v/>
      </c>
      <c r="C61" s="472">
        <f>SUMPRODUCT((ISNUMBER(SEARCH($Y12,Dienstplan!$B$8:$B$19))*(ISNUMBER(SEARCH($AB$3,Dienstplan!$CP$8:$DS$19)))))-D61</f>
        <v/>
      </c>
      <c r="D61" s="472">
        <f>SUMPRODUCT((ISNUMBER(SEARCH($Y12,Dienstplan!$B$8:$B$19))*(ISNUMBER(SEARCH($AB$4,Dienstplan!$CP$8:$DS$19)))))</f>
        <v/>
      </c>
      <c r="E61" s="472">
        <f>SUMPRODUCT((ISNUMBER(SEARCH($Y12,Dienstplan!$B$8:$B$19))*(ISNUMBER(SEARCH($AB$5,Dienstplan!$CP$8:$DS$19)))))</f>
        <v/>
      </c>
      <c r="F61" s="472">
        <f>SUMPRODUCT((ISNUMBER(SEARCH($Y12,Dienstplan!$B$8:$B$19))*(ISNUMBER(SEARCH($AB$6,Dienstplan!$CP$8:$DS$19)))))</f>
        <v/>
      </c>
      <c r="G61" s="472">
        <f>SUMPRODUCT((ISNUMBER(SEARCH($Y12,Dienstplan!$B$8:$B$19))*(ISNUMBER(SEARCH($AB$7,Dienstplan!$CP$8:$DS$19)))))-H61</f>
        <v/>
      </c>
      <c r="H61" s="472">
        <f>SUMPRODUCT((ISNUMBER(SEARCH($Y12,Dienstplan!$B$8:$B$19))*(ISNUMBER(SEARCH($AB$8,Dienstplan!$CP$8:$DS$19)))))</f>
        <v/>
      </c>
      <c r="I61" s="472">
        <f>SUMPRODUCT((ISNUMBER(SEARCH($Y12,Dienstplan!$B$8:$B$19))*(ISNUMBER(SEARCH($AB$9,Dienstplan!$CP$8:$DS$19)))))</f>
        <v/>
      </c>
      <c r="J61" s="472">
        <f>SUMPRODUCT((ISNUMBER(SEARCH($Y12,Dienstplan!$B$8:$B$19))*(ISNUMBER(SEARCH($AB$10,Dienstplan!$CP$8:$DS$19)))))</f>
        <v/>
      </c>
      <c r="K61" s="472">
        <f>SUMPRODUCT((ISNUMBER(SEARCH($Y12,Dienstplan!$B$8:$B$19))*(ISNUMBER(SEARCH($AB$11,Dienstplan!$CP$8:$DS$19)))))-$Q61</f>
        <v/>
      </c>
      <c r="L61" s="472">
        <f>SUMPRODUCT((ISNUMBER(SEARCH($Y12,Dienstplan!$B$8:$B$19))*(ISNUMBER(SEARCH($AB$12,Dienstplan!$CP$8:$DS$19)))))</f>
        <v/>
      </c>
      <c r="M61" s="472">
        <f>SUMPRODUCT((ISNUMBER(SEARCH($Y12,Dienstplan!$B$8:$B$19))*(ISNUMBER(SEARCH($AB$13,Dienstplan!$CP$8:$DS$19)))))</f>
        <v/>
      </c>
      <c r="N61" s="472">
        <f>SUMPRODUCT((ISNUMBER(SEARCH($Y12,Dienstplan!$B$8:$B$19))*(ISNUMBER(SEARCH($AB$14,Dienstplan!$CP$8:$DS$19)))))</f>
        <v/>
      </c>
      <c r="O61" s="472">
        <f>SUMPRODUCT((ISNUMBER(SEARCH($Y12,Dienstplan!$B$8:$B$19))*(ISNUMBER(SEARCH($AB$15,Dienstplan!$CP$8:$DS$19)))))</f>
        <v/>
      </c>
      <c r="P61" s="472">
        <f>SUMPRODUCT((ISNUMBER(SEARCH($Y12,Dienstplan!$B$8:$B$19))*(ISNUMBER(SEARCH($AB$16,Dienstplan!$CP$8:$DS$19)))))</f>
        <v/>
      </c>
      <c r="Q61" s="472">
        <f>SUMPRODUCT((ISNUMBER(SEARCH($Y12,Dienstplan!$B$8:$B$19))*(ISNUMBER(SEARCH($AB$17,Dienstplan!$CP$8:$DS$19)))))</f>
        <v/>
      </c>
      <c r="R61" s="472">
        <f>SUMPRODUCT((ISNUMBER(SEARCH($Y12,Dienstplan!$B$8:$B$19))*(ISNUMBER(SEARCH($AB$18,Dienstplan!$CP$8:$DS$19)))))</f>
        <v/>
      </c>
      <c r="S61" s="472">
        <f>SUMPRODUCT((ISNUMBER(SEARCH($Y12,Dienstplan!$B$8:$B$19))*(ISNUMBER(SEARCH($AB$19,Dienstplan!$CP$8:$DS$19)))))</f>
        <v/>
      </c>
      <c r="T61" s="472">
        <f>SUM($F$50*$Z12)</f>
        <v/>
      </c>
      <c r="U61" s="472">
        <f>SUM($C61*Frueh_1+$D61*Spaet_1+$E61*Nacht_1+$F61*Normal_1+$I61*Sonderd_1-$J61*Radi_L+$K61*Radi_L+$L61*EH_Kurs+$M61*Koor_taet+$N61*Sekre_1+$O61*Radi_L+$R61*Radi_L+$P61*Radi_L+$Q61*Radi_L+G61*Radi_L+H61*Radi_L)</f>
        <v/>
      </c>
      <c r="V61" s="472">
        <f>SUM($U61-$T61)</f>
        <v/>
      </c>
      <c r="W61" s="472">
        <f>V61+W45</f>
        <v/>
      </c>
      <c r="X61" s="472" t="n"/>
      <c r="Y61" s="472" t="n"/>
      <c r="Z61" s="472" t="n"/>
      <c r="AA61" s="472" t="n"/>
      <c r="AB61" s="472" t="n"/>
      <c r="AC61" s="472" t="n"/>
      <c r="AD61" s="472" t="n"/>
      <c r="AE61" s="472" t="n"/>
      <c r="AF61" s="472" t="n"/>
      <c r="AG61" s="472" t="n"/>
      <c r="AH61" s="472" t="n"/>
      <c r="AI61" s="472" t="n"/>
      <c r="AJ61" s="472" t="n"/>
    </row>
    <row r="62">
      <c r="A62" s="472" t="n"/>
      <c r="B62" s="471">
        <f>B14</f>
        <v/>
      </c>
      <c r="C62" s="472">
        <f>SUMPRODUCT((ISNUMBER(SEARCH($Y13,Dienstplan!$B$8:$B$19))*(ISNUMBER(SEARCH($AB$3,Dienstplan!$CP$8:$DS$19)))))-D62</f>
        <v/>
      </c>
      <c r="D62" s="472">
        <f>SUMPRODUCT((ISNUMBER(SEARCH($Y13,Dienstplan!$B$8:$B$19))*(ISNUMBER(SEARCH($AB$4,Dienstplan!$CP$8:$DS$19)))))</f>
        <v/>
      </c>
      <c r="E62" s="472">
        <f>SUMPRODUCT((ISNUMBER(SEARCH($Y13,Dienstplan!$B$8:$B$19))*(ISNUMBER(SEARCH($AB$5,Dienstplan!$CP$8:$DS$19)))))</f>
        <v/>
      </c>
      <c r="F62" s="472">
        <f>SUMPRODUCT((ISNUMBER(SEARCH($Y13,Dienstplan!$B$8:$B$19))*(ISNUMBER(SEARCH($AB$6,Dienstplan!$CP$8:$DS$19)))))</f>
        <v/>
      </c>
      <c r="G62" s="472">
        <f>SUMPRODUCT((ISNUMBER(SEARCH($Y13,Dienstplan!$B$8:$B$19))*(ISNUMBER(SEARCH($AB$7,Dienstplan!$CP$8:$DS$19)))))-H62</f>
        <v/>
      </c>
      <c r="H62" s="472">
        <f>SUMPRODUCT((ISNUMBER(SEARCH($Y13,Dienstplan!$B$8:$B$19))*(ISNUMBER(SEARCH($AB$8,Dienstplan!$CP$8:$DS$19)))))</f>
        <v/>
      </c>
      <c r="I62" s="472">
        <f>SUMPRODUCT((ISNUMBER(SEARCH($Y13,Dienstplan!$B$8:$B$19))*(ISNUMBER(SEARCH($AB$9,Dienstplan!$CP$8:$DS$19)))))</f>
        <v/>
      </c>
      <c r="J62" s="472">
        <f>SUMPRODUCT((ISNUMBER(SEARCH($Y13,Dienstplan!$B$8:$B$19))*(ISNUMBER(SEARCH($AB$10,Dienstplan!$CP$8:$DS$19)))))</f>
        <v/>
      </c>
      <c r="K62" s="472">
        <f>SUMPRODUCT((ISNUMBER(SEARCH($Y13,Dienstplan!$B$8:$B$19))*(ISNUMBER(SEARCH($AB$11,Dienstplan!$CP$8:$DS$19)))))-$Q62</f>
        <v/>
      </c>
      <c r="L62" s="472">
        <f>SUMPRODUCT((ISNUMBER(SEARCH($Y13,Dienstplan!$B$8:$B$19))*(ISNUMBER(SEARCH($AB$12,Dienstplan!$CP$8:$DS$19)))))</f>
        <v/>
      </c>
      <c r="M62" s="472">
        <f>SUMPRODUCT((ISNUMBER(SEARCH($Y13,Dienstplan!$B$8:$B$19))*(ISNUMBER(SEARCH($AB$13,Dienstplan!$CP$8:$DS$19)))))</f>
        <v/>
      </c>
      <c r="N62" s="472">
        <f>SUMPRODUCT((ISNUMBER(SEARCH($Y13,Dienstplan!$B$8:$B$19))*(ISNUMBER(SEARCH($AB$14,Dienstplan!$CP$8:$DS$19)))))</f>
        <v/>
      </c>
      <c r="O62" s="472">
        <f>SUMPRODUCT((ISNUMBER(SEARCH($Y13,Dienstplan!$B$8:$B$19))*(ISNUMBER(SEARCH($AB$15,Dienstplan!$CP$8:$DS$19)))))</f>
        <v/>
      </c>
      <c r="P62" s="472">
        <f>SUMPRODUCT((ISNUMBER(SEARCH($Y13,Dienstplan!$B$8:$B$19))*(ISNUMBER(SEARCH($AB$16,Dienstplan!$CP$8:$DS$19)))))</f>
        <v/>
      </c>
      <c r="Q62" s="472">
        <f>SUMPRODUCT((ISNUMBER(SEARCH($Y13,Dienstplan!$B$8:$B$19))*(ISNUMBER(SEARCH($AB$17,Dienstplan!$CP$8:$DS$19)))))</f>
        <v/>
      </c>
      <c r="R62" s="472">
        <f>SUMPRODUCT((ISNUMBER(SEARCH($Y13,Dienstplan!$B$8:$B$19))*(ISNUMBER(SEARCH($AB$18,Dienstplan!$CP$8:$DS$19)))))</f>
        <v/>
      </c>
      <c r="S62" s="472">
        <f>SUMPRODUCT((ISNUMBER(SEARCH($Y13,Dienstplan!$B$8:$B$19))*(ISNUMBER(SEARCH($AB$19,Dienstplan!$CP$8:$DS$19)))))</f>
        <v/>
      </c>
      <c r="T62" s="472">
        <f>SUM($F$50*$Z13)</f>
        <v/>
      </c>
      <c r="U62" s="472">
        <f>SUM($C62*Frueh_1+$D62*Spaet_1+$E62*Nacht_1+$F62*Normal_1+$I62*Sonderd_1-$J62*Fortenb+$K62*Fortenb+$L62*EH_Kurs+$M62*Koor_taet+$N62*Sekre_1+$O62*Fortenb+$R62*Fortenb+$P62*Fortenb+$Q62*Fortenb+G62*Fortenb+H62*Fortenb)</f>
        <v/>
      </c>
      <c r="V62" s="472">
        <f>SUM($U62-$T62)</f>
        <v/>
      </c>
      <c r="W62" s="472">
        <f>V62+W46</f>
        <v/>
      </c>
      <c r="X62" s="472" t="n"/>
      <c r="Y62" s="472" t="n"/>
      <c r="Z62" s="472" t="n"/>
      <c r="AA62" s="472" t="n"/>
      <c r="AB62" s="472" t="n"/>
      <c r="AC62" s="472" t="n"/>
      <c r="AD62" s="472" t="n"/>
      <c r="AE62" s="472" t="n"/>
      <c r="AF62" s="472" t="n"/>
      <c r="AG62" s="472" t="n"/>
      <c r="AH62" s="472" t="n"/>
      <c r="AI62" s="472" t="n"/>
      <c r="AJ62" s="472" t="n"/>
    </row>
    <row r="63">
      <c r="A63" s="472" t="n"/>
      <c r="B63" s="471" t="n"/>
      <c r="C63" s="472" t="n"/>
      <c r="D63" s="472" t="n"/>
      <c r="E63" s="472" t="n"/>
      <c r="F63" s="472" t="n"/>
      <c r="G63" s="472" t="n"/>
      <c r="H63" s="472" t="n"/>
      <c r="I63" s="472" t="n"/>
      <c r="J63" s="472" t="n"/>
      <c r="K63" s="472" t="n"/>
      <c r="L63" s="472" t="n"/>
      <c r="M63" s="472" t="n"/>
      <c r="N63" s="472" t="n"/>
      <c r="O63" s="472" t="n"/>
      <c r="P63" s="472" t="n"/>
      <c r="Q63" s="472" t="n"/>
      <c r="R63" s="472" t="n"/>
      <c r="S63" s="472" t="n"/>
      <c r="T63" s="472" t="n"/>
      <c r="U63" s="472" t="n"/>
      <c r="V63" s="472" t="n"/>
      <c r="W63" s="472" t="n"/>
      <c r="X63" s="472" t="n"/>
      <c r="Y63" s="472" t="n"/>
      <c r="Z63" s="472" t="n"/>
      <c r="AA63" s="472" t="n"/>
      <c r="AB63" s="472" t="n"/>
      <c r="AC63" s="472" t="n"/>
      <c r="AD63" s="472" t="n"/>
      <c r="AE63" s="472" t="n"/>
      <c r="AF63" s="472" t="n"/>
      <c r="AG63" s="472" t="n"/>
      <c r="AH63" s="472" t="n"/>
      <c r="AI63" s="472" t="n"/>
      <c r="AJ63" s="472" t="n"/>
    </row>
    <row r="64">
      <c r="A64" s="483" t="n"/>
      <c r="B64" s="483" t="inlineStr">
        <is>
          <t>Summe</t>
        </is>
      </c>
      <c r="C64" s="483">
        <f>SUM(C52:C63)</f>
        <v/>
      </c>
      <c r="D64" s="483">
        <f>SUM(D52:D63)</f>
        <v/>
      </c>
      <c r="E64" s="483">
        <f>SUM(E52:E63)</f>
        <v/>
      </c>
      <c r="F64" s="483">
        <f>SUM(F52:F63)</f>
        <v/>
      </c>
      <c r="G64" s="483">
        <f>SUM(G52:G63)</f>
        <v/>
      </c>
      <c r="H64" s="483">
        <f>SUM(H52:H63)</f>
        <v/>
      </c>
      <c r="I64" s="483">
        <f>SUM(I52:I63)</f>
        <v/>
      </c>
      <c r="J64" s="483">
        <f>SUM(J52:J63)</f>
        <v/>
      </c>
      <c r="K64" s="483">
        <f>SUM(K52:K63)</f>
        <v/>
      </c>
      <c r="L64" s="483">
        <f>SUM(L52:L63)</f>
        <v/>
      </c>
      <c r="M64" s="483">
        <f>SUM(M52:M63)</f>
        <v/>
      </c>
      <c r="N64" s="483">
        <f>SUM(N52:N63)</f>
        <v/>
      </c>
      <c r="O64" s="483">
        <f>SUM(O52:O63)</f>
        <v/>
      </c>
      <c r="P64" s="483">
        <f>SUM(P52:P63)</f>
        <v/>
      </c>
      <c r="Q64" s="483">
        <f>SUM(Q52:Q63)</f>
        <v/>
      </c>
      <c r="R64" s="483">
        <f>SUM(R52:R63)</f>
        <v/>
      </c>
      <c r="S64" s="483">
        <f>SUM(S52:S63)</f>
        <v/>
      </c>
      <c r="T64" s="483">
        <f>SUM(T52:T60)</f>
        <v/>
      </c>
      <c r="U64" s="483">
        <f>SUM(U52:U60)</f>
        <v/>
      </c>
      <c r="V64" s="483" t="n"/>
      <c r="W64" s="483" t="n"/>
      <c r="X64" s="483" t="n"/>
      <c r="Y64" s="483" t="n"/>
      <c r="Z64" s="483" t="n"/>
      <c r="AA64" s="483" t="n"/>
      <c r="AB64" s="483" t="n"/>
      <c r="AC64" s="483" t="n"/>
      <c r="AD64" s="483" t="n"/>
      <c r="AE64" s="483" t="n"/>
      <c r="AF64" s="483" t="n"/>
      <c r="AG64" s="483" t="n"/>
      <c r="AH64" s="483" t="n"/>
      <c r="AI64" s="483" t="n"/>
      <c r="AJ64" s="483" t="n"/>
    </row>
    <row r="65">
      <c r="A65" s="11" t="n"/>
      <c r="B65" s="12" t="n"/>
      <c r="C65" s="1" t="n"/>
      <c r="D65" s="1" t="n"/>
      <c r="E65" s="1" t="n"/>
      <c r="F65" s="1" t="n"/>
      <c r="G65" s="1" t="n"/>
      <c r="H65" s="1" t="n"/>
      <c r="I65" s="1" t="n"/>
      <c r="J65" s="1" t="n"/>
      <c r="K65" s="1" t="n"/>
      <c r="L65" s="1" t="n"/>
      <c r="M65" s="1" t="n"/>
      <c r="N65" s="1" t="n"/>
      <c r="O65" s="1" t="n"/>
      <c r="P65" s="1" t="n"/>
      <c r="Q65" s="1" t="n"/>
      <c r="R65" s="1" t="n"/>
      <c r="S65" s="12" t="n"/>
      <c r="T65" s="1" t="n"/>
      <c r="U65" s="1" t="n"/>
      <c r="V65" s="12" t="n"/>
      <c r="W65" s="17" t="n"/>
    </row>
    <row r="66">
      <c r="A66" s="475" t="n"/>
      <c r="B66" s="476" t="inlineStr">
        <is>
          <t>Mai</t>
        </is>
      </c>
      <c r="C66" s="475" t="n"/>
      <c r="D66" s="477" t="inlineStr">
        <is>
          <t>Arbeitstage</t>
        </is>
      </c>
      <c r="E66" s="475" t="n"/>
      <c r="F66" s="478" t="n">
        <v>20</v>
      </c>
      <c r="G66" s="479" t="n"/>
      <c r="H66" s="479" t="n"/>
      <c r="I66" s="477" t="inlineStr">
        <is>
          <t>Samstage</t>
        </is>
      </c>
      <c r="J66" s="475" t="n"/>
      <c r="K66" s="478" t="n">
        <v>4</v>
      </c>
      <c r="L66" s="475" t="n"/>
      <c r="M66" s="475" t="n"/>
      <c r="N66" s="475" t="n"/>
      <c r="O66" s="475" t="n"/>
      <c r="P66" s="475" t="n"/>
      <c r="Q66" s="475" t="n"/>
      <c r="R66" s="475" t="n"/>
      <c r="S66" s="475" t="n"/>
      <c r="T66" s="475" t="n"/>
      <c r="U66" s="475" t="n"/>
      <c r="V66" s="475" t="n"/>
      <c r="W66" s="475" t="n"/>
      <c r="X66" s="475" t="n"/>
      <c r="Y66" s="475" t="n"/>
      <c r="Z66" s="475" t="n"/>
      <c r="AA66" s="475" t="n"/>
      <c r="AB66" s="475" t="n"/>
      <c r="AC66" s="475" t="n"/>
      <c r="AD66" s="475" t="n"/>
      <c r="AE66" s="475" t="n"/>
      <c r="AF66" s="475" t="n"/>
      <c r="AG66" s="475" t="n"/>
      <c r="AH66" s="475" t="n"/>
      <c r="AI66" s="475" t="n"/>
      <c r="AJ66" s="475" t="n"/>
    </row>
    <row r="67">
      <c r="A67" s="480" t="n"/>
      <c r="B67" s="480" t="n"/>
      <c r="C67" s="480">
        <f>Jahr!C3</f>
        <v/>
      </c>
      <c r="D67" s="480">
        <f>Jahr!D3</f>
        <v/>
      </c>
      <c r="E67" s="480">
        <f>Jahr!E3</f>
        <v/>
      </c>
      <c r="F67" s="480">
        <f>Jahr!F3</f>
        <v/>
      </c>
      <c r="G67" s="480">
        <f>Jahr!G3</f>
        <v/>
      </c>
      <c r="H67" s="480">
        <f>Jahr!H3</f>
        <v/>
      </c>
      <c r="I67" s="480">
        <f>Jahr!I3</f>
        <v/>
      </c>
      <c r="J67" s="480">
        <f>Jahr!J3</f>
        <v/>
      </c>
      <c r="K67" s="480">
        <f>Jahr!K3</f>
        <v/>
      </c>
      <c r="L67" s="480">
        <f>Jahr!L3</f>
        <v/>
      </c>
      <c r="M67" s="480">
        <f>Jahr!M3</f>
        <v/>
      </c>
      <c r="N67" s="480">
        <f>Jahr!N3</f>
        <v/>
      </c>
      <c r="O67" s="480">
        <f>Jahr!O3</f>
        <v/>
      </c>
      <c r="P67" s="480">
        <f>Jahr!P3</f>
        <v/>
      </c>
      <c r="Q67" s="480">
        <f>Jahr!Q3</f>
        <v/>
      </c>
      <c r="R67" s="480">
        <f>Jahr!R3</f>
        <v/>
      </c>
      <c r="S67" s="480">
        <f>Jahr!S3</f>
        <v/>
      </c>
      <c r="T67" s="480" t="inlineStr">
        <is>
          <t>Soll AZ</t>
        </is>
      </c>
      <c r="U67" s="480" t="inlineStr">
        <is>
          <t>Ist AZ</t>
        </is>
      </c>
      <c r="V67" s="480" t="inlineStr">
        <is>
          <t>Differenz</t>
        </is>
      </c>
      <c r="W67" s="480" t="inlineStr">
        <is>
          <t>Gesamt</t>
        </is>
      </c>
      <c r="X67" s="480" t="n"/>
      <c r="Y67" s="480" t="n"/>
      <c r="Z67" s="480" t="n"/>
      <c r="AA67" s="480" t="n"/>
      <c r="AB67" s="480" t="n"/>
      <c r="AC67" s="480" t="n"/>
      <c r="AD67" s="480" t="n"/>
      <c r="AE67" s="480" t="n"/>
      <c r="AF67" s="480" t="n"/>
      <c r="AG67" s="480" t="n"/>
      <c r="AH67" s="480" t="n"/>
      <c r="AI67" s="480" t="n"/>
      <c r="AJ67" s="480" t="n"/>
    </row>
    <row r="68">
      <c r="A68" s="472" t="n"/>
      <c r="B68" s="471">
        <f>B4</f>
        <v/>
      </c>
      <c r="C68" s="472">
        <f>SUMPRODUCT((ISNUMBER(SEARCH($Y3,Dienstplan!$B$8:$B$19))*(ISNUMBER(SEARCH($AB$3,Dienstplan!$DT$8:$EX$19)))))-D68</f>
        <v/>
      </c>
      <c r="D68" s="472">
        <f>SUMPRODUCT((ISNUMBER(SEARCH($Y3,Dienstplan!$B$8:$B$19))*(ISNUMBER(SEARCH($AB$4,Dienstplan!$DT$8:$EX$19)))))</f>
        <v/>
      </c>
      <c r="E68" s="472">
        <f>SUMPRODUCT((ISNUMBER(SEARCH($Y3,Dienstplan!$B$8:$B$19))*(ISNUMBER(SEARCH($AB$5,Dienstplan!$DT$8:$EX$19)))))</f>
        <v/>
      </c>
      <c r="F68" s="472">
        <f>SUMPRODUCT((ISNUMBER(SEARCH($Y3,Dienstplan!$B$8:$B$19))*(ISNUMBER(SEARCH($AB$6,Dienstplan!$DT$8:$EX$19)))))</f>
        <v/>
      </c>
      <c r="G68" s="472">
        <f>SUMPRODUCT((ISNUMBER(SEARCH($Y3,Dienstplan!$B$8:$B$19))*(ISNUMBER(SEARCH($AB$7,Dienstplan!$DT$8:$EX$19)))))-H68</f>
        <v/>
      </c>
      <c r="H68" s="472">
        <f>SUMPRODUCT((ISNUMBER(SEARCH($Y3,Dienstplan!$B$8:$B$19))*(ISNUMBER(SEARCH($AB$8,Dienstplan!$DT$8:$EX$19)))))</f>
        <v/>
      </c>
      <c r="I68" s="472">
        <f>SUMPRODUCT((ISNUMBER(SEARCH($Y3,Dienstplan!$B$8:$B$19))*(ISNUMBER(SEARCH($AB$9,Dienstplan!$DT$8:$EX$19)))))</f>
        <v/>
      </c>
      <c r="J68" s="472">
        <f>SUMPRODUCT((ISNUMBER(SEARCH($Y3,Dienstplan!$B$8:$B$19))*(ISNUMBER(SEARCH($AB$10,Dienstplan!$DT$8:$EX$19)))))</f>
        <v/>
      </c>
      <c r="K68" s="472">
        <f>SUMPRODUCT((ISNUMBER(SEARCH($Y3,Dienstplan!$B$8:$B$19))*(ISNUMBER(SEARCH($AB$11,Dienstplan!$DT$8:$EX$19)))))-$Q68</f>
        <v/>
      </c>
      <c r="L68" s="472">
        <f>SUMPRODUCT((ISNUMBER(SEARCH($Y3,Dienstplan!$B$8:$B$19))*(ISNUMBER(SEARCH($AB$12,Dienstplan!$DT$8:$EX$19)))))</f>
        <v/>
      </c>
      <c r="M68" s="472">
        <f>SUMPRODUCT((ISNUMBER(SEARCH($Y3,Dienstplan!$B$8:$B$19))*(ISNUMBER(SEARCH($AB$13,Dienstplan!$DT$8:$EX$19)))))</f>
        <v/>
      </c>
      <c r="N68" s="472">
        <f>SUMPRODUCT((ISNUMBER(SEARCH($Y3,Dienstplan!$B$8:$B$19))*(ISNUMBER(SEARCH($AB$14,Dienstplan!$DT$8:$EX$19)))))</f>
        <v/>
      </c>
      <c r="O68" s="472">
        <f>SUMPRODUCT((ISNUMBER(SEARCH($Y3,Dienstplan!$B$8:$B$19))*(ISNUMBER(SEARCH($AB$15,Dienstplan!$DT$8:$EX$19)))))</f>
        <v/>
      </c>
      <c r="P68" s="472">
        <f>SUMPRODUCT((ISNUMBER(SEARCH($Y3,Dienstplan!$B$8:$B$19))*(ISNUMBER(SEARCH($AB$16,Dienstplan!$DT$8:$EX$19)))))</f>
        <v/>
      </c>
      <c r="Q68" s="472">
        <f>SUMPRODUCT((ISNUMBER(SEARCH($Y3,Dienstplan!$B$8:$B$19))*(ISNUMBER(SEARCH($AB$17,Dienstplan!$DT$8:$EX$19)))))</f>
        <v/>
      </c>
      <c r="R68" s="472">
        <f>SUMPRODUCT((ISNUMBER(SEARCH($Y3,Dienstplan!$B$8:$B$19))*(ISNUMBER(SEARCH($AB$18,Dienstplan!$DT$8:$EX$19)))))</f>
        <v/>
      </c>
      <c r="S68" s="472">
        <f>SUMPRODUCT((ISNUMBER(SEARCH($Y3,Dienstplan!$B$8:$B$19))*(ISNUMBER(SEARCH($AB$19,Dienstplan!$DT$8:$EX$19)))))</f>
        <v/>
      </c>
      <c r="T68" s="472">
        <f>SUM($F$66*$Z3)</f>
        <v/>
      </c>
      <c r="U68" s="472">
        <f>SUM($C68*Frueh_1+$D68*Spaet_1+$E68*Nacht_1+$F68*Normal_1+$I68*Sonderd_1-$J68*Velten+$K68*Velten+$L68*EH_Kurs+$M68*Koor_taet+$N68*Sekre_1+$O68*Velten+$R68*Velten+$P68*Velten+$Q68*Velten+G68*Velt_M+H68*Velt_M)</f>
        <v/>
      </c>
      <c r="V68" s="472">
        <f>SUM($U68-$T68)</f>
        <v/>
      </c>
      <c r="W68" s="472">
        <f>V68+W52</f>
        <v/>
      </c>
      <c r="X68" s="472" t="n"/>
      <c r="Y68" s="472" t="n"/>
      <c r="Z68" s="472" t="n"/>
      <c r="AA68" s="472" t="n"/>
      <c r="AB68" s="472" t="n"/>
      <c r="AC68" s="472" t="n"/>
      <c r="AD68" s="472" t="n"/>
      <c r="AE68" s="472" t="n"/>
      <c r="AF68" s="472" t="n"/>
      <c r="AG68" s="472" t="n"/>
      <c r="AH68" s="472" t="n"/>
      <c r="AI68" s="472" t="n"/>
      <c r="AJ68" s="472" t="n"/>
    </row>
    <row r="69">
      <c r="A69" s="472" t="n"/>
      <c r="B69" s="471">
        <f>B5</f>
        <v/>
      </c>
      <c r="C69" s="472">
        <f>SUMPRODUCT((ISNUMBER(SEARCH($Y4,Dienstplan!$B$8:$B$19))*(ISNUMBER(SEARCH($AB$3,Dienstplan!$DT$8:$EX$19)))))-D69</f>
        <v/>
      </c>
      <c r="D69" s="472">
        <f>SUMPRODUCT((ISNUMBER(SEARCH($Y4,Dienstplan!$B$8:$B$19))*(ISNUMBER(SEARCH($AB$4,Dienstplan!$DT$8:$EX$19)))))</f>
        <v/>
      </c>
      <c r="E69" s="472">
        <f>SUMPRODUCT((ISNUMBER(SEARCH($Y4,Dienstplan!$B$8:$B$19))*(ISNUMBER(SEARCH($AB$5,Dienstplan!$DT$8:$EX$19)))))</f>
        <v/>
      </c>
      <c r="F69" s="472">
        <f>SUMPRODUCT((ISNUMBER(SEARCH($Y4,Dienstplan!$B$8:$B$19))*(ISNUMBER(SEARCH($AB$6,Dienstplan!$DT$8:$EX$19)))))</f>
        <v/>
      </c>
      <c r="G69" s="472">
        <f>SUMPRODUCT((ISNUMBER(SEARCH($Y4,Dienstplan!$B$8:$B$19))*(ISNUMBER(SEARCH($AB$7,Dienstplan!$DT$8:$EX$19)))))-H69</f>
        <v/>
      </c>
      <c r="H69" s="472">
        <f>SUMPRODUCT((ISNUMBER(SEARCH($Y4,Dienstplan!$B$8:$B$19))*(ISNUMBER(SEARCH($AB$8,Dienstplan!$DT$8:$EX$19)))))</f>
        <v/>
      </c>
      <c r="I69" s="472">
        <f>SUMPRODUCT((ISNUMBER(SEARCH($Y4,Dienstplan!$B$8:$B$19))*(ISNUMBER(SEARCH($AB$9,Dienstplan!$DT$8:$EX$19)))))</f>
        <v/>
      </c>
      <c r="J69" s="472">
        <f>SUMPRODUCT((ISNUMBER(SEARCH($Y4,Dienstplan!$B$8:$B$19))*(ISNUMBER(SEARCH($AB$10,Dienstplan!$DT$8:$EX$19)))))</f>
        <v/>
      </c>
      <c r="K69" s="472">
        <f>SUMPRODUCT((ISNUMBER(SEARCH($Y4,Dienstplan!$B$8:$B$19))*(ISNUMBER(SEARCH($AB$11,Dienstplan!$DT$8:$EX$19)))))-$Q69</f>
        <v/>
      </c>
      <c r="L69" s="472">
        <f>SUMPRODUCT((ISNUMBER(SEARCH($Y4,Dienstplan!$B$8:$B$19))*(ISNUMBER(SEARCH($AB$12,Dienstplan!$DT$8:$EX$19)))))</f>
        <v/>
      </c>
      <c r="M69" s="472">
        <f>SUMPRODUCT((ISNUMBER(SEARCH($Y4,Dienstplan!$B$8:$B$19))*(ISNUMBER(SEARCH($AB$13,Dienstplan!$DT$8:$EX$19)))))</f>
        <v/>
      </c>
      <c r="N69" s="472">
        <f>SUMPRODUCT((ISNUMBER(SEARCH($Y4,Dienstplan!$B$8:$B$19))*(ISNUMBER(SEARCH($AB$14,Dienstplan!$DT$8:$EX$19)))))</f>
        <v/>
      </c>
      <c r="O69" s="472">
        <f>SUMPRODUCT((ISNUMBER(SEARCH($Y4,Dienstplan!$B$8:$B$19))*(ISNUMBER(SEARCH($AB$15,Dienstplan!$DT$8:$EX$19)))))</f>
        <v/>
      </c>
      <c r="P69" s="472">
        <f>SUMPRODUCT((ISNUMBER(SEARCH($Y4,Dienstplan!$B$8:$B$19))*(ISNUMBER(SEARCH($AB$16,Dienstplan!$DT$8:$EX$19)))))</f>
        <v/>
      </c>
      <c r="Q69" s="472">
        <f>SUMPRODUCT((ISNUMBER(SEARCH($Y4,Dienstplan!$B$8:$B$19))*(ISNUMBER(SEARCH($AB$17,Dienstplan!$DT$8:$EX$19)))))</f>
        <v/>
      </c>
      <c r="R69" s="472">
        <f>SUMPRODUCT((ISNUMBER(SEARCH($Y4,Dienstplan!$B$8:$B$19))*(ISNUMBER(SEARCH($AB$18,Dienstplan!$DT$8:$EX$19)))))</f>
        <v/>
      </c>
      <c r="S69" s="472">
        <f>SUMPRODUCT((ISNUMBER(SEARCH($Y4,Dienstplan!$B$8:$B$19))*(ISNUMBER(SEARCH($AB$19,Dienstplan!$DT$8:$EX$19)))))</f>
        <v/>
      </c>
      <c r="T69" s="472">
        <f>SUM($F$66*$Z4)</f>
        <v/>
      </c>
      <c r="U69" s="472">
        <f>SUM($C69*Frueh_1+$D69*Spaet_1+$E69*Nacht_1+$F69*Normal_1+$I69*Sonderd_1-$J69*Brue_H+$K69*Brue_H+$L69*EH_Kurs+$M69*Koor_taet+$N69*Sekre_1+$O69*Brue_H+$R69*Brue_H+$P69*Brue_H+$Q69*Brue_H+G69*Brue_H+H69*Brue_H)</f>
        <v/>
      </c>
      <c r="V69" s="472">
        <f>SUM($U69-$T69)</f>
        <v/>
      </c>
      <c r="W69" s="472">
        <f>V69+W53</f>
        <v/>
      </c>
      <c r="X69" s="472" t="n"/>
      <c r="Y69" s="472" t="n"/>
      <c r="Z69" s="472" t="n"/>
      <c r="AA69" s="472" t="n"/>
      <c r="AB69" s="472" t="n"/>
      <c r="AC69" s="472" t="n"/>
      <c r="AD69" s="472" t="n"/>
      <c r="AE69" s="472" t="n"/>
      <c r="AF69" s="472" t="n"/>
      <c r="AG69" s="472" t="n"/>
      <c r="AH69" s="472" t="n"/>
      <c r="AI69" s="472" t="n"/>
      <c r="AJ69" s="472" t="n"/>
    </row>
    <row r="70">
      <c r="A70" s="472" t="n"/>
      <c r="B70" s="471">
        <f>B6</f>
        <v/>
      </c>
      <c r="C70" s="472">
        <f>SUMPRODUCT((ISNUMBER(SEARCH($Y5,Dienstplan!$B$8:$B$19))*(ISNUMBER(SEARCH($AB$3,Dienstplan!$DT$8:$EX$19)))))-D70</f>
        <v/>
      </c>
      <c r="D70" s="472">
        <f>SUMPRODUCT((ISNUMBER(SEARCH($Y5,Dienstplan!$B$8:$B$19))*(ISNUMBER(SEARCH($AB$4,Dienstplan!$DT$8:$EX$19)))))</f>
        <v/>
      </c>
      <c r="E70" s="472">
        <f>SUMPRODUCT((ISNUMBER(SEARCH($Y5,Dienstplan!$B$8:$B$19))*(ISNUMBER(SEARCH($AB$5,Dienstplan!$DT$8:$EX$19)))))</f>
        <v/>
      </c>
      <c r="F70" s="472">
        <f>SUMPRODUCT((ISNUMBER(SEARCH($Y5,Dienstplan!$B$8:$B$19))*(ISNUMBER(SEARCH($AB$6,Dienstplan!$DT$8:$EX$19)))))</f>
        <v/>
      </c>
      <c r="G70" s="472">
        <f>SUMPRODUCT((ISNUMBER(SEARCH($Y5,Dienstplan!$B$8:$B$19))*(ISNUMBER(SEARCH($AB$7,Dienstplan!$DT$8:$EX$19)))))-H70</f>
        <v/>
      </c>
      <c r="H70" s="472">
        <f>SUMPRODUCT((ISNUMBER(SEARCH($Y5,Dienstplan!$B$8:$B$19))*(ISNUMBER(SEARCH($AB$8,Dienstplan!$DT$8:$EX$19)))))</f>
        <v/>
      </c>
      <c r="I70" s="472">
        <f>SUMPRODUCT((ISNUMBER(SEARCH($Y5,Dienstplan!$B$8:$B$19))*(ISNUMBER(SEARCH($AB$9,Dienstplan!$DT$8:$EX$19)))))</f>
        <v/>
      </c>
      <c r="J70" s="472">
        <f>SUMPRODUCT((ISNUMBER(SEARCH($Y5,Dienstplan!$B$8:$B$19))*(ISNUMBER(SEARCH($AB$10,Dienstplan!$DT$8:$EX$19)))))</f>
        <v/>
      </c>
      <c r="K70" s="472">
        <f>SUMPRODUCT((ISNUMBER(SEARCH($Y5,Dienstplan!$B$8:$B$19))*(ISNUMBER(SEARCH($AB$11,Dienstplan!$DT$8:$EX$19)))))-$Q70</f>
        <v/>
      </c>
      <c r="L70" s="472">
        <f>SUMPRODUCT((ISNUMBER(SEARCH($Y5,Dienstplan!$B$8:$B$19))*(ISNUMBER(SEARCH($AB$12,Dienstplan!$DT$8:$EX$19)))))</f>
        <v/>
      </c>
      <c r="M70" s="472">
        <f>SUMPRODUCT((ISNUMBER(SEARCH($Y5,Dienstplan!$B$8:$B$19))*(ISNUMBER(SEARCH($AB$13,Dienstplan!$DT$8:$EX$19)))))</f>
        <v/>
      </c>
      <c r="N70" s="472">
        <f>SUMPRODUCT((ISNUMBER(SEARCH($Y5,Dienstplan!$B$8:$B$19))*(ISNUMBER(SEARCH($AB$14,Dienstplan!$DT$8:$EX$19)))))</f>
        <v/>
      </c>
      <c r="O70" s="472">
        <f>SUMPRODUCT((ISNUMBER(SEARCH($Y5,Dienstplan!$B$8:$B$19))*(ISNUMBER(SEARCH($AB$15,Dienstplan!$DT$8:$EX$19)))))</f>
        <v/>
      </c>
      <c r="P70" s="472">
        <f>SUMPRODUCT((ISNUMBER(SEARCH($Y5,Dienstplan!$B$8:$B$19))*(ISNUMBER(SEARCH($AB$16,Dienstplan!$DT$8:$EX$19)))))</f>
        <v/>
      </c>
      <c r="Q70" s="472">
        <f>SUMPRODUCT((ISNUMBER(SEARCH($Y5,Dienstplan!$B$8:$B$19))*(ISNUMBER(SEARCH($AB$17,Dienstplan!$DT$8:$EX$19)))))</f>
        <v/>
      </c>
      <c r="R70" s="472">
        <f>SUMPRODUCT((ISNUMBER(SEARCH($Y5,Dienstplan!$B$8:$B$19))*(ISNUMBER(SEARCH($AB$18,Dienstplan!$DT$8:$EX$19)))))</f>
        <v/>
      </c>
      <c r="S70" s="472">
        <f>SUMPRODUCT((ISNUMBER(SEARCH($Y5,Dienstplan!$B$8:$B$19))*(ISNUMBER(SEARCH($AB$19,Dienstplan!$DT$8:$EX$19)))))</f>
        <v/>
      </c>
      <c r="T70" s="472">
        <f>SUM($F$66*$Z5)</f>
        <v/>
      </c>
      <c r="U70" s="472">
        <f>SUM($C70*Frueh_1+$D70*Spaet_1+$E70*Nacht_1+$F70*Normal_1+$I70*Sonderd_1-$J70*Rath_M+$K70*Rath_M+$L70*EH_Kurs+$M70*Koor_taet+$N70*Sekre_1+$O70*Rath_M+$R70*Rath_M+$P70*Rath_M+$Q70*Rath_M+G70*Rath_M+H70*Rath_M)</f>
        <v/>
      </c>
      <c r="V70" s="472">
        <f>SUM($U70-$T70)</f>
        <v/>
      </c>
      <c r="W70" s="472">
        <f>V70+W54</f>
        <v/>
      </c>
      <c r="X70" s="472" t="n"/>
      <c r="Y70" s="472" t="n"/>
      <c r="Z70" s="472" t="n"/>
      <c r="AA70" s="472" t="n"/>
      <c r="AB70" s="472" t="n"/>
      <c r="AC70" s="472" t="n"/>
      <c r="AD70" s="472" t="n"/>
      <c r="AE70" s="472" t="n"/>
      <c r="AF70" s="472" t="n"/>
      <c r="AG70" s="472" t="n"/>
      <c r="AH70" s="472" t="n"/>
      <c r="AI70" s="472" t="n"/>
      <c r="AJ70" s="472" t="n"/>
    </row>
    <row r="71">
      <c r="A71" s="472" t="n"/>
      <c r="B71" s="471">
        <f>B7</f>
        <v/>
      </c>
      <c r="C71" s="472">
        <f>SUMPRODUCT((ISNUMBER(SEARCH($Y6,Dienstplan!$B$8:$B$19))*(ISNUMBER(SEARCH($AB$3,Dienstplan!$DT$8:$EX$19)))))-D71</f>
        <v/>
      </c>
      <c r="D71" s="472">
        <f>SUMPRODUCT((ISNUMBER(SEARCH($Y6,Dienstplan!$B$8:$B$19))*(ISNUMBER(SEARCH($AB$4,Dienstplan!$DT$8:$EX$19)))))</f>
        <v/>
      </c>
      <c r="E71" s="472">
        <f>SUMPRODUCT((ISNUMBER(SEARCH($Y6,Dienstplan!$B$8:$B$19))*(ISNUMBER(SEARCH($AB$5,Dienstplan!$DT$8:$EX$19)))))</f>
        <v/>
      </c>
      <c r="F71" s="472">
        <f>SUMPRODUCT((ISNUMBER(SEARCH($Y6,Dienstplan!$B$8:$B$19))*(ISNUMBER(SEARCH($AB$6,Dienstplan!$DT$8:$EX$19)))))</f>
        <v/>
      </c>
      <c r="G71" s="472">
        <f>SUMPRODUCT((ISNUMBER(SEARCH($Y6,Dienstplan!$B$8:$B$19))*(ISNUMBER(SEARCH($AB$7,Dienstplan!$DT$8:$EX$19)))))-H71</f>
        <v/>
      </c>
      <c r="H71" s="472">
        <f>SUMPRODUCT((ISNUMBER(SEARCH($Y6,Dienstplan!$B$8:$B$19))*(ISNUMBER(SEARCH($AB$8,Dienstplan!$DT$8:$EX$19)))))</f>
        <v/>
      </c>
      <c r="I71" s="472">
        <f>SUMPRODUCT((ISNUMBER(SEARCH($Y6,Dienstplan!$B$8:$B$19))*(ISNUMBER(SEARCH($AB$9,Dienstplan!$DT$8:$EX$19)))))</f>
        <v/>
      </c>
      <c r="J71" s="472">
        <f>SUMPRODUCT((ISNUMBER(SEARCH($Y6,Dienstplan!$B$8:$B$19))*(ISNUMBER(SEARCH($AB$10,Dienstplan!$DT$8:$EX$19)))))</f>
        <v/>
      </c>
      <c r="K71" s="472">
        <f>SUMPRODUCT((ISNUMBER(SEARCH($Y6,Dienstplan!$B$8:$B$19))*(ISNUMBER(SEARCH($AB$11,Dienstplan!$DT$8:$EX$19)))))-$Q71</f>
        <v/>
      </c>
      <c r="L71" s="472">
        <f>SUMPRODUCT((ISNUMBER(SEARCH($Y6,Dienstplan!$B$8:$B$19))*(ISNUMBER(SEARCH($AB$12,Dienstplan!$DT$8:$EX$19)))))</f>
        <v/>
      </c>
      <c r="M71" s="472">
        <f>SUMPRODUCT((ISNUMBER(SEARCH($Y6,Dienstplan!$B$8:$B$19))*(ISNUMBER(SEARCH($AB$13,Dienstplan!$DT$8:$EX$19)))))</f>
        <v/>
      </c>
      <c r="N71" s="472">
        <f>SUMPRODUCT((ISNUMBER(SEARCH($Y6,Dienstplan!$B$8:$B$19))*(ISNUMBER(SEARCH($AB$14,Dienstplan!$DT$8:$EX$19)))))</f>
        <v/>
      </c>
      <c r="O71" s="472">
        <f>SUMPRODUCT((ISNUMBER(SEARCH($Y6,Dienstplan!$B$8:$B$19))*(ISNUMBER(SEARCH($AB$15,Dienstplan!$DT$8:$EX$19)))))</f>
        <v/>
      </c>
      <c r="P71" s="472">
        <f>SUMPRODUCT((ISNUMBER(SEARCH($Y6,Dienstplan!$B$8:$B$19))*(ISNUMBER(SEARCH($AB$16,Dienstplan!$DT$8:$EX$19)))))</f>
        <v/>
      </c>
      <c r="Q71" s="472">
        <f>SUMPRODUCT((ISNUMBER(SEARCH($Y6,Dienstplan!$B$8:$B$19))*(ISNUMBER(SEARCH($AB$17,Dienstplan!$DT$8:$EX$19)))))</f>
        <v/>
      </c>
      <c r="R71" s="472">
        <f>SUMPRODUCT((ISNUMBER(SEARCH($Y6,Dienstplan!$B$8:$B$19))*(ISNUMBER(SEARCH($AB$18,Dienstplan!$DT$8:$EX$19)))))</f>
        <v/>
      </c>
      <c r="S71" s="472">
        <f>SUMPRODUCT((ISNUMBER(SEARCH($Y6,Dienstplan!$B$8:$B$19))*(ISNUMBER(SEARCH($AB$19,Dienstplan!$DT$8:$EX$19)))))</f>
        <v/>
      </c>
      <c r="T71" s="472">
        <f>SUM($F$66*$Z6)</f>
        <v/>
      </c>
      <c r="U71" s="472">
        <f>SUM($C71*Frueh_1+$D71*Spaet_1+$E71*Nacht_1+$F71*Normal_1+$I71*Sonderd_1-$J71*Scho_K+$K71*Scho_K+$L71*EH_Kurs+$M71*Koor_taet+$N71*Sekre_1+$O71*Scho_K+$R71*Scho_K+$P71*Scho_K+$Q71*Scho_K+G71*Scho_K+H71*Scho_K)</f>
        <v/>
      </c>
      <c r="V71" s="472">
        <f>SUM($U71-$T71)</f>
        <v/>
      </c>
      <c r="W71" s="472">
        <f>V71+W55</f>
        <v/>
      </c>
      <c r="X71" s="472" t="n"/>
      <c r="Y71" s="472" t="n"/>
      <c r="Z71" s="472" t="n"/>
      <c r="AA71" s="472" t="n"/>
      <c r="AB71" s="472" t="n"/>
      <c r="AC71" s="472" t="n"/>
      <c r="AD71" s="472" t="n"/>
      <c r="AE71" s="472" t="n"/>
      <c r="AF71" s="472" t="n"/>
      <c r="AG71" s="472" t="n"/>
      <c r="AH71" s="472" t="n"/>
      <c r="AI71" s="472" t="n"/>
      <c r="AJ71" s="472" t="n"/>
    </row>
    <row r="72">
      <c r="A72" s="472" t="n"/>
      <c r="B72" s="471">
        <f>B8</f>
        <v/>
      </c>
      <c r="C72" s="472">
        <f>SUMPRODUCT((ISNUMBER(SEARCH($Y7,Dienstplan!$B$8:$B$19))*(ISNUMBER(SEARCH($AB$3,Dienstplan!$DT$8:$EX$19)))))-D72</f>
        <v/>
      </c>
      <c r="D72" s="472">
        <f>SUMPRODUCT((ISNUMBER(SEARCH($Y7,Dienstplan!$B$8:$B$19))*(ISNUMBER(SEARCH($AB$4,Dienstplan!$DT$8:$EX$19)))))</f>
        <v/>
      </c>
      <c r="E72" s="472">
        <f>SUMPRODUCT((ISNUMBER(SEARCH($Y7,Dienstplan!$B$8:$B$19))*(ISNUMBER(SEARCH($AB$5,Dienstplan!$DT$8:$EX$19)))))</f>
        <v/>
      </c>
      <c r="F72" s="472">
        <f>SUMPRODUCT((ISNUMBER(SEARCH($Y7,Dienstplan!$B$8:$B$19))*(ISNUMBER(SEARCH($AB$6,Dienstplan!$DT$8:$EX$19)))))</f>
        <v/>
      </c>
      <c r="G72" s="472">
        <f>SUMPRODUCT((ISNUMBER(SEARCH($Y7,Dienstplan!$B$8:$B$19))*(ISNUMBER(SEARCH($AB$7,Dienstplan!$DT$8:$EX$19)))))-H72</f>
        <v/>
      </c>
      <c r="H72" s="472">
        <f>SUMPRODUCT((ISNUMBER(SEARCH($Y7,Dienstplan!$B$8:$B$19))*(ISNUMBER(SEARCH($AB$8,Dienstplan!$DT$8:$EX$19)))))</f>
        <v/>
      </c>
      <c r="I72" s="472">
        <f>SUMPRODUCT((ISNUMBER(SEARCH($Y7,Dienstplan!$B$8:$B$19))*(ISNUMBER(SEARCH($AB$9,Dienstplan!$DT$8:$EX$19)))))</f>
        <v/>
      </c>
      <c r="J72" s="472">
        <f>SUMPRODUCT((ISNUMBER(SEARCH($Y7,Dienstplan!$B$8:$B$19))*(ISNUMBER(SEARCH($AB$10,Dienstplan!$DT$8:$EX$19)))))</f>
        <v/>
      </c>
      <c r="K72" s="472">
        <f>SUMPRODUCT((ISNUMBER(SEARCH($Y7,Dienstplan!$B$8:$B$19))*(ISNUMBER(SEARCH($AB$11,Dienstplan!$DT$8:$EX$19)))))-$Q72</f>
        <v/>
      </c>
      <c r="L72" s="472">
        <f>SUMPRODUCT((ISNUMBER(SEARCH($Y7,Dienstplan!$B$8:$B$19))*(ISNUMBER(SEARCH($AB$12,Dienstplan!$DT$8:$EX$19)))))</f>
        <v/>
      </c>
      <c r="M72" s="472">
        <f>SUMPRODUCT((ISNUMBER(SEARCH($Y7,Dienstplan!$B$8:$B$19))*(ISNUMBER(SEARCH($AB$13,Dienstplan!$DT$8:$EX$19)))))</f>
        <v/>
      </c>
      <c r="N72" s="472">
        <f>SUMPRODUCT((ISNUMBER(SEARCH($Y7,Dienstplan!$B$8:$B$19))*(ISNUMBER(SEARCH($AB$14,Dienstplan!$DT$8:$EX$19)))))</f>
        <v/>
      </c>
      <c r="O72" s="472">
        <f>SUMPRODUCT((ISNUMBER(SEARCH($Y7,Dienstplan!$B$8:$B$19))*(ISNUMBER(SEARCH($AB$15,Dienstplan!$DT$8:$EX$19)))))</f>
        <v/>
      </c>
      <c r="P72" s="472">
        <f>SUMPRODUCT((ISNUMBER(SEARCH($Y7,Dienstplan!$B$8:$B$19))*(ISNUMBER(SEARCH($AB$16,Dienstplan!$DT$8:$EX$19)))))</f>
        <v/>
      </c>
      <c r="Q72" s="472">
        <f>SUMPRODUCT((ISNUMBER(SEARCH($Y7,Dienstplan!$B$8:$B$19))*(ISNUMBER(SEARCH($AB$17,Dienstplan!$DT$8:$EX$19)))))</f>
        <v/>
      </c>
      <c r="R72" s="472">
        <f>SUMPRODUCT((ISNUMBER(SEARCH($Y7,Dienstplan!$B$8:$B$19))*(ISNUMBER(SEARCH($AB$18,Dienstplan!$DT$8:$EX$19)))))</f>
        <v/>
      </c>
      <c r="S72" s="472">
        <f>SUMPRODUCT((ISNUMBER(SEARCH($Y7,Dienstplan!$B$8:$B$19))*(ISNUMBER(SEARCH($AB$19,Dienstplan!$DT$8:$EX$19)))))</f>
        <v/>
      </c>
      <c r="T72" s="472">
        <f>SUM($F$66*$Z7)</f>
        <v/>
      </c>
      <c r="U72" s="472">
        <f>SUM($C72*Frueh_1+$D72*Spaet_1+$E72*Nacht_1+$F72*Normal_1+$I72*Sonderd_1-$J72*Krie_B+$K72*Krie_B+$L72*EH_Kurs+$M72*Koor_taet+$N72*Sekre_1+$O72*Krie_B+$R72*Krie_B+$P72*Krie_B+$Q72*Krie_B+G72*Krie_B+H72*Krie_B)</f>
        <v/>
      </c>
      <c r="V72" s="472">
        <f>SUM($U72-$T72)</f>
        <v/>
      </c>
      <c r="W72" s="472">
        <f>V72+W56</f>
        <v/>
      </c>
      <c r="X72" s="472" t="n"/>
      <c r="Y72" s="472" t="n"/>
      <c r="Z72" s="472" t="n"/>
      <c r="AA72" s="472" t="n"/>
      <c r="AB72" s="472" t="n"/>
      <c r="AC72" s="472" t="n"/>
      <c r="AD72" s="472" t="n"/>
      <c r="AE72" s="472" t="n"/>
      <c r="AF72" s="472" t="n"/>
      <c r="AG72" s="472" t="n"/>
      <c r="AH72" s="472" t="n"/>
      <c r="AI72" s="472" t="n"/>
      <c r="AJ72" s="472" t="n"/>
    </row>
    <row r="73">
      <c r="A73" s="472" t="n"/>
      <c r="B73" s="471">
        <f>B9</f>
        <v/>
      </c>
      <c r="C73" s="472">
        <f>SUMPRODUCT((ISNUMBER(SEARCH($Y8,Dienstplan!$B$8:$B$19))*(ISNUMBER(SEARCH($AB$3,Dienstplan!$DT$8:$EX$19)))))-D73</f>
        <v/>
      </c>
      <c r="D73" s="472">
        <f>SUMPRODUCT((ISNUMBER(SEARCH($Y8,Dienstplan!$B$8:$B$19))*(ISNUMBER(SEARCH($AB$4,Dienstplan!$DT$8:$EX$19)))))</f>
        <v/>
      </c>
      <c r="E73" s="472">
        <f>SUMPRODUCT((ISNUMBER(SEARCH($Y8,Dienstplan!$B$8:$B$19))*(ISNUMBER(SEARCH($AB$5,Dienstplan!$DT$8:$EX$19)))))</f>
        <v/>
      </c>
      <c r="F73" s="472">
        <f>SUMPRODUCT((ISNUMBER(SEARCH($Y8,Dienstplan!$B$8:$B$19))*(ISNUMBER(SEARCH($AB$6,Dienstplan!$DT$8:$EX$19)))))</f>
        <v/>
      </c>
      <c r="G73" s="472">
        <f>SUMPRODUCT((ISNUMBER(SEARCH($Y8,Dienstplan!$B$8:$B$19))*(ISNUMBER(SEARCH($AB$7,Dienstplan!$DT$8:$EX$19)))))-H73</f>
        <v/>
      </c>
      <c r="H73" s="472">
        <f>SUMPRODUCT((ISNUMBER(SEARCH($Y8,Dienstplan!$B$8:$B$19))*(ISNUMBER(SEARCH($AB$8,Dienstplan!$DT$8:$EX$19)))))</f>
        <v/>
      </c>
      <c r="I73" s="472">
        <f>SUMPRODUCT((ISNUMBER(SEARCH($Y8,Dienstplan!$B$8:$B$19))*(ISNUMBER(SEARCH($AB$9,Dienstplan!$DT$8:$EX$19)))))</f>
        <v/>
      </c>
      <c r="J73" s="472">
        <f>SUMPRODUCT((ISNUMBER(SEARCH($Y8,Dienstplan!$B$8:$B$19))*(ISNUMBER(SEARCH($AB$10,Dienstplan!$DT$8:$EX$19)))))</f>
        <v/>
      </c>
      <c r="K73" s="472">
        <f>SUMPRODUCT((ISNUMBER(SEARCH($Y8,Dienstplan!$B$8:$B$19))*(ISNUMBER(SEARCH($AB$11,Dienstplan!$DT$8:$EX$19)))))-$Q73</f>
        <v/>
      </c>
      <c r="L73" s="472">
        <f>SUMPRODUCT((ISNUMBER(SEARCH($Y8,Dienstplan!$B$8:$B$19))*(ISNUMBER(SEARCH($AB$12,Dienstplan!$DT$8:$EX$19)))))</f>
        <v/>
      </c>
      <c r="M73" s="472">
        <f>SUMPRODUCT((ISNUMBER(SEARCH($Y8,Dienstplan!$B$8:$B$19))*(ISNUMBER(SEARCH($AB$13,Dienstplan!$DT$8:$EX$19)))))</f>
        <v/>
      </c>
      <c r="N73" s="472">
        <f>SUMPRODUCT((ISNUMBER(SEARCH($Y8,Dienstplan!$B$8:$B$19))*(ISNUMBER(SEARCH($AB$14,Dienstplan!$DT$8:$EX$19)))))</f>
        <v/>
      </c>
      <c r="O73" s="472">
        <f>SUMPRODUCT((ISNUMBER(SEARCH($Y8,Dienstplan!$B$8:$B$19))*(ISNUMBER(SEARCH($AB$15,Dienstplan!$DT$8:$EX$19)))))</f>
        <v/>
      </c>
      <c r="P73" s="472">
        <f>SUMPRODUCT((ISNUMBER(SEARCH($Y8,Dienstplan!$B$8:$B$19))*(ISNUMBER(SEARCH($AB$16,Dienstplan!$DT$8:$EX$19)))))</f>
        <v/>
      </c>
      <c r="Q73" s="472">
        <f>SUMPRODUCT((ISNUMBER(SEARCH($Y8,Dienstplan!$B$8:$B$19))*(ISNUMBER(SEARCH($AB$17,Dienstplan!$DT$8:$EX$19)))))</f>
        <v/>
      </c>
      <c r="R73" s="472">
        <f>SUMPRODUCT((ISNUMBER(SEARCH($Y8,Dienstplan!$B$8:$B$19))*(ISNUMBER(SEARCH($AB$18,Dienstplan!$DT$8:$EX$19)))))</f>
        <v/>
      </c>
      <c r="S73" s="472">
        <f>SUMPRODUCT((ISNUMBER(SEARCH($Y8,Dienstplan!$B$8:$B$19))*(ISNUMBER(SEARCH($AB$19,Dienstplan!$DT$8:$EX$19)))))</f>
        <v/>
      </c>
      <c r="T73" s="472">
        <f>SUM($F$66*$Z8)</f>
        <v/>
      </c>
      <c r="U73" s="472">
        <f>SUM($C73*Frueh_1+$D73*Spaet_1+$E73*Nacht_1+$F73*Normal_1+$I73*Sonderd_1-$J73*Muster+$K73*Muster+$L73*EH_Kurs+$M73*Koor_taet+$N73*Sekre_1+$O73*Muster+$P73*Muster+$Q73*Muster+$R73*Muster+G73*Muster+H73*Muster)</f>
        <v/>
      </c>
      <c r="V73" s="472">
        <f>SUM($U73-$T73)</f>
        <v/>
      </c>
      <c r="W73" s="472">
        <f>V73+W57</f>
        <v/>
      </c>
      <c r="X73" s="472" t="n"/>
      <c r="Y73" s="472" t="n"/>
      <c r="Z73" s="472" t="n"/>
      <c r="AA73" s="472" t="n"/>
      <c r="AB73" s="472" t="n"/>
      <c r="AC73" s="472" t="n"/>
      <c r="AD73" s="472" t="n"/>
      <c r="AE73" s="472" t="n"/>
      <c r="AF73" s="472" t="n"/>
      <c r="AG73" s="472" t="n"/>
      <c r="AH73" s="472" t="n"/>
      <c r="AI73" s="472" t="n"/>
      <c r="AJ73" s="472" t="n"/>
    </row>
    <row r="74">
      <c r="A74" s="472" t="n"/>
      <c r="B74" s="471">
        <f>B10</f>
        <v/>
      </c>
      <c r="C74" s="472">
        <f>SUMPRODUCT((ISNUMBER(SEARCH($Y9,Dienstplan!$B$8:$B$19))*(ISNUMBER(SEARCH($AB$3,Dienstplan!$DT$8:$EX$19)))))-D74</f>
        <v/>
      </c>
      <c r="D74" s="472">
        <f>SUMPRODUCT((ISNUMBER(SEARCH($Y9,Dienstplan!$B$8:$B$19))*(ISNUMBER(SEARCH($AB$4,Dienstplan!$DT$8:$EX$19)))))</f>
        <v/>
      </c>
      <c r="E74" s="472">
        <f>SUMPRODUCT((ISNUMBER(SEARCH($Y9,Dienstplan!$B$8:$B$19))*(ISNUMBER(SEARCH($AB$5,Dienstplan!$DT$8:$EX$19)))))</f>
        <v/>
      </c>
      <c r="F74" s="472">
        <f>SUMPRODUCT((ISNUMBER(SEARCH($Y9,Dienstplan!$B$8:$B$19))*(ISNUMBER(SEARCH($AB$6,Dienstplan!$DT$8:$EX$19)))))</f>
        <v/>
      </c>
      <c r="G74" s="472">
        <f>SUMPRODUCT((ISNUMBER(SEARCH($Y9,Dienstplan!$B$8:$B$19))*(ISNUMBER(SEARCH($AB$7,Dienstplan!$DT$8:$EX$19)))))-H74</f>
        <v/>
      </c>
      <c r="H74" s="472">
        <f>SUMPRODUCT((ISNUMBER(SEARCH($Y9,Dienstplan!$B$8:$B$19))*(ISNUMBER(SEARCH($AB$8,Dienstplan!$DT$8:$EX$19)))))</f>
        <v/>
      </c>
      <c r="I74" s="472">
        <f>SUMPRODUCT((ISNUMBER(SEARCH($Y9,Dienstplan!$B$8:$B$19))*(ISNUMBER(SEARCH($AB$9,Dienstplan!$DT$8:$EX$19)))))</f>
        <v/>
      </c>
      <c r="J74" s="472">
        <f>SUMPRODUCT((ISNUMBER(SEARCH($Y9,Dienstplan!$B$8:$B$19))*(ISNUMBER(SEARCH($AB$10,Dienstplan!$DT$8:$EX$19)))))</f>
        <v/>
      </c>
      <c r="K74" s="472">
        <f>SUMPRODUCT((ISNUMBER(SEARCH($Y9,Dienstplan!$B$8:$B$19))*(ISNUMBER(SEARCH($AB$11,Dienstplan!$DT$8:$EX$19)))))-$Q74</f>
        <v/>
      </c>
      <c r="L74" s="472">
        <f>SUMPRODUCT((ISNUMBER(SEARCH($Y9,Dienstplan!$B$8:$B$19))*(ISNUMBER(SEARCH($AB$12,Dienstplan!$DT$8:$EX$19)))))</f>
        <v/>
      </c>
      <c r="M74" s="472">
        <f>SUMPRODUCT((ISNUMBER(SEARCH($Y9,Dienstplan!$B$8:$B$19))*(ISNUMBER(SEARCH($AB$13,Dienstplan!$DT$8:$EX$19)))))</f>
        <v/>
      </c>
      <c r="N74" s="472">
        <f>SUMPRODUCT((ISNUMBER(SEARCH($Y9,Dienstplan!$B$8:$B$19))*(ISNUMBER(SEARCH($AB$14,Dienstplan!$DT$8:$EX$19)))))</f>
        <v/>
      </c>
      <c r="O74" s="472">
        <f>SUMPRODUCT((ISNUMBER(SEARCH($Y9,Dienstplan!$B$8:$B$19))*(ISNUMBER(SEARCH($AB$15,Dienstplan!$DT$8:$EX$19)))))</f>
        <v/>
      </c>
      <c r="P74" s="472">
        <f>SUMPRODUCT((ISNUMBER(SEARCH($Y9,Dienstplan!$B$8:$B$19))*(ISNUMBER(SEARCH($AB$16,Dienstplan!$DT$8:$EX$19)))))</f>
        <v/>
      </c>
      <c r="Q74" s="472">
        <f>SUMPRODUCT((ISNUMBER(SEARCH($Y9,Dienstplan!$B$8:$B$19))*(ISNUMBER(SEARCH($AB$17,Dienstplan!$DT$8:$EX$19)))))</f>
        <v/>
      </c>
      <c r="R74" s="472">
        <f>SUMPRODUCT((ISNUMBER(SEARCH($Y9,Dienstplan!$B$8:$B$19))*(ISNUMBER(SEARCH($AB$18,Dienstplan!$DT$8:$EX$19)))))</f>
        <v/>
      </c>
      <c r="S74" s="472">
        <f>SUMPRODUCT((ISNUMBER(SEARCH($Y9,Dienstplan!$B$8:$B$19))*(ISNUMBER(SEARCH($AB$19,Dienstplan!$DT$8:$EX$19)))))</f>
        <v/>
      </c>
      <c r="T74" s="472">
        <f>SUM($F$66*$Z9)</f>
        <v/>
      </c>
      <c r="U74" s="472">
        <f>SUM($C74*Frueh_1+$D74*Spaet_1+$E74*Nacht_1+$F74*Normal_1+$I74*Sonderd_1-$J74*Muster+$K74*Muster+$L74*EH_Kurs+$M74*Koor_taet+$N74*Sekre_1+$O74*Muster+$P74*Muster+$Q74*Muster+$R74*Muster+G74*Muster+H74*Muster)</f>
        <v/>
      </c>
      <c r="V74" s="472">
        <f>SUM($U74-$T74)</f>
        <v/>
      </c>
      <c r="W74" s="472">
        <f>V74+W58</f>
        <v/>
      </c>
      <c r="X74" s="472" t="n"/>
      <c r="Y74" s="472" t="n"/>
      <c r="Z74" s="472" t="n"/>
      <c r="AA74" s="472" t="n"/>
      <c r="AB74" s="472" t="n"/>
      <c r="AC74" s="472" t="n"/>
      <c r="AD74" s="472" t="n"/>
      <c r="AE74" s="472" t="n"/>
      <c r="AF74" s="472" t="n"/>
      <c r="AG74" s="472" t="n"/>
      <c r="AH74" s="472" t="n"/>
      <c r="AI74" s="472" t="n"/>
      <c r="AJ74" s="472" t="n"/>
    </row>
    <row r="75">
      <c r="A75" s="472" t="n"/>
      <c r="B75" s="471">
        <f>B11</f>
        <v/>
      </c>
      <c r="C75" s="472">
        <f>SUMPRODUCT((ISNUMBER(SEARCH($Y10,Dienstplan!$B$8:$B$19))*(ISNUMBER(SEARCH($AB$3,Dienstplan!$DT$8:$EX$19)))))-D75</f>
        <v/>
      </c>
      <c r="D75" s="472">
        <f>SUMPRODUCT((ISNUMBER(SEARCH($Y10,Dienstplan!$B$8:$B$19))*(ISNUMBER(SEARCH($AB$4,Dienstplan!$DT$8:$EX$19)))))</f>
        <v/>
      </c>
      <c r="E75" s="472">
        <f>SUMPRODUCT((ISNUMBER(SEARCH($Y10,Dienstplan!$B$8:$B$19))*(ISNUMBER(SEARCH($AB$5,Dienstplan!$DT$8:$EX$19)))))</f>
        <v/>
      </c>
      <c r="F75" s="472">
        <f>SUMPRODUCT((ISNUMBER(SEARCH($Y10,Dienstplan!$B$8:$B$19))*(ISNUMBER(SEARCH($AB$6,Dienstplan!$DT$8:$EX$19)))))</f>
        <v/>
      </c>
      <c r="G75" s="472">
        <f>SUMPRODUCT((ISNUMBER(SEARCH($Y10,Dienstplan!$B$8:$B$19))*(ISNUMBER(SEARCH($AB$7,Dienstplan!$DT$8:$EX$19)))))-H75</f>
        <v/>
      </c>
      <c r="H75" s="472">
        <f>SUMPRODUCT((ISNUMBER(SEARCH($Y10,Dienstplan!$B$8:$B$19))*(ISNUMBER(SEARCH($AB$8,Dienstplan!$DT$8:$EX$19)))))</f>
        <v/>
      </c>
      <c r="I75" s="472">
        <f>SUMPRODUCT((ISNUMBER(SEARCH($Y10,Dienstplan!$B$8:$B$19))*(ISNUMBER(SEARCH($AB$9,Dienstplan!$DT$8:$EX$19)))))</f>
        <v/>
      </c>
      <c r="J75" s="472">
        <f>SUMPRODUCT((ISNUMBER(SEARCH($Y10,Dienstplan!$B$8:$B$19))*(ISNUMBER(SEARCH($AB$10,Dienstplan!$DT$8:$EX$19)))))</f>
        <v/>
      </c>
      <c r="K75" s="472">
        <f>SUMPRODUCT((ISNUMBER(SEARCH($Y10,Dienstplan!$B$8:$B$19))*(ISNUMBER(SEARCH($AB$11,Dienstplan!$DT$8:$EX$19)))))-$Q75</f>
        <v/>
      </c>
      <c r="L75" s="472">
        <f>SUMPRODUCT((ISNUMBER(SEARCH($Y10,Dienstplan!$B$8:$B$19))*(ISNUMBER(SEARCH($AB$12,Dienstplan!$DT$8:$EX$19)))))</f>
        <v/>
      </c>
      <c r="M75" s="472">
        <f>SUMPRODUCT((ISNUMBER(SEARCH($Y10,Dienstplan!$B$8:$B$19))*(ISNUMBER(SEARCH($AB$13,Dienstplan!$DT$8:$EX$19)))))</f>
        <v/>
      </c>
      <c r="N75" s="472">
        <f>SUMPRODUCT((ISNUMBER(SEARCH($Y10,Dienstplan!$B$8:$B$19))*(ISNUMBER(SEARCH($AB$14,Dienstplan!$DT$8:$EX$19)))))</f>
        <v/>
      </c>
      <c r="O75" s="472">
        <f>SUMPRODUCT((ISNUMBER(SEARCH($Y10,Dienstplan!$B$8:$B$19))*(ISNUMBER(SEARCH($AB$15,Dienstplan!$DT$8:$EX$19)))))</f>
        <v/>
      </c>
      <c r="P75" s="472">
        <f>SUMPRODUCT((ISNUMBER(SEARCH($Y10,Dienstplan!$B$8:$B$19))*(ISNUMBER(SEARCH($AB$16,Dienstplan!$DT$8:$EX$19)))))</f>
        <v/>
      </c>
      <c r="Q75" s="472">
        <f>SUMPRODUCT((ISNUMBER(SEARCH($Y10,Dienstplan!$B$8:$B$19))*(ISNUMBER(SEARCH($AB$17,Dienstplan!$DT$8:$EX$19)))))</f>
        <v/>
      </c>
      <c r="R75" s="472">
        <f>SUMPRODUCT((ISNUMBER(SEARCH($Y10,Dienstplan!$B$8:$B$19))*(ISNUMBER(SEARCH($AB$18,Dienstplan!$DT$8:$EX$19)))))</f>
        <v/>
      </c>
      <c r="S75" s="472">
        <f>SUMPRODUCT((ISNUMBER(SEARCH($Y10,Dienstplan!$B$8:$B$19))*(ISNUMBER(SEARCH($AB$19,Dienstplan!$DT$8:$EX$19)))))</f>
        <v/>
      </c>
      <c r="T75" s="472">
        <f>SUM($F$66*$Z10)</f>
        <v/>
      </c>
      <c r="U75" s="472">
        <f>SUM($C75*Frueh_1+$D75*Spaet_1+$E75*Nacht_1+$F75*Normal_1+$I75*Sonderd_1-$J75*Krem_E+$K75*Krem_E+$L75*EH_Kurs+$M75*Koor_taet+$N75*Sekre_1+$O75*Krem_E+$R75*Krem_E+$P75*Krem_E+$Q75*Krem_E+G75*Krem_E+H75*Krem_E)</f>
        <v/>
      </c>
      <c r="V75" s="472">
        <f>SUM($U75-$T75)</f>
        <v/>
      </c>
      <c r="W75" s="472">
        <f>V75+W59</f>
        <v/>
      </c>
      <c r="X75" s="472" t="n"/>
      <c r="Y75" s="472" t="n"/>
      <c r="Z75" s="472" t="n"/>
      <c r="AA75" s="472" t="n"/>
      <c r="AB75" s="472" t="n"/>
      <c r="AC75" s="472" t="n"/>
      <c r="AD75" s="472" t="n"/>
      <c r="AE75" s="472" t="n"/>
      <c r="AF75" s="472" t="n"/>
      <c r="AG75" s="472" t="n"/>
      <c r="AH75" s="472" t="n"/>
      <c r="AI75" s="472" t="n"/>
      <c r="AJ75" s="472" t="n"/>
    </row>
    <row r="76">
      <c r="A76" s="472" t="n"/>
      <c r="B76" s="471">
        <f>B12</f>
        <v/>
      </c>
      <c r="C76" s="472">
        <f>SUMPRODUCT((ISNUMBER(SEARCH($Y11,Dienstplan!$B$8:$B$19))*(ISNUMBER(SEARCH($AB$3,Dienstplan!$DT$8:$EX$19)))))-D76</f>
        <v/>
      </c>
      <c r="D76" s="472">
        <f>SUMPRODUCT((ISNUMBER(SEARCH($Y11,Dienstplan!$B$8:$B$19))*(ISNUMBER(SEARCH($AB$4,Dienstplan!$DT$8:$EX$19)))))</f>
        <v/>
      </c>
      <c r="E76" s="472">
        <f>SUMPRODUCT((ISNUMBER(SEARCH($Y11,Dienstplan!$B$8:$B$19))*(ISNUMBER(SEARCH($AB$5,Dienstplan!$DT$8:$EX$19)))))</f>
        <v/>
      </c>
      <c r="F76" s="472">
        <f>SUMPRODUCT((ISNUMBER(SEARCH($Y11,Dienstplan!$B$8:$B$19))*(ISNUMBER(SEARCH($AB$6,Dienstplan!$DT$8:$EX$19)))))</f>
        <v/>
      </c>
      <c r="G76" s="472">
        <f>SUMPRODUCT((ISNUMBER(SEARCH($Y11,Dienstplan!$B$8:$B$19))*(ISNUMBER(SEARCH($AB$7,Dienstplan!$DT$8:$EX$19)))))-H76</f>
        <v/>
      </c>
      <c r="H76" s="472">
        <f>SUMPRODUCT((ISNUMBER(SEARCH($Y11,Dienstplan!$B$8:$B$19))*(ISNUMBER(SEARCH($AB$8,Dienstplan!$DT$8:$EX$19)))))</f>
        <v/>
      </c>
      <c r="I76" s="472">
        <f>SUMPRODUCT((ISNUMBER(SEARCH($Y11,Dienstplan!$B$8:$B$19))*(ISNUMBER(SEARCH($AB$9,Dienstplan!$DT$8:$EX$19)))))</f>
        <v/>
      </c>
      <c r="J76" s="472">
        <f>SUMPRODUCT((ISNUMBER(SEARCH($Y11,Dienstplan!$B$8:$B$19))*(ISNUMBER(SEARCH($AB$10,Dienstplan!$DT$8:$EX$19)))))</f>
        <v/>
      </c>
      <c r="K76" s="472">
        <f>SUMPRODUCT((ISNUMBER(SEARCH($Y11,Dienstplan!$B$8:$B$19))*(ISNUMBER(SEARCH($AB$11,Dienstplan!$DT$8:$EX$19)))))-$Q76</f>
        <v/>
      </c>
      <c r="L76" s="472">
        <f>SUMPRODUCT((ISNUMBER(SEARCH($Y11,Dienstplan!$B$8:$B$19))*(ISNUMBER(SEARCH($AB$12,Dienstplan!$DT$8:$EX$19)))))</f>
        <v/>
      </c>
      <c r="M76" s="472">
        <f>SUMPRODUCT((ISNUMBER(SEARCH($Y11,Dienstplan!$B$8:$B$19))*(ISNUMBER(SEARCH($AB$13,Dienstplan!$DT$8:$EX$19)))))</f>
        <v/>
      </c>
      <c r="N76" s="472">
        <f>SUMPRODUCT((ISNUMBER(SEARCH($Y11,Dienstplan!$B$8:$B$19))*(ISNUMBER(SEARCH($AB$14,Dienstplan!$DT$8:$EX$19)))))</f>
        <v/>
      </c>
      <c r="O76" s="472">
        <f>SUMPRODUCT((ISNUMBER(SEARCH($Y11,Dienstplan!$B$8:$B$19))*(ISNUMBER(SEARCH($AB$15,Dienstplan!$DT$8:$EX$19)))))</f>
        <v/>
      </c>
      <c r="P76" s="472">
        <f>SUMPRODUCT((ISNUMBER(SEARCH($Y11,Dienstplan!$B$8:$B$19))*(ISNUMBER(SEARCH($AB$16,Dienstplan!$DT$8:$EX$19)))))</f>
        <v/>
      </c>
      <c r="Q76" s="472">
        <f>SUMPRODUCT((ISNUMBER(SEARCH($Y11,Dienstplan!$B$8:$B$19))*(ISNUMBER(SEARCH($AB$17,Dienstplan!$DT$8:$EX$19)))))</f>
        <v/>
      </c>
      <c r="R76" s="472">
        <f>SUMPRODUCT((ISNUMBER(SEARCH($Y11,Dienstplan!$B$8:$B$19))*(ISNUMBER(SEARCH($AB$18,Dienstplan!$DT$8:$EX$19)))))</f>
        <v/>
      </c>
      <c r="S76" s="472">
        <f>SUMPRODUCT((ISNUMBER(SEARCH($Y11,Dienstplan!$B$8:$B$19))*(ISNUMBER(SEARCH($AB$19,Dienstplan!$DT$8:$EX$19)))))</f>
        <v/>
      </c>
      <c r="T76" s="472">
        <f>SUM($F$66*$Z11)</f>
        <v/>
      </c>
      <c r="U76" s="472">
        <f>SUM($C76*Frueh_1+$D76*Spaet_1+$E76*Nacht_1+$F76*Normal_1+$I76*Sonderd_1-$J76*Put_W+$K76*Put_W+$L76*EH_Kurs+$M76*Koor_taet+$N76*Sekre_1+$O76*Put_W+$R76*Put_W+$P76*Put_W+$Q76*Put_W+G76*Put_W+H76*Put_W)</f>
        <v/>
      </c>
      <c r="V76" s="472">
        <f>SUM($U76-$T76)</f>
        <v/>
      </c>
      <c r="W76" s="472">
        <f>V76+W60</f>
        <v/>
      </c>
      <c r="X76" s="472" t="n"/>
      <c r="Y76" s="472" t="n"/>
      <c r="Z76" s="472" t="n"/>
      <c r="AA76" s="472" t="n"/>
      <c r="AB76" s="472" t="n"/>
      <c r="AC76" s="472" t="n"/>
      <c r="AD76" s="472" t="n"/>
      <c r="AE76" s="472" t="n"/>
      <c r="AF76" s="472" t="n"/>
      <c r="AG76" s="472" t="n"/>
      <c r="AH76" s="472" t="n"/>
      <c r="AI76" s="472" t="n"/>
      <c r="AJ76" s="472" t="n"/>
    </row>
    <row r="77">
      <c r="A77" s="472" t="n"/>
      <c r="B77" s="471">
        <f>B13</f>
        <v/>
      </c>
      <c r="C77" s="472">
        <f>SUMPRODUCT((ISNUMBER(SEARCH($Y12,Dienstplan!$B$8:$B$19))*(ISNUMBER(SEARCH($AB$3,Dienstplan!$DT$8:$EX$19)))))-D77</f>
        <v/>
      </c>
      <c r="D77" s="472">
        <f>SUMPRODUCT((ISNUMBER(SEARCH($Y12,Dienstplan!$B$8:$B$19))*(ISNUMBER(SEARCH($AB$4,Dienstplan!$DT$8:$EX$19)))))</f>
        <v/>
      </c>
      <c r="E77" s="472">
        <f>SUMPRODUCT((ISNUMBER(SEARCH($Y12,Dienstplan!$B$8:$B$19))*(ISNUMBER(SEARCH($AB$5,Dienstplan!$DT$8:$EX$19)))))</f>
        <v/>
      </c>
      <c r="F77" s="472">
        <f>SUMPRODUCT((ISNUMBER(SEARCH($Y12,Dienstplan!$B$8:$B$19))*(ISNUMBER(SEARCH($AB$6,Dienstplan!$DT$8:$EX$19)))))</f>
        <v/>
      </c>
      <c r="G77" s="472">
        <f>SUMPRODUCT((ISNUMBER(SEARCH($Y12,Dienstplan!$B$8:$B$19))*(ISNUMBER(SEARCH($AB$7,Dienstplan!$DT$8:$EX$19)))))-H77</f>
        <v/>
      </c>
      <c r="H77" s="472">
        <f>SUMPRODUCT((ISNUMBER(SEARCH($Y12,Dienstplan!$B$8:$B$19))*(ISNUMBER(SEARCH($AB$8,Dienstplan!$DT$8:$EX$19)))))</f>
        <v/>
      </c>
      <c r="I77" s="472">
        <f>SUMPRODUCT((ISNUMBER(SEARCH($Y12,Dienstplan!$B$8:$B$19))*(ISNUMBER(SEARCH($AB$9,Dienstplan!$DT$8:$EX$19)))))</f>
        <v/>
      </c>
      <c r="J77" s="472">
        <f>SUMPRODUCT((ISNUMBER(SEARCH($Y12,Dienstplan!$B$8:$B$19))*(ISNUMBER(SEARCH($AB$10,Dienstplan!$DT$8:$EX$19)))))</f>
        <v/>
      </c>
      <c r="K77" s="472">
        <f>SUMPRODUCT((ISNUMBER(SEARCH($Y12,Dienstplan!$B$8:$B$19))*(ISNUMBER(SEARCH($AB$11,Dienstplan!$DT$8:$EX$19)))))-$Q77</f>
        <v/>
      </c>
      <c r="L77" s="472">
        <f>SUMPRODUCT((ISNUMBER(SEARCH($Y12,Dienstplan!$B$8:$B$19))*(ISNUMBER(SEARCH($AB$12,Dienstplan!$DT$8:$EX$19)))))</f>
        <v/>
      </c>
      <c r="M77" s="472">
        <f>SUMPRODUCT((ISNUMBER(SEARCH($Y12,Dienstplan!$B$8:$B$19))*(ISNUMBER(SEARCH($AB$13,Dienstplan!$DT$8:$EX$19)))))</f>
        <v/>
      </c>
      <c r="N77" s="472">
        <f>SUMPRODUCT((ISNUMBER(SEARCH($Y12,Dienstplan!$B$8:$B$19))*(ISNUMBER(SEARCH($AB$14,Dienstplan!$DT$8:$EX$19)))))</f>
        <v/>
      </c>
      <c r="O77" s="472">
        <f>SUMPRODUCT((ISNUMBER(SEARCH($Y12,Dienstplan!$B$8:$B$19))*(ISNUMBER(SEARCH($AB$15,Dienstplan!$DT$8:$EX$19)))))</f>
        <v/>
      </c>
      <c r="P77" s="472">
        <f>SUMPRODUCT((ISNUMBER(SEARCH($Y12,Dienstplan!$B$8:$B$19))*(ISNUMBER(SEARCH($AB$16,Dienstplan!$DT$8:$EX$19)))))</f>
        <v/>
      </c>
      <c r="Q77" s="472">
        <f>SUMPRODUCT((ISNUMBER(SEARCH($Y12,Dienstplan!$B$8:$B$19))*(ISNUMBER(SEARCH($AB$17,Dienstplan!$DT$8:$EX$19)))))</f>
        <v/>
      </c>
      <c r="R77" s="472">
        <f>SUMPRODUCT((ISNUMBER(SEARCH($Y12,Dienstplan!$B$8:$B$19))*(ISNUMBER(SEARCH($AB$18,Dienstplan!$DT$8:$EX$19)))))</f>
        <v/>
      </c>
      <c r="S77" s="472">
        <f>SUMPRODUCT((ISNUMBER(SEARCH($Y12,Dienstplan!$B$8:$B$19))*(ISNUMBER(SEARCH($AB$19,Dienstplan!$DT$8:$EX$19)))))</f>
        <v/>
      </c>
      <c r="T77" s="472">
        <f>SUM($F$66*$Z12)</f>
        <v/>
      </c>
      <c r="U77" s="472">
        <f>SUM($C77*Frueh_1+$D77*Spaet_1+$E77*Nacht_1+$F77*Normal_1+$I77*Sonderd_1-$J77*Radi_L+$K77*Radi_L+$L77*EH_Kurs+$M77*Koor_taet+$N77*Sekre_1+$O77*Radi_L+$R77*Radi_L+$P77*Radi_L+$Q77*Radi_L+G77*Radi_L+H77*Radi_L)</f>
        <v/>
      </c>
      <c r="V77" s="472">
        <f>SUM($U77-$T77)</f>
        <v/>
      </c>
      <c r="W77" s="472">
        <f>V77+W61</f>
        <v/>
      </c>
      <c r="X77" s="472" t="n"/>
      <c r="Y77" s="472" t="n"/>
      <c r="Z77" s="472" t="n"/>
      <c r="AA77" s="472" t="n"/>
      <c r="AB77" s="472" t="n"/>
      <c r="AC77" s="472" t="n"/>
      <c r="AD77" s="472" t="n"/>
      <c r="AE77" s="472" t="n"/>
      <c r="AF77" s="472" t="n"/>
      <c r="AG77" s="472" t="n"/>
      <c r="AH77" s="472" t="n"/>
      <c r="AI77" s="472" t="n"/>
      <c r="AJ77" s="472" t="n"/>
    </row>
    <row r="78">
      <c r="A78" s="472" t="n"/>
      <c r="B78" s="471">
        <f>B14</f>
        <v/>
      </c>
      <c r="C78" s="472">
        <f>SUMPRODUCT((ISNUMBER(SEARCH($Y13,Dienstplan!$B$8:$B$19))*(ISNUMBER(SEARCH($AB$3,Dienstplan!$DT$8:$EX$19)))))-D78</f>
        <v/>
      </c>
      <c r="D78" s="472">
        <f>SUMPRODUCT((ISNUMBER(SEARCH($Y13,Dienstplan!$B$8:$B$19))*(ISNUMBER(SEARCH($AB$4,Dienstplan!$DT$8:$EX$19)))))</f>
        <v/>
      </c>
      <c r="E78" s="472">
        <f>SUMPRODUCT((ISNUMBER(SEARCH($Y13,Dienstplan!$B$8:$B$19))*(ISNUMBER(SEARCH($AB$5,Dienstplan!$DT$8:$EX$19)))))</f>
        <v/>
      </c>
      <c r="F78" s="472">
        <f>SUMPRODUCT((ISNUMBER(SEARCH($Y13,Dienstplan!$B$8:$B$19))*(ISNUMBER(SEARCH($AB$6,Dienstplan!$DT$8:$EX$19)))))</f>
        <v/>
      </c>
      <c r="G78" s="472">
        <f>SUMPRODUCT((ISNUMBER(SEARCH($Y13,Dienstplan!$B$8:$B$19))*(ISNUMBER(SEARCH($AB$7,Dienstplan!$DT$8:$EX$19)))))-H78</f>
        <v/>
      </c>
      <c r="H78" s="472">
        <f>SUMPRODUCT((ISNUMBER(SEARCH($Y13,Dienstplan!$B$8:$B$19))*(ISNUMBER(SEARCH($AB$8,Dienstplan!$DT$8:$EX$19)))))</f>
        <v/>
      </c>
      <c r="I78" s="472">
        <f>SUMPRODUCT((ISNUMBER(SEARCH($Y13,Dienstplan!$B$8:$B$19))*(ISNUMBER(SEARCH($AB$9,Dienstplan!$DT$8:$EX$19)))))</f>
        <v/>
      </c>
      <c r="J78" s="472">
        <f>SUMPRODUCT((ISNUMBER(SEARCH($Y13,Dienstplan!$B$8:$B$19))*(ISNUMBER(SEARCH($AB$10,Dienstplan!$DT$8:$EX$19)))))</f>
        <v/>
      </c>
      <c r="K78" s="472">
        <f>SUMPRODUCT((ISNUMBER(SEARCH($Y13,Dienstplan!$B$8:$B$19))*(ISNUMBER(SEARCH($AB$11,Dienstplan!$DT$8:$EX$19)))))-$Q78</f>
        <v/>
      </c>
      <c r="L78" s="472">
        <f>SUMPRODUCT((ISNUMBER(SEARCH($Y13,Dienstplan!$B$8:$B$19))*(ISNUMBER(SEARCH($AB$12,Dienstplan!$DT$8:$EX$19)))))</f>
        <v/>
      </c>
      <c r="M78" s="472">
        <f>SUMPRODUCT((ISNUMBER(SEARCH($Y13,Dienstplan!$B$8:$B$19))*(ISNUMBER(SEARCH($AB$13,Dienstplan!$DT$8:$EX$19)))))</f>
        <v/>
      </c>
      <c r="N78" s="472">
        <f>SUMPRODUCT((ISNUMBER(SEARCH($Y13,Dienstplan!$B$8:$B$19))*(ISNUMBER(SEARCH($AB$14,Dienstplan!$DT$8:$EX$19)))))</f>
        <v/>
      </c>
      <c r="O78" s="472">
        <f>SUMPRODUCT((ISNUMBER(SEARCH($Y13,Dienstplan!$B$8:$B$19))*(ISNUMBER(SEARCH($AB$15,Dienstplan!$DT$8:$EX$19)))))</f>
        <v/>
      </c>
      <c r="P78" s="472">
        <f>SUMPRODUCT((ISNUMBER(SEARCH($Y13,Dienstplan!$B$8:$B$19))*(ISNUMBER(SEARCH($AB$16,Dienstplan!$DT$8:$EX$19)))))</f>
        <v/>
      </c>
      <c r="Q78" s="472">
        <f>SUMPRODUCT((ISNUMBER(SEARCH($Y13,Dienstplan!$B$8:$B$19))*(ISNUMBER(SEARCH($AB$17,Dienstplan!$DT$8:$EX$19)))))</f>
        <v/>
      </c>
      <c r="R78" s="472">
        <f>SUMPRODUCT((ISNUMBER(SEARCH($Y13,Dienstplan!$B$8:$B$19))*(ISNUMBER(SEARCH($AB$18,Dienstplan!$DT$8:$EX$19)))))</f>
        <v/>
      </c>
      <c r="S78" s="472">
        <f>SUMPRODUCT((ISNUMBER(SEARCH($Y13,Dienstplan!$B$8:$B$19))*(ISNUMBER(SEARCH($AB$19,Dienstplan!$DT$8:$EX$19)))))</f>
        <v/>
      </c>
      <c r="T78" s="472">
        <f>SUM($F$66*$Z13)</f>
        <v/>
      </c>
      <c r="U78" s="472">
        <f>SUM($C78*Frueh_1+$D78*Spaet_1+$E78*Nacht_1+$F78*Normal_1+$I78*Sonderd_1-$J78*Fortenb+$K78*Fortenb+$L78*EH_Kurs+$M78*Koor_taet+$N78*Sekre_1+$O78*Fortenb+$R78*Fortenb+$P78*Fortenb+$Q78*Fortenb+G78*Fortenb+H78*Fortenb)</f>
        <v/>
      </c>
      <c r="V78" s="472">
        <f>SUM($U78-$T78)</f>
        <v/>
      </c>
      <c r="W78" s="472">
        <f>V78+W62</f>
        <v/>
      </c>
      <c r="X78" s="472" t="n"/>
      <c r="Y78" s="472" t="n"/>
      <c r="Z78" s="472" t="n"/>
      <c r="AA78" s="472" t="n"/>
      <c r="AB78" s="472" t="n"/>
      <c r="AC78" s="472" t="n"/>
      <c r="AD78" s="472" t="n"/>
      <c r="AE78" s="472" t="n"/>
      <c r="AF78" s="472" t="n"/>
      <c r="AG78" s="472" t="n"/>
      <c r="AH78" s="472" t="n"/>
      <c r="AI78" s="472" t="n"/>
      <c r="AJ78" s="472" t="n"/>
    </row>
    <row r="79">
      <c r="A79" s="472" t="n"/>
      <c r="B79" s="471" t="n"/>
      <c r="C79" s="472" t="n"/>
      <c r="D79" s="472" t="n"/>
      <c r="E79" s="472" t="n"/>
      <c r="F79" s="472" t="n"/>
      <c r="G79" s="472" t="n"/>
      <c r="H79" s="472" t="n"/>
      <c r="I79" s="472" t="n"/>
      <c r="J79" s="472" t="n"/>
      <c r="K79" s="472" t="n"/>
      <c r="L79" s="472" t="n"/>
      <c r="M79" s="472" t="n"/>
      <c r="N79" s="472" t="n"/>
      <c r="O79" s="472" t="n"/>
      <c r="P79" s="472" t="n"/>
      <c r="Q79" s="472" t="n"/>
      <c r="R79" s="472" t="n"/>
      <c r="S79" s="472" t="n"/>
      <c r="T79" s="472" t="n"/>
      <c r="U79" s="472" t="n"/>
      <c r="V79" s="472" t="n"/>
      <c r="W79" s="472" t="n"/>
      <c r="X79" s="472" t="n"/>
      <c r="Y79" s="472" t="n"/>
      <c r="Z79" s="472" t="n"/>
      <c r="AA79" s="472" t="n"/>
      <c r="AB79" s="472" t="n"/>
      <c r="AC79" s="472" t="n"/>
      <c r="AD79" s="472" t="n"/>
      <c r="AE79" s="472" t="n"/>
      <c r="AF79" s="472" t="n"/>
      <c r="AG79" s="472" t="n"/>
      <c r="AH79" s="472" t="n"/>
      <c r="AI79" s="472" t="n"/>
      <c r="AJ79" s="472" t="n"/>
    </row>
    <row r="80">
      <c r="A80" s="483" t="n"/>
      <c r="B80" s="483" t="inlineStr">
        <is>
          <t>Summe</t>
        </is>
      </c>
      <c r="C80" s="483">
        <f>SUM(C68:C79)</f>
        <v/>
      </c>
      <c r="D80" s="483">
        <f>SUM(D68:D79)</f>
        <v/>
      </c>
      <c r="E80" s="483">
        <f>SUM(E68:E79)</f>
        <v/>
      </c>
      <c r="F80" s="483">
        <f>SUM(F68:F79)</f>
        <v/>
      </c>
      <c r="G80" s="483">
        <f>SUM(G68:G79)</f>
        <v/>
      </c>
      <c r="H80" s="483">
        <f>SUM(H68:H79)</f>
        <v/>
      </c>
      <c r="I80" s="483">
        <f>SUM(I68:I79)</f>
        <v/>
      </c>
      <c r="J80" s="483">
        <f>SUM(J68:J79)</f>
        <v/>
      </c>
      <c r="K80" s="483">
        <f>SUM(K68:K79)</f>
        <v/>
      </c>
      <c r="L80" s="483">
        <f>SUM(L68:L79)</f>
        <v/>
      </c>
      <c r="M80" s="483">
        <f>SUM(M68:M79)</f>
        <v/>
      </c>
      <c r="N80" s="483">
        <f>SUM(N68:N79)</f>
        <v/>
      </c>
      <c r="O80" s="483">
        <f>SUM(O68:O79)</f>
        <v/>
      </c>
      <c r="P80" s="483">
        <f>SUM(P68:P79)</f>
        <v/>
      </c>
      <c r="Q80" s="483">
        <f>SUM(Q68:Q79)</f>
        <v/>
      </c>
      <c r="R80" s="483">
        <f>SUM(R68:R79)</f>
        <v/>
      </c>
      <c r="S80" s="483">
        <f>SUM(S68:S79)</f>
        <v/>
      </c>
      <c r="T80" s="483">
        <f>SUM(T68:T76)</f>
        <v/>
      </c>
      <c r="U80" s="483">
        <f>SUM(U68:U76)</f>
        <v/>
      </c>
      <c r="V80" s="483" t="n"/>
      <c r="W80" s="483" t="n"/>
      <c r="X80" s="483" t="n"/>
      <c r="Y80" s="483" t="n"/>
      <c r="Z80" s="483" t="n"/>
      <c r="AA80" s="483" t="n"/>
      <c r="AB80" s="483" t="n"/>
      <c r="AC80" s="483" t="n"/>
      <c r="AD80" s="483" t="n"/>
      <c r="AE80" s="483" t="n"/>
      <c r="AF80" s="483" t="n"/>
      <c r="AG80" s="483" t="n"/>
      <c r="AH80" s="483" t="n"/>
      <c r="AI80" s="483" t="n"/>
      <c r="AJ80" s="483" t="n"/>
    </row>
    <row r="81">
      <c r="A81" s="11" t="n"/>
      <c r="B81" s="12" t="n"/>
      <c r="C81" s="1" t="n"/>
      <c r="D81" s="1" t="n"/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  <c r="O81" s="1" t="n"/>
      <c r="P81" s="1" t="n"/>
      <c r="Q81" s="1" t="n"/>
      <c r="R81" s="1" t="n"/>
      <c r="S81" s="12" t="n"/>
      <c r="T81" s="1" t="n"/>
      <c r="U81" s="1" t="n"/>
      <c r="V81" s="12" t="n"/>
      <c r="W81" s="17" t="n"/>
    </row>
    <row r="82">
      <c r="A82" s="475" t="n"/>
      <c r="B82" s="476" t="inlineStr">
        <is>
          <t>Juni</t>
        </is>
      </c>
      <c r="C82" s="475" t="n"/>
      <c r="D82" s="477" t="inlineStr">
        <is>
          <t>Arbeitstage</t>
        </is>
      </c>
      <c r="E82" s="475" t="n"/>
      <c r="F82" s="478" t="n">
        <v>21</v>
      </c>
      <c r="G82" s="479" t="n"/>
      <c r="H82" s="479" t="n"/>
      <c r="I82" s="477" t="inlineStr">
        <is>
          <t>Samstage</t>
        </is>
      </c>
      <c r="J82" s="475" t="n"/>
      <c r="K82" s="478" t="n">
        <v>4</v>
      </c>
      <c r="L82" s="475" t="n"/>
      <c r="M82" s="475" t="n"/>
      <c r="N82" s="475" t="n"/>
      <c r="O82" s="475" t="n"/>
      <c r="P82" s="475" t="n"/>
      <c r="Q82" s="475" t="n"/>
      <c r="R82" s="475" t="n"/>
      <c r="S82" s="475" t="n"/>
      <c r="T82" s="475" t="n"/>
      <c r="U82" s="475" t="n"/>
      <c r="V82" s="475" t="n"/>
      <c r="W82" s="475" t="n"/>
      <c r="X82" s="475" t="n"/>
      <c r="Y82" s="475" t="n"/>
      <c r="Z82" s="475" t="n"/>
      <c r="AA82" s="475" t="n"/>
      <c r="AB82" s="475" t="n"/>
      <c r="AC82" s="475" t="n"/>
      <c r="AD82" s="475" t="n"/>
      <c r="AE82" s="475" t="n"/>
      <c r="AF82" s="475" t="n"/>
      <c r="AG82" s="475" t="n"/>
      <c r="AH82" s="475" t="n"/>
      <c r="AI82" s="475" t="n"/>
      <c r="AJ82" s="475" t="n"/>
    </row>
    <row r="83">
      <c r="A83" s="480" t="n"/>
      <c r="B83" s="480" t="n"/>
      <c r="C83" s="480">
        <f>Jahr!C3</f>
        <v/>
      </c>
      <c r="D83" s="480">
        <f>Jahr!D3</f>
        <v/>
      </c>
      <c r="E83" s="480">
        <f>Jahr!E3</f>
        <v/>
      </c>
      <c r="F83" s="480">
        <f>Jahr!F3</f>
        <v/>
      </c>
      <c r="G83" s="480">
        <f>Jahr!G3</f>
        <v/>
      </c>
      <c r="H83" s="480">
        <f>Jahr!H3</f>
        <v/>
      </c>
      <c r="I83" s="480">
        <f>Jahr!I3</f>
        <v/>
      </c>
      <c r="J83" s="480">
        <f>Jahr!J3</f>
        <v/>
      </c>
      <c r="K83" s="480">
        <f>Jahr!K3</f>
        <v/>
      </c>
      <c r="L83" s="480">
        <f>Jahr!L3</f>
        <v/>
      </c>
      <c r="M83" s="480">
        <f>Jahr!M3</f>
        <v/>
      </c>
      <c r="N83" s="480">
        <f>Jahr!N3</f>
        <v/>
      </c>
      <c r="O83" s="480">
        <f>Jahr!O3</f>
        <v/>
      </c>
      <c r="P83" s="480">
        <f>Jahr!P3</f>
        <v/>
      </c>
      <c r="Q83" s="480">
        <f>Jahr!Q3</f>
        <v/>
      </c>
      <c r="R83" s="480">
        <f>Jahr!R3</f>
        <v/>
      </c>
      <c r="S83" s="480">
        <f>Jahr!S3</f>
        <v/>
      </c>
      <c r="T83" s="480" t="inlineStr">
        <is>
          <t>Soll AZ</t>
        </is>
      </c>
      <c r="U83" s="480" t="inlineStr">
        <is>
          <t>Ist AZ</t>
        </is>
      </c>
      <c r="V83" s="480" t="inlineStr">
        <is>
          <t>Differenz</t>
        </is>
      </c>
      <c r="W83" s="480" t="inlineStr">
        <is>
          <t>Gesamt</t>
        </is>
      </c>
      <c r="X83" s="480" t="n"/>
      <c r="Y83" s="480" t="n"/>
      <c r="Z83" s="480" t="n"/>
      <c r="AA83" s="480" t="n"/>
      <c r="AB83" s="480" t="n"/>
      <c r="AC83" s="480" t="n"/>
      <c r="AD83" s="480" t="n"/>
      <c r="AE83" s="480" t="n"/>
      <c r="AF83" s="480" t="n"/>
      <c r="AG83" s="480" t="n"/>
      <c r="AH83" s="480" t="n"/>
      <c r="AI83" s="480" t="n"/>
      <c r="AJ83" s="480" t="n"/>
    </row>
    <row r="84">
      <c r="A84" s="472" t="n"/>
      <c r="B84" s="471">
        <f>B4</f>
        <v/>
      </c>
      <c r="C84" s="472">
        <f>SUMPRODUCT((ISNUMBER(SEARCH($Y3,Dienstplan!$B$8:$B$19))*(ISNUMBER(SEARCH($AB$3,Dienstplan!$EY$8:$GB$19)))))-D84</f>
        <v/>
      </c>
      <c r="D84" s="472">
        <f>SUMPRODUCT((ISNUMBER(SEARCH($Y3,Dienstplan!$B$8:$B$19))*(ISNUMBER(SEARCH($AB$4,Dienstplan!$EY$8:$GB$19)))))</f>
        <v/>
      </c>
      <c r="E84" s="472">
        <f>SUMPRODUCT((ISNUMBER(SEARCH($Y3,Dienstplan!$B$8:$B$19))*(ISNUMBER(SEARCH($AB$5,Dienstplan!$EY$8:$GB$19)))))</f>
        <v/>
      </c>
      <c r="F84" s="472">
        <f>SUMPRODUCT((ISNUMBER(SEARCH($Y3,Dienstplan!$B$8:$B$19))*(ISNUMBER(SEARCH($AB$6,Dienstplan!$EY$8:$GB$19)))))</f>
        <v/>
      </c>
      <c r="G84" s="472">
        <f>SUMPRODUCT((ISNUMBER(SEARCH($Y3,Dienstplan!$B$8:$B$19))*(ISNUMBER(SEARCH($AB$7,Dienstplan!$EY$8:$GB$19)))))-H84</f>
        <v/>
      </c>
      <c r="H84" s="472">
        <f>SUMPRODUCT((ISNUMBER(SEARCH($Y3,Dienstplan!$B$8:$B$19))*(ISNUMBER(SEARCH($AB$8,Dienstplan!$EY$8:$GB$19)))))</f>
        <v/>
      </c>
      <c r="I84" s="472">
        <f>SUMPRODUCT((ISNUMBER(SEARCH($Y3,Dienstplan!$B$8:$B$19))*(ISNUMBER(SEARCH($AB$9,Dienstplan!$EY$8:$GB$19)))))</f>
        <v/>
      </c>
      <c r="J84" s="472">
        <f>SUMPRODUCT((ISNUMBER(SEARCH($Y3,Dienstplan!$B$8:$B$19))*(ISNUMBER(SEARCH($AB$10,Dienstplan!$EY$8:$GB$19)))))</f>
        <v/>
      </c>
      <c r="K84" s="472">
        <f>SUMPRODUCT((ISNUMBER(SEARCH($Y3,Dienstplan!$B$8:$B$19))*(ISNUMBER(SEARCH($AB$11,Dienstplan!$EY$8:$GB$19)))))-$Q84</f>
        <v/>
      </c>
      <c r="L84" s="472">
        <f>SUMPRODUCT((ISNUMBER(SEARCH($Y3,Dienstplan!$B$8:$B$19))*(ISNUMBER(SEARCH($AB$12,Dienstplan!$EY$8:$GB$19)))))</f>
        <v/>
      </c>
      <c r="M84" s="472">
        <f>SUMPRODUCT((ISNUMBER(SEARCH($Y3,Dienstplan!$B$8:$B$19))*(ISNUMBER(SEARCH($AB$13,Dienstplan!$EY$8:$GB$19)))))</f>
        <v/>
      </c>
      <c r="N84" s="472">
        <f>SUMPRODUCT((ISNUMBER(SEARCH($Y3,Dienstplan!$B$8:$B$19))*(ISNUMBER(SEARCH($AB$14,Dienstplan!$EY$8:$GB$19)))))</f>
        <v/>
      </c>
      <c r="O84" s="472">
        <f>SUMPRODUCT((ISNUMBER(SEARCH($Y3,Dienstplan!$B$8:$B$19))*(ISNUMBER(SEARCH($AB$15,Dienstplan!$EY$8:$GB$19)))))</f>
        <v/>
      </c>
      <c r="P84" s="472">
        <f>SUMPRODUCT((ISNUMBER(SEARCH($Y3,Dienstplan!$B$8:$B$19))*(ISNUMBER(SEARCH($AB$16,Dienstplan!$EY$8:$GB$19)))))</f>
        <v/>
      </c>
      <c r="Q84" s="472">
        <f>SUMPRODUCT((ISNUMBER(SEARCH($Y3,Dienstplan!$B$8:$B$19))*(ISNUMBER(SEARCH($AB$17,Dienstplan!$EY$8:$GB$19)))))</f>
        <v/>
      </c>
      <c r="R84" s="472">
        <f>SUMPRODUCT((ISNUMBER(SEARCH($Y3,Dienstplan!$B$8:$B$19))*(ISNUMBER(SEARCH($AB$18,Dienstplan!$EY$8:$GB$19)))))</f>
        <v/>
      </c>
      <c r="S84" s="472">
        <f>SUMPRODUCT((ISNUMBER(SEARCH($Y3,Dienstplan!$B$8:$B$19))*(ISNUMBER(SEARCH($AB$19,Dienstplan!$EY$8:$GB$19)))))</f>
        <v/>
      </c>
      <c r="T84" s="472">
        <f>SUM($F$82*$Z3)</f>
        <v/>
      </c>
      <c r="U84" s="472">
        <f>SUM($C84*Frueh_1+$D84*Spaet_1+$E84*Nacht_1+$F84*Normal_1+$I84*Sonderd_1-$J84*Velten+$K84*Velten+$L84*EH_Kurs+$M84*Koor_taet+$N84*Sekre_1+$O84*Velten+$R84*Velten+$P84*Velten+$Q84*Velten+G84*Velt_M+H84*Velt_M)</f>
        <v/>
      </c>
      <c r="V84" s="472">
        <f>SUM($U84-$T84)</f>
        <v/>
      </c>
      <c r="W84" s="472">
        <f>V84+W68</f>
        <v/>
      </c>
      <c r="X84" s="472" t="n"/>
      <c r="Y84" s="472" t="n"/>
      <c r="Z84" s="472" t="n"/>
      <c r="AA84" s="472" t="n"/>
      <c r="AB84" s="472" t="n"/>
      <c r="AC84" s="472" t="n"/>
      <c r="AD84" s="472" t="n"/>
      <c r="AE84" s="472" t="n"/>
      <c r="AF84" s="472" t="n"/>
      <c r="AG84" s="472" t="n"/>
      <c r="AH84" s="472" t="n"/>
      <c r="AI84" s="472" t="n"/>
      <c r="AJ84" s="472" t="n"/>
    </row>
    <row r="85">
      <c r="A85" s="472" t="n"/>
      <c r="B85" s="471">
        <f>B5</f>
        <v/>
      </c>
      <c r="C85" s="472">
        <f>SUMPRODUCT((ISNUMBER(SEARCH($Y4,Dienstplan!$B$8:$B$19))*(ISNUMBER(SEARCH($AB$3,Dienstplan!$EY$8:$GB$19)))))-D85</f>
        <v/>
      </c>
      <c r="D85" s="472">
        <f>SUMPRODUCT((ISNUMBER(SEARCH($Y4,Dienstplan!$B$8:$B$19))*(ISNUMBER(SEARCH($AB$4,Dienstplan!$EY$8:$GB$19)))))</f>
        <v/>
      </c>
      <c r="E85" s="472">
        <f>SUMPRODUCT((ISNUMBER(SEARCH($Y4,Dienstplan!$B$8:$B$19))*(ISNUMBER(SEARCH($AB$5,Dienstplan!$EY$8:$GB$19)))))</f>
        <v/>
      </c>
      <c r="F85" s="472">
        <f>SUMPRODUCT((ISNUMBER(SEARCH($Y4,Dienstplan!$B$8:$B$19))*(ISNUMBER(SEARCH($AB$6,Dienstplan!$EY$8:$GB$19)))))</f>
        <v/>
      </c>
      <c r="G85" s="472">
        <f>SUMPRODUCT((ISNUMBER(SEARCH($Y4,Dienstplan!$B$8:$B$19))*(ISNUMBER(SEARCH($AB$7,Dienstplan!$EY$8:$GB$19)))))-H85</f>
        <v/>
      </c>
      <c r="H85" s="472">
        <f>SUMPRODUCT((ISNUMBER(SEARCH($Y4,Dienstplan!$B$8:$B$19))*(ISNUMBER(SEARCH($AB$8,Dienstplan!$EY$8:$GB$19)))))</f>
        <v/>
      </c>
      <c r="I85" s="472">
        <f>SUMPRODUCT((ISNUMBER(SEARCH($Y4,Dienstplan!$B$8:$B$19))*(ISNUMBER(SEARCH($AB$9,Dienstplan!$EY$8:$GB$19)))))</f>
        <v/>
      </c>
      <c r="J85" s="472">
        <f>SUMPRODUCT((ISNUMBER(SEARCH($Y4,Dienstplan!$B$8:$B$19))*(ISNUMBER(SEARCH($AB$10,Dienstplan!$EY$8:$GB$19)))))</f>
        <v/>
      </c>
      <c r="K85" s="472">
        <f>SUMPRODUCT((ISNUMBER(SEARCH($Y4,Dienstplan!$B$8:$B$19))*(ISNUMBER(SEARCH($AB$11,Dienstplan!$EY$8:$GB$19)))))-$Q85</f>
        <v/>
      </c>
      <c r="L85" s="472">
        <f>SUMPRODUCT((ISNUMBER(SEARCH($Y4,Dienstplan!$B$8:$B$19))*(ISNUMBER(SEARCH($AB$12,Dienstplan!$EY$8:$GB$19)))))</f>
        <v/>
      </c>
      <c r="M85" s="472">
        <f>SUMPRODUCT((ISNUMBER(SEARCH($Y4,Dienstplan!$B$8:$B$19))*(ISNUMBER(SEARCH($AB$13,Dienstplan!$EY$8:$GB$19)))))</f>
        <v/>
      </c>
      <c r="N85" s="472">
        <f>SUMPRODUCT((ISNUMBER(SEARCH($Y4,Dienstplan!$B$8:$B$19))*(ISNUMBER(SEARCH($AB$14,Dienstplan!$EY$8:$GB$19)))))</f>
        <v/>
      </c>
      <c r="O85" s="472">
        <f>SUMPRODUCT((ISNUMBER(SEARCH($Y4,Dienstplan!$B$8:$B$19))*(ISNUMBER(SEARCH($AB$15,Dienstplan!$EY$8:$GB$19)))))</f>
        <v/>
      </c>
      <c r="P85" s="472">
        <f>SUMPRODUCT((ISNUMBER(SEARCH($Y4,Dienstplan!$B$8:$B$19))*(ISNUMBER(SEARCH($AB$16,Dienstplan!$EY$8:$GB$19)))))</f>
        <v/>
      </c>
      <c r="Q85" s="472">
        <f>SUMPRODUCT((ISNUMBER(SEARCH($Y4,Dienstplan!$B$8:$B$19))*(ISNUMBER(SEARCH($AB$17,Dienstplan!$EY$8:$GB$19)))))</f>
        <v/>
      </c>
      <c r="R85" s="472">
        <f>SUMPRODUCT((ISNUMBER(SEARCH($Y4,Dienstplan!$B$8:$B$19))*(ISNUMBER(SEARCH($AB$18,Dienstplan!$EY$8:$GB$19)))))</f>
        <v/>
      </c>
      <c r="S85" s="472">
        <f>SUMPRODUCT((ISNUMBER(SEARCH($Y4,Dienstplan!$B$8:$B$19))*(ISNUMBER(SEARCH($AB$19,Dienstplan!$EY$8:$GB$19)))))</f>
        <v/>
      </c>
      <c r="T85" s="472">
        <f>SUM($F$82*$Z4)</f>
        <v/>
      </c>
      <c r="U85" s="472">
        <f>SUM($C85*Frueh_1+$D85*Spaet_1+$E85*Nacht_1+$F85*Normal_1+$I85*Sonderd_1-$J85*Brue_H+$K85*Brue_H+$L85*EH_Kurs+$M85*Koor_taet+$N85*Sekre_1+$O85*Brue_H+$R85*Brue_H+$P85*Brue_H+$Q85*Brue_H+G85*Brue_H+H85*Brue_H)</f>
        <v/>
      </c>
      <c r="V85" s="472">
        <f>SUM($U85-$T85)</f>
        <v/>
      </c>
      <c r="W85" s="472">
        <f>V85+W69</f>
        <v/>
      </c>
      <c r="X85" s="472" t="n"/>
      <c r="Y85" s="472" t="n"/>
      <c r="Z85" s="472" t="n"/>
      <c r="AA85" s="472" t="n"/>
      <c r="AB85" s="472" t="n"/>
      <c r="AC85" s="472" t="n"/>
      <c r="AD85" s="472" t="n"/>
      <c r="AE85" s="472" t="n"/>
      <c r="AF85" s="472" t="n"/>
      <c r="AG85" s="472" t="n"/>
      <c r="AH85" s="472" t="n"/>
      <c r="AI85" s="472" t="n"/>
      <c r="AJ85" s="472" t="n"/>
    </row>
    <row r="86">
      <c r="A86" s="472" t="n"/>
      <c r="B86" s="471">
        <f>B6</f>
        <v/>
      </c>
      <c r="C86" s="472">
        <f>SUMPRODUCT((ISNUMBER(SEARCH($Y5,Dienstplan!$B$8:$B$19))*(ISNUMBER(SEARCH($AB$3,Dienstplan!$EY$8:$GB$19)))))-D86</f>
        <v/>
      </c>
      <c r="D86" s="472">
        <f>SUMPRODUCT((ISNUMBER(SEARCH($Y5,Dienstplan!$B$8:$B$19))*(ISNUMBER(SEARCH($AB$4,Dienstplan!$EY$8:$GB$19)))))</f>
        <v/>
      </c>
      <c r="E86" s="472">
        <f>SUMPRODUCT((ISNUMBER(SEARCH($Y5,Dienstplan!$B$8:$B$19))*(ISNUMBER(SEARCH($AB$5,Dienstplan!$EY$8:$GB$19)))))</f>
        <v/>
      </c>
      <c r="F86" s="472">
        <f>SUMPRODUCT((ISNUMBER(SEARCH($Y5,Dienstplan!$B$8:$B$19))*(ISNUMBER(SEARCH($AB$6,Dienstplan!$EY$8:$GB$19)))))</f>
        <v/>
      </c>
      <c r="G86" s="472">
        <f>SUMPRODUCT((ISNUMBER(SEARCH($Y5,Dienstplan!$B$8:$B$19))*(ISNUMBER(SEARCH($AB$7,Dienstplan!$EY$8:$GB$19)))))-H86</f>
        <v/>
      </c>
      <c r="H86" s="472">
        <f>SUMPRODUCT((ISNUMBER(SEARCH($Y5,Dienstplan!$B$8:$B$19))*(ISNUMBER(SEARCH($AB$8,Dienstplan!$EY$8:$GB$19)))))</f>
        <v/>
      </c>
      <c r="I86" s="472">
        <f>SUMPRODUCT((ISNUMBER(SEARCH($Y5,Dienstplan!$B$8:$B$19))*(ISNUMBER(SEARCH($AB$9,Dienstplan!$EY$8:$GB$19)))))</f>
        <v/>
      </c>
      <c r="J86" s="472">
        <f>SUMPRODUCT((ISNUMBER(SEARCH($Y5,Dienstplan!$B$8:$B$19))*(ISNUMBER(SEARCH($AB$10,Dienstplan!$EY$8:$GB$19)))))</f>
        <v/>
      </c>
      <c r="K86" s="472">
        <f>SUMPRODUCT((ISNUMBER(SEARCH($Y5,Dienstplan!$B$8:$B$19))*(ISNUMBER(SEARCH($AB$11,Dienstplan!$EY$8:$GB$19)))))-$Q86</f>
        <v/>
      </c>
      <c r="L86" s="472">
        <f>SUMPRODUCT((ISNUMBER(SEARCH($Y5,Dienstplan!$B$8:$B$19))*(ISNUMBER(SEARCH($AB$12,Dienstplan!$EY$8:$GB$19)))))</f>
        <v/>
      </c>
      <c r="M86" s="472">
        <f>SUMPRODUCT((ISNUMBER(SEARCH($Y5,Dienstplan!$B$8:$B$19))*(ISNUMBER(SEARCH($AB$13,Dienstplan!$EY$8:$GB$19)))))</f>
        <v/>
      </c>
      <c r="N86" s="472">
        <f>SUMPRODUCT((ISNUMBER(SEARCH($Y5,Dienstplan!$B$8:$B$19))*(ISNUMBER(SEARCH($AB$14,Dienstplan!$EY$8:$GB$19)))))</f>
        <v/>
      </c>
      <c r="O86" s="472">
        <f>SUMPRODUCT((ISNUMBER(SEARCH($Y5,Dienstplan!$B$8:$B$19))*(ISNUMBER(SEARCH($AB$15,Dienstplan!$EY$8:$GB$19)))))</f>
        <v/>
      </c>
      <c r="P86" s="472">
        <f>SUMPRODUCT((ISNUMBER(SEARCH($Y5,Dienstplan!$B$8:$B$19))*(ISNUMBER(SEARCH($AB$16,Dienstplan!$EY$8:$GB$19)))))</f>
        <v/>
      </c>
      <c r="Q86" s="472">
        <f>SUMPRODUCT((ISNUMBER(SEARCH($Y5,Dienstplan!$B$8:$B$19))*(ISNUMBER(SEARCH($AB$17,Dienstplan!$EY$8:$GB$19)))))</f>
        <v/>
      </c>
      <c r="R86" s="472">
        <f>SUMPRODUCT((ISNUMBER(SEARCH($Y5,Dienstplan!$B$8:$B$19))*(ISNUMBER(SEARCH($AB$18,Dienstplan!$EY$8:$GB$19)))))</f>
        <v/>
      </c>
      <c r="S86" s="472">
        <f>SUMPRODUCT((ISNUMBER(SEARCH($Y5,Dienstplan!$B$8:$B$19))*(ISNUMBER(SEARCH($AB$19,Dienstplan!$EY$8:$GB$19)))))</f>
        <v/>
      </c>
      <c r="T86" s="472">
        <f>SUM($F$82*$Z5)</f>
        <v/>
      </c>
      <c r="U86" s="472">
        <f>SUM($C86*Frueh_1+$D86*Spaet_1+$E86*Nacht_1+$F86*Normal_1+$I86*Sonderd_1-$J86*Rath_M+$K86*Rath_M+$L86*EH_Kurs+$M86*Koor_taet+$N86*Sekre_1+$O86*Rath_M+$R86*Rath_M+$P86*Rath_M+$Q86*Rath_M+G86*Rath_M+H86*Rath_M)</f>
        <v/>
      </c>
      <c r="V86" s="472">
        <f>SUM($U86-$T86)</f>
        <v/>
      </c>
      <c r="W86" s="472">
        <f>V86+W70</f>
        <v/>
      </c>
      <c r="X86" s="472" t="n"/>
      <c r="Y86" s="472" t="n"/>
      <c r="Z86" s="472" t="n"/>
      <c r="AA86" s="472" t="n"/>
      <c r="AB86" s="472" t="n"/>
      <c r="AC86" s="472" t="n"/>
      <c r="AD86" s="472" t="n"/>
      <c r="AE86" s="472" t="n"/>
      <c r="AF86" s="472" t="n"/>
      <c r="AG86" s="472" t="n"/>
      <c r="AH86" s="472" t="n"/>
      <c r="AI86" s="472" t="n"/>
      <c r="AJ86" s="472" t="n"/>
    </row>
    <row r="87">
      <c r="A87" s="472" t="n"/>
      <c r="B87" s="471">
        <f>B7</f>
        <v/>
      </c>
      <c r="C87" s="472">
        <f>SUMPRODUCT((ISNUMBER(SEARCH($Y6,Dienstplan!$B$8:$B$19))*(ISNUMBER(SEARCH($AB$3,Dienstplan!$EY$8:$GB$19)))))-D87</f>
        <v/>
      </c>
      <c r="D87" s="472">
        <f>SUMPRODUCT((ISNUMBER(SEARCH($Y6,Dienstplan!$B$8:$B$19))*(ISNUMBER(SEARCH($AB$4,Dienstplan!$EY$8:$GB$19)))))</f>
        <v/>
      </c>
      <c r="E87" s="472">
        <f>SUMPRODUCT((ISNUMBER(SEARCH($Y6,Dienstplan!$B$8:$B$19))*(ISNUMBER(SEARCH($AB$5,Dienstplan!$EY$8:$GB$19)))))</f>
        <v/>
      </c>
      <c r="F87" s="472">
        <f>SUMPRODUCT((ISNUMBER(SEARCH($Y6,Dienstplan!$B$8:$B$19))*(ISNUMBER(SEARCH($AB$6,Dienstplan!$EY$8:$GB$19)))))</f>
        <v/>
      </c>
      <c r="G87" s="472">
        <f>SUMPRODUCT((ISNUMBER(SEARCH($Y6,Dienstplan!$B$8:$B$19))*(ISNUMBER(SEARCH($AB$7,Dienstplan!$EY$8:$GB$19)))))-H87</f>
        <v/>
      </c>
      <c r="H87" s="472">
        <f>SUMPRODUCT((ISNUMBER(SEARCH($Y6,Dienstplan!$B$8:$B$19))*(ISNUMBER(SEARCH($AB$8,Dienstplan!$EY$8:$GB$19)))))</f>
        <v/>
      </c>
      <c r="I87" s="472">
        <f>SUMPRODUCT((ISNUMBER(SEARCH($Y6,Dienstplan!$B$8:$B$19))*(ISNUMBER(SEARCH($AB$9,Dienstplan!$EY$8:$GB$19)))))</f>
        <v/>
      </c>
      <c r="J87" s="472">
        <f>SUMPRODUCT((ISNUMBER(SEARCH($Y6,Dienstplan!$B$8:$B$19))*(ISNUMBER(SEARCH($AB$10,Dienstplan!$EY$8:$GB$19)))))</f>
        <v/>
      </c>
      <c r="K87" s="472">
        <f>SUMPRODUCT((ISNUMBER(SEARCH($Y6,Dienstplan!$B$8:$B$19))*(ISNUMBER(SEARCH($AB$11,Dienstplan!$EY$8:$GB$19)))))-$Q87</f>
        <v/>
      </c>
      <c r="L87" s="472">
        <f>SUMPRODUCT((ISNUMBER(SEARCH($Y6,Dienstplan!$B$8:$B$19))*(ISNUMBER(SEARCH($AB$12,Dienstplan!$EY$8:$GB$19)))))</f>
        <v/>
      </c>
      <c r="M87" s="472">
        <f>SUMPRODUCT((ISNUMBER(SEARCH($Y6,Dienstplan!$B$8:$B$19))*(ISNUMBER(SEARCH($AB$13,Dienstplan!$EY$8:$GB$19)))))</f>
        <v/>
      </c>
      <c r="N87" s="472">
        <f>SUMPRODUCT((ISNUMBER(SEARCH($Y6,Dienstplan!$B$8:$B$19))*(ISNUMBER(SEARCH($AB$14,Dienstplan!$EY$8:$GB$19)))))</f>
        <v/>
      </c>
      <c r="O87" s="472">
        <f>SUMPRODUCT((ISNUMBER(SEARCH($Y6,Dienstplan!$B$8:$B$19))*(ISNUMBER(SEARCH($AB$15,Dienstplan!$EY$8:$GB$19)))))</f>
        <v/>
      </c>
      <c r="P87" s="472">
        <f>SUMPRODUCT((ISNUMBER(SEARCH($Y6,Dienstplan!$B$8:$B$19))*(ISNUMBER(SEARCH($AB$16,Dienstplan!$EY$8:$GB$19)))))</f>
        <v/>
      </c>
      <c r="Q87" s="472">
        <f>SUMPRODUCT((ISNUMBER(SEARCH($Y6,Dienstplan!$B$8:$B$19))*(ISNUMBER(SEARCH($AB$17,Dienstplan!$EY$8:$GB$19)))))</f>
        <v/>
      </c>
      <c r="R87" s="472">
        <f>SUMPRODUCT((ISNUMBER(SEARCH($Y6,Dienstplan!$B$8:$B$19))*(ISNUMBER(SEARCH($AB$18,Dienstplan!$EY$8:$GB$19)))))</f>
        <v/>
      </c>
      <c r="S87" s="472">
        <f>SUMPRODUCT((ISNUMBER(SEARCH($Y6,Dienstplan!$B$8:$B$19))*(ISNUMBER(SEARCH($AB$19,Dienstplan!$EY$8:$GB$19)))))</f>
        <v/>
      </c>
      <c r="T87" s="472">
        <f>SUM($F$82*$Z6)</f>
        <v/>
      </c>
      <c r="U87" s="472">
        <f>SUM($C87*Frueh_1+$D87*Spaet_1+$E87*Nacht_1+$F87*Normal_1+$I87*Sonderd_1-$J87*Scho_K+$K87*Scho_K+$L87*EH_Kurs+$M87*Koor_taet+$N87*Sekre_1+$O87*Scho_K+$R87*Scho_K+$P87*Scho_K+$Q87*Scho_K+G87*Scho_K+H87*Scho_K)</f>
        <v/>
      </c>
      <c r="V87" s="472">
        <f>SUM($U87-$T87)</f>
        <v/>
      </c>
      <c r="W87" s="472">
        <f>V87+W71</f>
        <v/>
      </c>
      <c r="X87" s="472" t="n"/>
      <c r="Y87" s="472" t="n"/>
      <c r="Z87" s="472" t="n"/>
      <c r="AA87" s="472" t="n"/>
      <c r="AB87" s="472" t="n"/>
      <c r="AC87" s="472" t="n"/>
      <c r="AD87" s="472" t="n"/>
      <c r="AE87" s="472" t="n"/>
      <c r="AF87" s="472" t="n"/>
      <c r="AG87" s="472" t="n"/>
      <c r="AH87" s="472" t="n"/>
      <c r="AI87" s="472" t="n"/>
      <c r="AJ87" s="472" t="n"/>
    </row>
    <row r="88">
      <c r="A88" s="472" t="n"/>
      <c r="B88" s="471">
        <f>B8</f>
        <v/>
      </c>
      <c r="C88" s="472">
        <f>SUMPRODUCT((ISNUMBER(SEARCH($Y7,Dienstplan!$B$8:$B$19))*(ISNUMBER(SEARCH($AB$3,Dienstplan!$EY$8:$GB$19)))))-D88</f>
        <v/>
      </c>
      <c r="D88" s="472">
        <f>SUMPRODUCT((ISNUMBER(SEARCH($Y7,Dienstplan!$B$8:$B$19))*(ISNUMBER(SEARCH($AB$4,Dienstplan!$EY$8:$GB$19)))))</f>
        <v/>
      </c>
      <c r="E88" s="472">
        <f>SUMPRODUCT((ISNUMBER(SEARCH($Y7,Dienstplan!$B$8:$B$19))*(ISNUMBER(SEARCH($AB$5,Dienstplan!$EY$8:$GB$19)))))</f>
        <v/>
      </c>
      <c r="F88" s="472">
        <f>SUMPRODUCT((ISNUMBER(SEARCH($Y7,Dienstplan!$B$8:$B$19))*(ISNUMBER(SEARCH($AB$6,Dienstplan!$EY$8:$GB$19)))))</f>
        <v/>
      </c>
      <c r="G88" s="472">
        <f>SUMPRODUCT((ISNUMBER(SEARCH($Y7,Dienstplan!$B$8:$B$19))*(ISNUMBER(SEARCH($AB$7,Dienstplan!$EY$8:$GB$19)))))-H88</f>
        <v/>
      </c>
      <c r="H88" s="472">
        <f>SUMPRODUCT((ISNUMBER(SEARCH($Y7,Dienstplan!$B$8:$B$19))*(ISNUMBER(SEARCH($AB$8,Dienstplan!$EY$8:$GB$19)))))</f>
        <v/>
      </c>
      <c r="I88" s="472">
        <f>SUMPRODUCT((ISNUMBER(SEARCH($Y7,Dienstplan!$B$8:$B$19))*(ISNUMBER(SEARCH($AB$9,Dienstplan!$EY$8:$GB$19)))))</f>
        <v/>
      </c>
      <c r="J88" s="472">
        <f>SUMPRODUCT((ISNUMBER(SEARCH($Y7,Dienstplan!$B$8:$B$19))*(ISNUMBER(SEARCH($AB$10,Dienstplan!$EY$8:$GB$19)))))</f>
        <v/>
      </c>
      <c r="K88" s="472">
        <f>SUMPRODUCT((ISNUMBER(SEARCH($Y7,Dienstplan!$B$8:$B$19))*(ISNUMBER(SEARCH($AB$11,Dienstplan!$EY$8:$GB$19)))))-$Q88</f>
        <v/>
      </c>
      <c r="L88" s="472">
        <f>SUMPRODUCT((ISNUMBER(SEARCH($Y7,Dienstplan!$B$8:$B$19))*(ISNUMBER(SEARCH($AB$12,Dienstplan!$EY$8:$GB$19)))))</f>
        <v/>
      </c>
      <c r="M88" s="472">
        <f>SUMPRODUCT((ISNUMBER(SEARCH($Y7,Dienstplan!$B$8:$B$19))*(ISNUMBER(SEARCH($AB$13,Dienstplan!$EY$8:$GB$19)))))</f>
        <v/>
      </c>
      <c r="N88" s="472">
        <f>SUMPRODUCT((ISNUMBER(SEARCH($Y7,Dienstplan!$B$8:$B$19))*(ISNUMBER(SEARCH($AB$14,Dienstplan!$EY$8:$GB$19)))))</f>
        <v/>
      </c>
      <c r="O88" s="472">
        <f>SUMPRODUCT((ISNUMBER(SEARCH($Y7,Dienstplan!$B$8:$B$19))*(ISNUMBER(SEARCH($AB$15,Dienstplan!$EY$8:$GB$19)))))</f>
        <v/>
      </c>
      <c r="P88" s="472">
        <f>SUMPRODUCT((ISNUMBER(SEARCH($Y7,Dienstplan!$B$8:$B$19))*(ISNUMBER(SEARCH($AB$16,Dienstplan!$EY$8:$GB$19)))))</f>
        <v/>
      </c>
      <c r="Q88" s="472">
        <f>SUMPRODUCT((ISNUMBER(SEARCH($Y7,Dienstplan!$B$8:$B$19))*(ISNUMBER(SEARCH($AB$17,Dienstplan!$EY$8:$GB$19)))))</f>
        <v/>
      </c>
      <c r="R88" s="472">
        <f>SUMPRODUCT((ISNUMBER(SEARCH($Y7,Dienstplan!$B$8:$B$19))*(ISNUMBER(SEARCH($AB$18,Dienstplan!$EY$8:$GB$19)))))</f>
        <v/>
      </c>
      <c r="S88" s="472">
        <f>SUMPRODUCT((ISNUMBER(SEARCH($Y7,Dienstplan!$B$8:$B$19))*(ISNUMBER(SEARCH($AB$19,Dienstplan!$EY$8:$GB$19)))))</f>
        <v/>
      </c>
      <c r="T88" s="472">
        <f>SUM($F$82*$Z7)</f>
        <v/>
      </c>
      <c r="U88" s="472">
        <f>SUM($C88*Frueh_1+$D88*Spaet_1+$E88*Nacht_1+$F88*Normal_1+$I88*Sonderd_1-$J88*Krie_B+$K88*Krie_B+$L88*EH_Kurs+$M88*Koor_taet+$N88*Sekre_1+$O88*Krie_B+$R88*Krie_B+$P88*Krie_B+$Q88*Krie_B+G88*Krie_B+H88*Krie_B)</f>
        <v/>
      </c>
      <c r="V88" s="472">
        <f>SUM($U88-$T88)</f>
        <v/>
      </c>
      <c r="W88" s="472">
        <f>V88+W72</f>
        <v/>
      </c>
      <c r="X88" s="472" t="n"/>
      <c r="Y88" s="472" t="n"/>
      <c r="Z88" s="472" t="n"/>
      <c r="AA88" s="472" t="n"/>
      <c r="AB88" s="472" t="n"/>
      <c r="AC88" s="472" t="n"/>
      <c r="AD88" s="472" t="n"/>
      <c r="AE88" s="472" t="n"/>
      <c r="AF88" s="472" t="n"/>
      <c r="AG88" s="472" t="n"/>
      <c r="AH88" s="472" t="n"/>
      <c r="AI88" s="472" t="n"/>
      <c r="AJ88" s="472" t="n"/>
    </row>
    <row r="89">
      <c r="A89" s="472" t="n"/>
      <c r="B89" s="471">
        <f>B9</f>
        <v/>
      </c>
      <c r="C89" s="472">
        <f>SUMPRODUCT((ISNUMBER(SEARCH($Y8,Dienstplan!$B$8:$B$19))*(ISNUMBER(SEARCH($AB$3,Dienstplan!$EY$8:$GB$19)))))-D89</f>
        <v/>
      </c>
      <c r="D89" s="472">
        <f>SUMPRODUCT((ISNUMBER(SEARCH($Y8,Dienstplan!$B$8:$B$19))*(ISNUMBER(SEARCH($AB$4,Dienstplan!$EY$8:$GB$19)))))</f>
        <v/>
      </c>
      <c r="E89" s="472">
        <f>SUMPRODUCT((ISNUMBER(SEARCH($Y8,Dienstplan!$B$8:$B$19))*(ISNUMBER(SEARCH($AB$5,Dienstplan!$EY$8:$GB$19)))))</f>
        <v/>
      </c>
      <c r="F89" s="472">
        <f>SUMPRODUCT((ISNUMBER(SEARCH($Y8,Dienstplan!$B$8:$B$19))*(ISNUMBER(SEARCH($AB$6,Dienstplan!$EY$8:$GB$19)))))</f>
        <v/>
      </c>
      <c r="G89" s="472">
        <f>SUMPRODUCT((ISNUMBER(SEARCH($Y8,Dienstplan!$B$8:$B$19))*(ISNUMBER(SEARCH($AB$7,Dienstplan!$EY$8:$GB$19)))))-H89</f>
        <v/>
      </c>
      <c r="H89" s="472">
        <f>SUMPRODUCT((ISNUMBER(SEARCH($Y8,Dienstplan!$B$8:$B$19))*(ISNUMBER(SEARCH($AB$8,Dienstplan!$EY$8:$GB$19)))))</f>
        <v/>
      </c>
      <c r="I89" s="472">
        <f>SUMPRODUCT((ISNUMBER(SEARCH($Y8,Dienstplan!$B$8:$B$19))*(ISNUMBER(SEARCH($AB$9,Dienstplan!$EY$8:$GB$19)))))</f>
        <v/>
      </c>
      <c r="J89" s="472">
        <f>SUMPRODUCT((ISNUMBER(SEARCH($Y8,Dienstplan!$B$8:$B$19))*(ISNUMBER(SEARCH($AB$10,Dienstplan!$EY$8:$GB$19)))))</f>
        <v/>
      </c>
      <c r="K89" s="472">
        <f>SUMPRODUCT((ISNUMBER(SEARCH($Y8,Dienstplan!$B$8:$B$19))*(ISNUMBER(SEARCH($AB$11,Dienstplan!$EY$8:$GB$19)))))-$Q89</f>
        <v/>
      </c>
      <c r="L89" s="472">
        <f>SUMPRODUCT((ISNUMBER(SEARCH($Y8,Dienstplan!$B$8:$B$19))*(ISNUMBER(SEARCH($AB$12,Dienstplan!$EY$8:$GB$19)))))</f>
        <v/>
      </c>
      <c r="M89" s="472">
        <f>SUMPRODUCT((ISNUMBER(SEARCH($Y8,Dienstplan!$B$8:$B$19))*(ISNUMBER(SEARCH($AB$13,Dienstplan!$EY$8:$GB$19)))))</f>
        <v/>
      </c>
      <c r="N89" s="472">
        <f>SUMPRODUCT((ISNUMBER(SEARCH($Y8,Dienstplan!$B$8:$B$19))*(ISNUMBER(SEARCH($AB$14,Dienstplan!$EY$8:$GB$19)))))</f>
        <v/>
      </c>
      <c r="O89" s="472">
        <f>SUMPRODUCT((ISNUMBER(SEARCH($Y8,Dienstplan!$B$8:$B$19))*(ISNUMBER(SEARCH($AB$15,Dienstplan!$EY$8:$GB$19)))))</f>
        <v/>
      </c>
      <c r="P89" s="472">
        <f>SUMPRODUCT((ISNUMBER(SEARCH($Y8,Dienstplan!$B$8:$B$19))*(ISNUMBER(SEARCH($AB$16,Dienstplan!$EY$8:$GB$19)))))</f>
        <v/>
      </c>
      <c r="Q89" s="472">
        <f>SUMPRODUCT((ISNUMBER(SEARCH($Y8,Dienstplan!$B$8:$B$19))*(ISNUMBER(SEARCH($AB$17,Dienstplan!$EY$8:$GB$19)))))</f>
        <v/>
      </c>
      <c r="R89" s="472">
        <f>SUMPRODUCT((ISNUMBER(SEARCH($Y8,Dienstplan!$B$8:$B$19))*(ISNUMBER(SEARCH($AB$18,Dienstplan!$EY$8:$GB$19)))))</f>
        <v/>
      </c>
      <c r="S89" s="472">
        <f>SUMPRODUCT((ISNUMBER(SEARCH($Y8,Dienstplan!$B$8:$B$19))*(ISNUMBER(SEARCH($AB$19,Dienstplan!$EY$8:$GB$19)))))</f>
        <v/>
      </c>
      <c r="T89" s="472">
        <f>SUM($F$82*$Z8)</f>
        <v/>
      </c>
      <c r="U89" s="472">
        <f>SUM($C89*Frueh_1+$D89*Spaet_1+$E89*Nacht_1+$F89*Normal_1+$I89*Sonderd_1-$J89*Muster+$K89*Muster+$L89*EH_Kurs+$M89*Koor_taet+$N89*Sekre_1+$O89*Muster+$P89*Muster+$Q89*Muster+$R89*Muster+G89*Muster+H89*Muster)</f>
        <v/>
      </c>
      <c r="V89" s="472">
        <f>SUM($U89-$T89)</f>
        <v/>
      </c>
      <c r="W89" s="472">
        <f>V89+W73</f>
        <v/>
      </c>
      <c r="X89" s="472" t="n"/>
      <c r="Y89" s="472" t="n"/>
      <c r="Z89" s="472" t="n"/>
      <c r="AA89" s="472" t="n"/>
      <c r="AB89" s="472" t="n"/>
      <c r="AC89" s="472" t="n"/>
      <c r="AD89" s="472" t="n"/>
      <c r="AE89" s="472" t="n"/>
      <c r="AF89" s="472" t="n"/>
      <c r="AG89" s="472" t="n"/>
      <c r="AH89" s="472" t="n"/>
      <c r="AI89" s="472" t="n"/>
      <c r="AJ89" s="472" t="n"/>
    </row>
    <row r="90">
      <c r="A90" s="472" t="n"/>
      <c r="B90" s="471">
        <f>B10</f>
        <v/>
      </c>
      <c r="C90" s="472">
        <f>SUMPRODUCT((ISNUMBER(SEARCH($Y9,Dienstplan!$B$8:$B$19))*(ISNUMBER(SEARCH($AB$3,Dienstplan!$EY$8:$GB$19)))))-D90</f>
        <v/>
      </c>
      <c r="D90" s="472">
        <f>SUMPRODUCT((ISNUMBER(SEARCH($Y9,Dienstplan!$B$8:$B$19))*(ISNUMBER(SEARCH($AB$4,Dienstplan!$EY$8:$GB$19)))))</f>
        <v/>
      </c>
      <c r="E90" s="472">
        <f>SUMPRODUCT((ISNUMBER(SEARCH($Y9,Dienstplan!$B$8:$B$19))*(ISNUMBER(SEARCH($AB$5,Dienstplan!$EY$8:$GB$19)))))</f>
        <v/>
      </c>
      <c r="F90" s="472">
        <f>SUMPRODUCT((ISNUMBER(SEARCH($Y9,Dienstplan!$B$8:$B$19))*(ISNUMBER(SEARCH($AB$6,Dienstplan!$EY$8:$GB$19)))))</f>
        <v/>
      </c>
      <c r="G90" s="472">
        <f>SUMPRODUCT((ISNUMBER(SEARCH($Y9,Dienstplan!$B$8:$B$19))*(ISNUMBER(SEARCH($AB$7,Dienstplan!$EY$8:$GB$19)))))-H90</f>
        <v/>
      </c>
      <c r="H90" s="472">
        <f>SUMPRODUCT((ISNUMBER(SEARCH($Y9,Dienstplan!$B$8:$B$19))*(ISNUMBER(SEARCH($AB$8,Dienstplan!$EY$8:$GB$19)))))</f>
        <v/>
      </c>
      <c r="I90" s="472">
        <f>SUMPRODUCT((ISNUMBER(SEARCH($Y9,Dienstplan!$B$8:$B$19))*(ISNUMBER(SEARCH($AB$9,Dienstplan!$EY$8:$GB$19)))))</f>
        <v/>
      </c>
      <c r="J90" s="472">
        <f>SUMPRODUCT((ISNUMBER(SEARCH($Y9,Dienstplan!$B$8:$B$19))*(ISNUMBER(SEARCH($AB$10,Dienstplan!$EY$8:$GB$19)))))</f>
        <v/>
      </c>
      <c r="K90" s="472">
        <f>SUMPRODUCT((ISNUMBER(SEARCH($Y9,Dienstplan!$B$8:$B$19))*(ISNUMBER(SEARCH($AB$11,Dienstplan!$EY$8:$GB$19)))))-$Q90</f>
        <v/>
      </c>
      <c r="L90" s="472">
        <f>SUMPRODUCT((ISNUMBER(SEARCH($Y9,Dienstplan!$B$8:$B$19))*(ISNUMBER(SEARCH($AB$12,Dienstplan!$EY$8:$GB$19)))))</f>
        <v/>
      </c>
      <c r="M90" s="472">
        <f>SUMPRODUCT((ISNUMBER(SEARCH($Y9,Dienstplan!$B$8:$B$19))*(ISNUMBER(SEARCH($AB$13,Dienstplan!$EY$8:$GB$19)))))</f>
        <v/>
      </c>
      <c r="N90" s="472">
        <f>SUMPRODUCT((ISNUMBER(SEARCH($Y9,Dienstplan!$B$8:$B$19))*(ISNUMBER(SEARCH($AB$14,Dienstplan!$EY$8:$GB$19)))))</f>
        <v/>
      </c>
      <c r="O90" s="472">
        <f>SUMPRODUCT((ISNUMBER(SEARCH($Y9,Dienstplan!$B$8:$B$19))*(ISNUMBER(SEARCH($AB$15,Dienstplan!$EY$8:$GB$19)))))</f>
        <v/>
      </c>
      <c r="P90" s="472">
        <f>SUMPRODUCT((ISNUMBER(SEARCH($Y9,Dienstplan!$B$8:$B$19))*(ISNUMBER(SEARCH($AB$16,Dienstplan!$EY$8:$GB$19)))))</f>
        <v/>
      </c>
      <c r="Q90" s="472">
        <f>SUMPRODUCT((ISNUMBER(SEARCH($Y9,Dienstplan!$B$8:$B$19))*(ISNUMBER(SEARCH($AB$17,Dienstplan!$EY$8:$GB$19)))))</f>
        <v/>
      </c>
      <c r="R90" s="472">
        <f>SUMPRODUCT((ISNUMBER(SEARCH($Y9,Dienstplan!$B$8:$B$19))*(ISNUMBER(SEARCH($AB$18,Dienstplan!$EY$8:$GB$19)))))</f>
        <v/>
      </c>
      <c r="S90" s="472">
        <f>SUMPRODUCT((ISNUMBER(SEARCH($Y9,Dienstplan!$B$8:$B$19))*(ISNUMBER(SEARCH($AB$19,Dienstplan!$EY$8:$GB$19)))))</f>
        <v/>
      </c>
      <c r="T90" s="472">
        <f>SUM($F$82*$Z9)</f>
        <v/>
      </c>
      <c r="U90" s="472">
        <f>SUM($C90*Frueh_1+$D90*Spaet_1+$E90*Nacht_1+$F90*Normal_1+$I90*Sonderd_1-$J90*Muster+$K90*Muster+$L90*EH_Kurs+$M90*Koor_taet+$N90*Sekre_1+$O90*Muster+$P90*Muster+$Q90*Muster+$R90*Muster+G90*Muster+H90*Muster)</f>
        <v/>
      </c>
      <c r="V90" s="472">
        <f>SUM($U90-$T90)</f>
        <v/>
      </c>
      <c r="W90" s="472">
        <f>V90+W74</f>
        <v/>
      </c>
      <c r="X90" s="472" t="n"/>
      <c r="Y90" s="472" t="n"/>
      <c r="Z90" s="472" t="n"/>
      <c r="AA90" s="472" t="n"/>
      <c r="AB90" s="472" t="n"/>
      <c r="AC90" s="472" t="n"/>
      <c r="AD90" s="472" t="n"/>
      <c r="AE90" s="472" t="n"/>
      <c r="AF90" s="472" t="n"/>
      <c r="AG90" s="472" t="n"/>
      <c r="AH90" s="472" t="n"/>
      <c r="AI90" s="472" t="n"/>
      <c r="AJ90" s="472" t="n"/>
    </row>
    <row r="91">
      <c r="A91" s="472" t="n"/>
      <c r="B91" s="471">
        <f>B11</f>
        <v/>
      </c>
      <c r="C91" s="472">
        <f>SUMPRODUCT((ISNUMBER(SEARCH($Y10,Dienstplan!$B$8:$B$19))*(ISNUMBER(SEARCH($AB$3,Dienstplan!$EY$8:$GB$19)))))-D91</f>
        <v/>
      </c>
      <c r="D91" s="472">
        <f>SUMPRODUCT((ISNUMBER(SEARCH($Y10,Dienstplan!$B$8:$B$19))*(ISNUMBER(SEARCH($AB$4,Dienstplan!$EY$8:$GB$19)))))</f>
        <v/>
      </c>
      <c r="E91" s="472">
        <f>SUMPRODUCT((ISNUMBER(SEARCH($Y10,Dienstplan!$B$8:$B$19))*(ISNUMBER(SEARCH($AB$5,Dienstplan!$EY$8:$GB$19)))))</f>
        <v/>
      </c>
      <c r="F91" s="472">
        <f>SUMPRODUCT((ISNUMBER(SEARCH($Y10,Dienstplan!$B$8:$B$19))*(ISNUMBER(SEARCH($AB$6,Dienstplan!$EY$8:$GB$19)))))</f>
        <v/>
      </c>
      <c r="G91" s="472">
        <f>SUMPRODUCT((ISNUMBER(SEARCH($Y10,Dienstplan!$B$8:$B$19))*(ISNUMBER(SEARCH($AB$7,Dienstplan!$EY$8:$GB$19)))))-H91</f>
        <v/>
      </c>
      <c r="H91" s="472">
        <f>SUMPRODUCT((ISNUMBER(SEARCH($Y10,Dienstplan!$B$8:$B$19))*(ISNUMBER(SEARCH($AB$8,Dienstplan!$EY$8:$GB$19)))))</f>
        <v/>
      </c>
      <c r="I91" s="472">
        <f>SUMPRODUCT((ISNUMBER(SEARCH($Y10,Dienstplan!$B$8:$B$19))*(ISNUMBER(SEARCH($AB$9,Dienstplan!$EY$8:$GB$19)))))</f>
        <v/>
      </c>
      <c r="J91" s="472">
        <f>SUMPRODUCT((ISNUMBER(SEARCH($Y10,Dienstplan!$B$8:$B$19))*(ISNUMBER(SEARCH($AB$10,Dienstplan!$EY$8:$GB$19)))))</f>
        <v/>
      </c>
      <c r="K91" s="472">
        <f>SUMPRODUCT((ISNUMBER(SEARCH($Y10,Dienstplan!$B$8:$B$19))*(ISNUMBER(SEARCH($AB$11,Dienstplan!$EY$8:$GB$19)))))-$Q91</f>
        <v/>
      </c>
      <c r="L91" s="472">
        <f>SUMPRODUCT((ISNUMBER(SEARCH($Y10,Dienstplan!$B$8:$B$19))*(ISNUMBER(SEARCH($AB$12,Dienstplan!$EY$8:$GB$19)))))</f>
        <v/>
      </c>
      <c r="M91" s="472">
        <f>SUMPRODUCT((ISNUMBER(SEARCH($Y10,Dienstplan!$B$8:$B$19))*(ISNUMBER(SEARCH($AB$13,Dienstplan!$EY$8:$GB$19)))))</f>
        <v/>
      </c>
      <c r="N91" s="472">
        <f>SUMPRODUCT((ISNUMBER(SEARCH($Y10,Dienstplan!$B$8:$B$19))*(ISNUMBER(SEARCH($AB$14,Dienstplan!$EY$8:$GB$19)))))</f>
        <v/>
      </c>
      <c r="O91" s="472">
        <f>SUMPRODUCT((ISNUMBER(SEARCH($Y10,Dienstplan!$B$8:$B$19))*(ISNUMBER(SEARCH($AB$15,Dienstplan!$EY$8:$GB$19)))))</f>
        <v/>
      </c>
      <c r="P91" s="472">
        <f>SUMPRODUCT((ISNUMBER(SEARCH($Y10,Dienstplan!$B$8:$B$19))*(ISNUMBER(SEARCH($AB$16,Dienstplan!$EY$8:$GB$19)))))</f>
        <v/>
      </c>
      <c r="Q91" s="472">
        <f>SUMPRODUCT((ISNUMBER(SEARCH($Y10,Dienstplan!$B$8:$B$19))*(ISNUMBER(SEARCH($AB$17,Dienstplan!$EY$8:$GB$19)))))</f>
        <v/>
      </c>
      <c r="R91" s="472">
        <f>SUMPRODUCT((ISNUMBER(SEARCH($Y10,Dienstplan!$B$8:$B$19))*(ISNUMBER(SEARCH($AB$18,Dienstplan!$EY$8:$GB$19)))))</f>
        <v/>
      </c>
      <c r="S91" s="472">
        <f>SUMPRODUCT((ISNUMBER(SEARCH($Y10,Dienstplan!$B$8:$B$19))*(ISNUMBER(SEARCH($AB$19,Dienstplan!$EY$8:$GB$19)))))</f>
        <v/>
      </c>
      <c r="T91" s="472">
        <f>SUM($F$82*$Z10)</f>
        <v/>
      </c>
      <c r="U91" s="472">
        <f>SUM($C91*Frueh_1+$D91*Spaet_1+$E91*Nacht_1+$F91*Normal_1+$I91*Sonderd_1-$J91*Krem_E+$K91*Krem_E+$L91*EH_Kurs+$M91*Koor_taet+$N91*Sekre_1+$O91*Krem_E+$R91*Krem_E+$P91*Krem_E+$Q91*Krem_E+G91*Krem_E+H91*Krem_E)</f>
        <v/>
      </c>
      <c r="V91" s="472">
        <f>SUM($U91-$T91)</f>
        <v/>
      </c>
      <c r="W91" s="472">
        <f>V91+W75</f>
        <v/>
      </c>
      <c r="X91" s="472" t="n"/>
      <c r="Y91" s="472" t="n"/>
      <c r="Z91" s="472" t="n"/>
      <c r="AA91" s="472" t="n"/>
      <c r="AB91" s="472" t="n"/>
      <c r="AC91" s="472" t="n"/>
      <c r="AD91" s="472" t="n"/>
      <c r="AE91" s="472" t="n"/>
      <c r="AF91" s="472" t="n"/>
      <c r="AG91" s="472" t="n"/>
      <c r="AH91" s="472" t="n"/>
      <c r="AI91" s="472" t="n"/>
      <c r="AJ91" s="472" t="n"/>
    </row>
    <row r="92">
      <c r="A92" s="472" t="n"/>
      <c r="B92" s="471">
        <f>B12</f>
        <v/>
      </c>
      <c r="C92" s="472">
        <f>SUMPRODUCT((ISNUMBER(SEARCH($Y11,Dienstplan!$B$8:$B$19))*(ISNUMBER(SEARCH($AB$3,Dienstplan!$EY$8:$GB$19)))))-D92</f>
        <v/>
      </c>
      <c r="D92" s="472">
        <f>SUMPRODUCT((ISNUMBER(SEARCH($Y11,Dienstplan!$B$8:$B$19))*(ISNUMBER(SEARCH($AB$4,Dienstplan!$EY$8:$GB$19)))))</f>
        <v/>
      </c>
      <c r="E92" s="472">
        <f>SUMPRODUCT((ISNUMBER(SEARCH($Y11,Dienstplan!$B$8:$B$19))*(ISNUMBER(SEARCH($AB$5,Dienstplan!$EY$8:$GB$19)))))</f>
        <v/>
      </c>
      <c r="F92" s="472">
        <f>SUMPRODUCT((ISNUMBER(SEARCH($Y11,Dienstplan!$B$8:$B$19))*(ISNUMBER(SEARCH($AB$6,Dienstplan!$EY$8:$GB$19)))))</f>
        <v/>
      </c>
      <c r="G92" s="472">
        <f>SUMPRODUCT((ISNUMBER(SEARCH($Y11,Dienstplan!$B$8:$B$19))*(ISNUMBER(SEARCH($AB$7,Dienstplan!$EY$8:$GB$19)))))-H92</f>
        <v/>
      </c>
      <c r="H92" s="472">
        <f>SUMPRODUCT((ISNUMBER(SEARCH($Y11,Dienstplan!$B$8:$B$19))*(ISNUMBER(SEARCH($AB$8,Dienstplan!$EY$8:$GB$19)))))</f>
        <v/>
      </c>
      <c r="I92" s="472">
        <f>SUMPRODUCT((ISNUMBER(SEARCH($Y11,Dienstplan!$B$8:$B$19))*(ISNUMBER(SEARCH($AB$9,Dienstplan!$EY$8:$GB$19)))))</f>
        <v/>
      </c>
      <c r="J92" s="472">
        <f>SUMPRODUCT((ISNUMBER(SEARCH($Y11,Dienstplan!$B$8:$B$19))*(ISNUMBER(SEARCH($AB$10,Dienstplan!$EY$8:$GB$19)))))</f>
        <v/>
      </c>
      <c r="K92" s="472">
        <f>SUMPRODUCT((ISNUMBER(SEARCH($Y11,Dienstplan!$B$8:$B$19))*(ISNUMBER(SEARCH($AB$11,Dienstplan!$EY$8:$GB$19)))))-$Q92</f>
        <v/>
      </c>
      <c r="L92" s="472">
        <f>SUMPRODUCT((ISNUMBER(SEARCH($Y11,Dienstplan!$B$8:$B$19))*(ISNUMBER(SEARCH($AB$12,Dienstplan!$EY$8:$GB$19)))))</f>
        <v/>
      </c>
      <c r="M92" s="472">
        <f>SUMPRODUCT((ISNUMBER(SEARCH($Y11,Dienstplan!$B$8:$B$19))*(ISNUMBER(SEARCH($AB$13,Dienstplan!$EY$8:$GB$19)))))</f>
        <v/>
      </c>
      <c r="N92" s="472">
        <f>SUMPRODUCT((ISNUMBER(SEARCH($Y11,Dienstplan!$B$8:$B$19))*(ISNUMBER(SEARCH($AB$14,Dienstplan!$EY$8:$GB$19)))))</f>
        <v/>
      </c>
      <c r="O92" s="472">
        <f>SUMPRODUCT((ISNUMBER(SEARCH($Y11,Dienstplan!$B$8:$B$19))*(ISNUMBER(SEARCH($AB$15,Dienstplan!$EY$8:$GB$19)))))</f>
        <v/>
      </c>
      <c r="P92" s="472">
        <f>SUMPRODUCT((ISNUMBER(SEARCH($Y11,Dienstplan!$B$8:$B$19))*(ISNUMBER(SEARCH($AB$16,Dienstplan!$EY$8:$GB$19)))))</f>
        <v/>
      </c>
      <c r="Q92" s="472">
        <f>SUMPRODUCT((ISNUMBER(SEARCH($Y11,Dienstplan!$B$8:$B$19))*(ISNUMBER(SEARCH($AB$17,Dienstplan!$EY$8:$GB$19)))))</f>
        <v/>
      </c>
      <c r="R92" s="472">
        <f>SUMPRODUCT((ISNUMBER(SEARCH($Y11,Dienstplan!$B$8:$B$19))*(ISNUMBER(SEARCH($AB$18,Dienstplan!$EY$8:$GB$19)))))</f>
        <v/>
      </c>
      <c r="S92" s="472">
        <f>SUMPRODUCT((ISNUMBER(SEARCH($Y11,Dienstplan!$B$8:$B$19))*(ISNUMBER(SEARCH($AB$19,Dienstplan!$EY$8:$GB$19)))))</f>
        <v/>
      </c>
      <c r="T92" s="472">
        <f>SUM($F$82*$Z11)</f>
        <v/>
      </c>
      <c r="U92" s="472">
        <f>SUM($C92*Frueh_1+$D92*Spaet_1+$E92*Nacht_1+$F92*Normal_1+$I92*Sonderd_1-$J92*Put_W+$K92*Put_W+$L92*EH_Kurs+$M92*Koor_taet+$N92*Sekre_1+$O92*Put_W+$R92*Put_W+$P92*Put_W+$Q92*Put_W+G92*Put_W+H92*Put_W)</f>
        <v/>
      </c>
      <c r="V92" s="472">
        <f>SUM($U92-$T92)</f>
        <v/>
      </c>
      <c r="W92" s="472">
        <f>V92+W76</f>
        <v/>
      </c>
      <c r="X92" s="472" t="n"/>
      <c r="Y92" s="472" t="n"/>
      <c r="Z92" s="472" t="n"/>
      <c r="AA92" s="472" t="n"/>
      <c r="AB92" s="472" t="n"/>
      <c r="AC92" s="472" t="n"/>
      <c r="AD92" s="472" t="n"/>
      <c r="AE92" s="472" t="n"/>
      <c r="AF92" s="472" t="n"/>
      <c r="AG92" s="472" t="n"/>
      <c r="AH92" s="472" t="n"/>
      <c r="AI92" s="472" t="n"/>
      <c r="AJ92" s="472" t="n"/>
    </row>
    <row r="93">
      <c r="A93" s="472" t="n"/>
      <c r="B93" s="471">
        <f>B13</f>
        <v/>
      </c>
      <c r="C93" s="472">
        <f>SUMPRODUCT((ISNUMBER(SEARCH($Y12,Dienstplan!$B$8:$B$19))*(ISNUMBER(SEARCH($AB$3,Dienstplan!$EY$8:$GB$19)))))-D93</f>
        <v/>
      </c>
      <c r="D93" s="472">
        <f>SUMPRODUCT((ISNUMBER(SEARCH($Y12,Dienstplan!$B$8:$B$19))*(ISNUMBER(SEARCH($AB$4,Dienstplan!$EY$8:$GB$19)))))</f>
        <v/>
      </c>
      <c r="E93" s="472">
        <f>SUMPRODUCT((ISNUMBER(SEARCH($Y12,Dienstplan!$B$8:$B$19))*(ISNUMBER(SEARCH($AB$5,Dienstplan!$EY$8:$GB$19)))))</f>
        <v/>
      </c>
      <c r="F93" s="472">
        <f>SUMPRODUCT((ISNUMBER(SEARCH($Y12,Dienstplan!$B$8:$B$19))*(ISNUMBER(SEARCH($AB$6,Dienstplan!$EY$8:$GB$19)))))</f>
        <v/>
      </c>
      <c r="G93" s="472">
        <f>SUMPRODUCT((ISNUMBER(SEARCH($Y12,Dienstplan!$B$8:$B$19))*(ISNUMBER(SEARCH($AB$7,Dienstplan!$EY$8:$GB$19)))))-H93</f>
        <v/>
      </c>
      <c r="H93" s="472">
        <f>SUMPRODUCT((ISNUMBER(SEARCH($Y12,Dienstplan!$B$8:$B$19))*(ISNUMBER(SEARCH($AB$8,Dienstplan!$EY$8:$GB$19)))))</f>
        <v/>
      </c>
      <c r="I93" s="472">
        <f>SUMPRODUCT((ISNUMBER(SEARCH($Y12,Dienstplan!$B$8:$B$19))*(ISNUMBER(SEARCH($AB$9,Dienstplan!$EY$8:$GB$19)))))</f>
        <v/>
      </c>
      <c r="J93" s="472">
        <f>SUMPRODUCT((ISNUMBER(SEARCH($Y12,Dienstplan!$B$8:$B$19))*(ISNUMBER(SEARCH($AB$10,Dienstplan!$EY$8:$GB$19)))))</f>
        <v/>
      </c>
      <c r="K93" s="472">
        <f>SUMPRODUCT((ISNUMBER(SEARCH($Y12,Dienstplan!$B$8:$B$19))*(ISNUMBER(SEARCH($AB$11,Dienstplan!$EY$8:$GB$19)))))-$Q93</f>
        <v/>
      </c>
      <c r="L93" s="472">
        <f>SUMPRODUCT((ISNUMBER(SEARCH($Y12,Dienstplan!$B$8:$B$19))*(ISNUMBER(SEARCH($AB$12,Dienstplan!$EY$8:$GB$19)))))</f>
        <v/>
      </c>
      <c r="M93" s="472">
        <f>SUMPRODUCT((ISNUMBER(SEARCH($Y12,Dienstplan!$B$8:$B$19))*(ISNUMBER(SEARCH($AB$13,Dienstplan!$EY$8:$GB$19)))))</f>
        <v/>
      </c>
      <c r="N93" s="472">
        <f>SUMPRODUCT((ISNUMBER(SEARCH($Y12,Dienstplan!$B$8:$B$19))*(ISNUMBER(SEARCH($AB$14,Dienstplan!$EY$8:$GB$19)))))</f>
        <v/>
      </c>
      <c r="O93" s="472">
        <f>SUMPRODUCT((ISNUMBER(SEARCH($Y12,Dienstplan!$B$8:$B$19))*(ISNUMBER(SEARCH($AB$15,Dienstplan!$EY$8:$GB$19)))))</f>
        <v/>
      </c>
      <c r="P93" s="472">
        <f>SUMPRODUCT((ISNUMBER(SEARCH($Y12,Dienstplan!$B$8:$B$19))*(ISNUMBER(SEARCH($AB$16,Dienstplan!$EY$8:$GB$19)))))</f>
        <v/>
      </c>
      <c r="Q93" s="472">
        <f>SUMPRODUCT((ISNUMBER(SEARCH($Y12,Dienstplan!$B$8:$B$19))*(ISNUMBER(SEARCH($AB$17,Dienstplan!$EY$8:$GB$19)))))</f>
        <v/>
      </c>
      <c r="R93" s="472">
        <f>SUMPRODUCT((ISNUMBER(SEARCH($Y12,Dienstplan!$B$8:$B$19))*(ISNUMBER(SEARCH($AB$18,Dienstplan!$EY$8:$GB$19)))))</f>
        <v/>
      </c>
      <c r="S93" s="472">
        <f>SUMPRODUCT((ISNUMBER(SEARCH($Y12,Dienstplan!$B$8:$B$19))*(ISNUMBER(SEARCH($AB$19,Dienstplan!$EY$8:$GB$19)))))</f>
        <v/>
      </c>
      <c r="T93" s="472">
        <f>SUM($F$82*$Z12)</f>
        <v/>
      </c>
      <c r="U93" s="472">
        <f>SUM($C93*Frueh_1+$D93*Spaet_1+$E93*Nacht_1+$F93*Normal_1+$I93*Sonderd_1-$J93*Radi_L+$K93*Radi_L+$L93*EH_Kurs+$M93*Koor_taet+$N93*Sekre_1+$O93*Radi_L+$R93*Radi_L+$P93*Radi_L+$Q93*Radi_L+G93*Radi_L+H93*Radi_L)</f>
        <v/>
      </c>
      <c r="V93" s="472">
        <f>SUM($U93-$T93)</f>
        <v/>
      </c>
      <c r="W93" s="472">
        <f>V93+W77</f>
        <v/>
      </c>
      <c r="X93" s="472" t="n"/>
      <c r="Y93" s="472" t="n"/>
      <c r="Z93" s="472" t="n"/>
      <c r="AA93" s="472" t="n"/>
      <c r="AB93" s="472" t="n"/>
      <c r="AC93" s="472" t="n"/>
      <c r="AD93" s="472" t="n"/>
      <c r="AE93" s="472" t="n"/>
      <c r="AF93" s="472" t="n"/>
      <c r="AG93" s="472" t="n"/>
      <c r="AH93" s="472" t="n"/>
      <c r="AI93" s="472" t="n"/>
      <c r="AJ93" s="472" t="n"/>
    </row>
    <row r="94">
      <c r="A94" s="472" t="n"/>
      <c r="B94" s="471">
        <f>B14</f>
        <v/>
      </c>
      <c r="C94" s="472">
        <f>SUMPRODUCT((ISNUMBER(SEARCH($Y13,Dienstplan!$B$8:$B$19))*(ISNUMBER(SEARCH($AB$3,Dienstplan!$EY$8:$GB$19)))))-D94</f>
        <v/>
      </c>
      <c r="D94" s="472">
        <f>SUMPRODUCT((ISNUMBER(SEARCH($Y13,Dienstplan!$B$8:$B$19))*(ISNUMBER(SEARCH($AB$4,Dienstplan!$EY$8:$GB$19)))))</f>
        <v/>
      </c>
      <c r="E94" s="472">
        <f>SUMPRODUCT((ISNUMBER(SEARCH($Y13,Dienstplan!$B$8:$B$19))*(ISNUMBER(SEARCH($AB$5,Dienstplan!$EY$8:$GB$19)))))</f>
        <v/>
      </c>
      <c r="F94" s="472">
        <f>SUMPRODUCT((ISNUMBER(SEARCH($Y13,Dienstplan!$B$8:$B$19))*(ISNUMBER(SEARCH($AB$6,Dienstplan!$EY$8:$GB$19)))))</f>
        <v/>
      </c>
      <c r="G94" s="472">
        <f>SUMPRODUCT((ISNUMBER(SEARCH($Y13,Dienstplan!$B$8:$B$19))*(ISNUMBER(SEARCH($AB$7,Dienstplan!$EY$8:$GB$19)))))-H94</f>
        <v/>
      </c>
      <c r="H94" s="472">
        <f>SUMPRODUCT((ISNUMBER(SEARCH($Y13,Dienstplan!$B$8:$B$19))*(ISNUMBER(SEARCH($AB$8,Dienstplan!$EY$8:$GB$19)))))</f>
        <v/>
      </c>
      <c r="I94" s="472">
        <f>SUMPRODUCT((ISNUMBER(SEARCH($Y13,Dienstplan!$B$8:$B$19))*(ISNUMBER(SEARCH($AB$9,Dienstplan!$EY$8:$GB$19)))))</f>
        <v/>
      </c>
      <c r="J94" s="472">
        <f>SUMPRODUCT((ISNUMBER(SEARCH($Y13,Dienstplan!$B$8:$B$19))*(ISNUMBER(SEARCH($AB$10,Dienstplan!$EY$8:$GB$19)))))</f>
        <v/>
      </c>
      <c r="K94" s="472">
        <f>SUMPRODUCT((ISNUMBER(SEARCH($Y13,Dienstplan!$B$8:$B$19))*(ISNUMBER(SEARCH($AB$11,Dienstplan!$EY$8:$GB$19)))))-$Q94</f>
        <v/>
      </c>
      <c r="L94" s="472">
        <f>SUMPRODUCT((ISNUMBER(SEARCH($Y13,Dienstplan!$B$8:$B$19))*(ISNUMBER(SEARCH($AB$12,Dienstplan!$EY$8:$GB$19)))))</f>
        <v/>
      </c>
      <c r="M94" s="472">
        <f>SUMPRODUCT((ISNUMBER(SEARCH($Y13,Dienstplan!$B$8:$B$19))*(ISNUMBER(SEARCH($AB$13,Dienstplan!$EY$8:$GB$19)))))</f>
        <v/>
      </c>
      <c r="N94" s="472">
        <f>SUMPRODUCT((ISNUMBER(SEARCH($Y13,Dienstplan!$B$8:$B$19))*(ISNUMBER(SEARCH($AB$14,Dienstplan!$EY$8:$GB$19)))))</f>
        <v/>
      </c>
      <c r="O94" s="472">
        <f>SUMPRODUCT((ISNUMBER(SEARCH($Y13,Dienstplan!$B$8:$B$19))*(ISNUMBER(SEARCH($AB$15,Dienstplan!$EY$8:$GB$19)))))</f>
        <v/>
      </c>
      <c r="P94" s="472">
        <f>SUMPRODUCT((ISNUMBER(SEARCH($Y13,Dienstplan!$B$8:$B$19))*(ISNUMBER(SEARCH($AB$16,Dienstplan!$EY$8:$GB$19)))))</f>
        <v/>
      </c>
      <c r="Q94" s="472">
        <f>SUMPRODUCT((ISNUMBER(SEARCH($Y13,Dienstplan!$B$8:$B$19))*(ISNUMBER(SEARCH($AB$17,Dienstplan!$EY$8:$GB$19)))))</f>
        <v/>
      </c>
      <c r="R94" s="472">
        <f>SUMPRODUCT((ISNUMBER(SEARCH($Y13,Dienstplan!$B$8:$B$19))*(ISNUMBER(SEARCH($AB$18,Dienstplan!$EY$8:$GB$19)))))</f>
        <v/>
      </c>
      <c r="S94" s="472">
        <f>SUMPRODUCT((ISNUMBER(SEARCH($Y13,Dienstplan!$B$8:$B$19))*(ISNUMBER(SEARCH($AB$19,Dienstplan!$EY$8:$GB$19)))))</f>
        <v/>
      </c>
      <c r="T94" s="472">
        <f>SUM($F$82*$Z13)</f>
        <v/>
      </c>
      <c r="U94" s="472">
        <f>SUM($C94*Frueh_1+$D94*Spaet_1+$E94*Nacht_1+$F94*Normal_1+$I94*Sonderd_1-$J94*Fortenb+$K94*Fortenb+$L94*EH_Kurs+$M94*Koor_taet+$N94*Sekre_1+$O94*Fortenb+$R94*Fortenb+$P94*Fortenb+$Q94*Fortenb+G94*Fortenb+H94*Fortenb)</f>
        <v/>
      </c>
      <c r="V94" s="472">
        <f>SUM($U94-$T94)</f>
        <v/>
      </c>
      <c r="W94" s="472">
        <f>V94+W78</f>
        <v/>
      </c>
      <c r="X94" s="472" t="n"/>
      <c r="Y94" s="472" t="n"/>
      <c r="Z94" s="472" t="n"/>
      <c r="AA94" s="472" t="n"/>
      <c r="AB94" s="472" t="n"/>
      <c r="AC94" s="472" t="n"/>
      <c r="AD94" s="472" t="n"/>
      <c r="AE94" s="472" t="n"/>
      <c r="AF94" s="472" t="n"/>
      <c r="AG94" s="472" t="n"/>
      <c r="AH94" s="472" t="n"/>
      <c r="AI94" s="472" t="n"/>
      <c r="AJ94" s="472" t="n"/>
    </row>
    <row r="95">
      <c r="A95" s="472" t="n"/>
      <c r="B95" s="471" t="n"/>
      <c r="C95" s="472" t="n"/>
      <c r="D95" s="472" t="n"/>
      <c r="E95" s="472" t="n"/>
      <c r="F95" s="472" t="n"/>
      <c r="G95" s="472" t="n"/>
      <c r="H95" s="472" t="n"/>
      <c r="I95" s="472" t="n"/>
      <c r="J95" s="472" t="n"/>
      <c r="K95" s="472" t="n"/>
      <c r="L95" s="472" t="n"/>
      <c r="M95" s="472" t="n"/>
      <c r="N95" s="472" t="n"/>
      <c r="O95" s="472" t="n"/>
      <c r="P95" s="472" t="n"/>
      <c r="Q95" s="472" t="n"/>
      <c r="R95" s="472" t="n"/>
      <c r="S95" s="472" t="n"/>
      <c r="T95" s="472" t="n"/>
      <c r="U95" s="472" t="n"/>
      <c r="V95" s="472" t="n"/>
      <c r="W95" s="472" t="n"/>
      <c r="X95" s="472" t="n"/>
      <c r="Y95" s="472" t="n"/>
      <c r="Z95" s="472" t="n"/>
      <c r="AA95" s="472" t="n"/>
      <c r="AB95" s="472" t="n"/>
      <c r="AC95" s="472" t="n"/>
      <c r="AD95" s="472" t="n"/>
      <c r="AE95" s="472" t="n"/>
      <c r="AF95" s="472" t="n"/>
      <c r="AG95" s="472" t="n"/>
      <c r="AH95" s="472" t="n"/>
      <c r="AI95" s="472" t="n"/>
      <c r="AJ95" s="472" t="n"/>
    </row>
    <row r="96">
      <c r="A96" s="483" t="n"/>
      <c r="B96" s="483" t="inlineStr">
        <is>
          <t>Summe</t>
        </is>
      </c>
      <c r="C96" s="483">
        <f>SUM(C84:C95)</f>
        <v/>
      </c>
      <c r="D96" s="483">
        <f>SUM(D84:D95)</f>
        <v/>
      </c>
      <c r="E96" s="483">
        <f>SUM(E84:E95)</f>
        <v/>
      </c>
      <c r="F96" s="483">
        <f>SUM(F84:F95)</f>
        <v/>
      </c>
      <c r="G96" s="483">
        <f>SUM(G84:G95)</f>
        <v/>
      </c>
      <c r="H96" s="483">
        <f>SUM(H84:H95)</f>
        <v/>
      </c>
      <c r="I96" s="483">
        <f>SUM(I84:I95)</f>
        <v/>
      </c>
      <c r="J96" s="483">
        <f>SUM(J84:J95)</f>
        <v/>
      </c>
      <c r="K96" s="483">
        <f>SUM(K84:K95)</f>
        <v/>
      </c>
      <c r="L96" s="483">
        <f>SUM(L84:L95)</f>
        <v/>
      </c>
      <c r="M96" s="483">
        <f>SUM(M84:M95)</f>
        <v/>
      </c>
      <c r="N96" s="483">
        <f>SUM(N84:N95)</f>
        <v/>
      </c>
      <c r="O96" s="483">
        <f>SUM(O84:O95)</f>
        <v/>
      </c>
      <c r="P96" s="483">
        <f>SUM(P84:P95)</f>
        <v/>
      </c>
      <c r="Q96" s="483">
        <f>SUM(Q84:Q95)</f>
        <v/>
      </c>
      <c r="R96" s="483">
        <f>SUM(R84:R95)</f>
        <v/>
      </c>
      <c r="S96" s="483">
        <f>SUM(S84:S95)</f>
        <v/>
      </c>
      <c r="T96" s="483">
        <f>SUM(T84:T92)</f>
        <v/>
      </c>
      <c r="U96" s="483">
        <f>SUM(U84:U92)</f>
        <v/>
      </c>
      <c r="V96" s="483" t="n"/>
      <c r="W96" s="483" t="n"/>
      <c r="X96" s="483" t="n"/>
      <c r="Y96" s="483" t="n"/>
      <c r="Z96" s="483" t="n"/>
      <c r="AA96" s="483" t="n"/>
      <c r="AB96" s="483" t="n"/>
      <c r="AC96" s="483" t="n"/>
      <c r="AD96" s="483" t="n"/>
      <c r="AE96" s="483" t="n"/>
      <c r="AF96" s="483" t="n"/>
      <c r="AG96" s="483" t="n"/>
      <c r="AH96" s="483" t="n"/>
      <c r="AI96" s="483" t="n"/>
      <c r="AJ96" s="483" t="n"/>
    </row>
    <row r="97">
      <c r="A97" s="11" t="n"/>
      <c r="B97" s="12" t="n"/>
      <c r="C97" s="1" t="n"/>
      <c r="D97" s="1" t="n"/>
      <c r="E97" s="1" t="n"/>
      <c r="F97" s="1" t="n"/>
      <c r="G97" s="1" t="n"/>
      <c r="H97" s="1" t="n"/>
      <c r="I97" s="1" t="n"/>
      <c r="J97" s="1" t="n"/>
      <c r="K97" s="1" t="n"/>
      <c r="L97" s="1" t="n"/>
      <c r="M97" s="1" t="n"/>
      <c r="N97" s="1" t="n"/>
      <c r="O97" s="1" t="n"/>
      <c r="P97" s="1" t="n"/>
      <c r="Q97" s="1" t="n"/>
      <c r="R97" s="1" t="n"/>
      <c r="S97" s="12" t="n"/>
      <c r="T97" s="1" t="n"/>
      <c r="U97" s="1" t="n"/>
      <c r="V97" s="12" t="n"/>
      <c r="W97" s="17" t="n"/>
    </row>
    <row r="98">
      <c r="A98" s="475" t="n"/>
      <c r="B98" s="476" t="inlineStr">
        <is>
          <t>Juli</t>
        </is>
      </c>
      <c r="C98" s="475" t="n"/>
      <c r="D98" s="477" t="inlineStr">
        <is>
          <t>Arbeitstage</t>
        </is>
      </c>
      <c r="E98" s="475" t="n"/>
      <c r="F98" s="478" t="n">
        <v>21</v>
      </c>
      <c r="G98" s="479" t="n"/>
      <c r="H98" s="479" t="n"/>
      <c r="I98" s="477" t="inlineStr">
        <is>
          <t>Samstage</t>
        </is>
      </c>
      <c r="J98" s="475" t="n"/>
      <c r="K98" s="478" t="n">
        <v>5</v>
      </c>
      <c r="L98" s="475" t="n"/>
      <c r="M98" s="475" t="n"/>
      <c r="N98" s="475" t="n"/>
      <c r="O98" s="475" t="n"/>
      <c r="P98" s="475" t="n"/>
      <c r="Q98" s="475" t="n"/>
      <c r="R98" s="475" t="n"/>
      <c r="S98" s="475" t="n"/>
      <c r="T98" s="475" t="n"/>
      <c r="U98" s="475" t="n"/>
      <c r="V98" s="475" t="n"/>
      <c r="W98" s="475" t="n"/>
      <c r="X98" s="475" t="n"/>
      <c r="Y98" s="475" t="n"/>
      <c r="Z98" s="475" t="n"/>
      <c r="AA98" s="475" t="n"/>
      <c r="AB98" s="475" t="n"/>
      <c r="AC98" s="475" t="n"/>
      <c r="AD98" s="475" t="n"/>
      <c r="AE98" s="475" t="n"/>
      <c r="AF98" s="475" t="n"/>
      <c r="AG98" s="475" t="n"/>
      <c r="AH98" s="475" t="n"/>
      <c r="AI98" s="475" t="n"/>
      <c r="AJ98" s="475" t="n"/>
    </row>
    <row r="99">
      <c r="A99" s="480" t="n"/>
      <c r="B99" s="480" t="n"/>
      <c r="C99" s="480">
        <f>Jahr!C3</f>
        <v/>
      </c>
      <c r="D99" s="480">
        <f>Jahr!D3</f>
        <v/>
      </c>
      <c r="E99" s="480">
        <f>Jahr!E3</f>
        <v/>
      </c>
      <c r="F99" s="480">
        <f>Jahr!F3</f>
        <v/>
      </c>
      <c r="G99" s="480">
        <f>Jahr!G3</f>
        <v/>
      </c>
      <c r="H99" s="480">
        <f>Jahr!H3</f>
        <v/>
      </c>
      <c r="I99" s="480">
        <f>Jahr!I3</f>
        <v/>
      </c>
      <c r="J99" s="480">
        <f>Jahr!J3</f>
        <v/>
      </c>
      <c r="K99" s="480">
        <f>Jahr!K3</f>
        <v/>
      </c>
      <c r="L99" s="480">
        <f>Jahr!L3</f>
        <v/>
      </c>
      <c r="M99" s="480">
        <f>Jahr!M3</f>
        <v/>
      </c>
      <c r="N99" s="480">
        <f>Jahr!N3</f>
        <v/>
      </c>
      <c r="O99" s="480">
        <f>Jahr!O3</f>
        <v/>
      </c>
      <c r="P99" s="480">
        <f>Jahr!P3</f>
        <v/>
      </c>
      <c r="Q99" s="480">
        <f>Jahr!Q3</f>
        <v/>
      </c>
      <c r="R99" s="480">
        <f>Jahr!R3</f>
        <v/>
      </c>
      <c r="S99" s="480">
        <f>Jahr!S3</f>
        <v/>
      </c>
      <c r="T99" s="480" t="inlineStr">
        <is>
          <t>Soll AZ</t>
        </is>
      </c>
      <c r="U99" s="480" t="inlineStr">
        <is>
          <t>Ist AZ</t>
        </is>
      </c>
      <c r="V99" s="480" t="inlineStr">
        <is>
          <t>Differenz</t>
        </is>
      </c>
      <c r="W99" s="480" t="inlineStr">
        <is>
          <t>Gesamt</t>
        </is>
      </c>
      <c r="X99" s="480" t="n"/>
      <c r="Y99" s="480" t="n"/>
      <c r="Z99" s="480" t="n"/>
      <c r="AA99" s="480" t="n"/>
      <c r="AB99" s="480" t="n"/>
      <c r="AC99" s="480" t="n"/>
      <c r="AD99" s="480" t="n"/>
      <c r="AE99" s="480" t="n"/>
      <c r="AF99" s="480" t="n"/>
      <c r="AG99" s="480" t="n"/>
      <c r="AH99" s="480" t="n"/>
      <c r="AI99" s="480" t="n"/>
      <c r="AJ99" s="480" t="n"/>
    </row>
    <row r="100">
      <c r="A100" s="472" t="n"/>
      <c r="B100" s="471">
        <f>B4</f>
        <v/>
      </c>
      <c r="C100" s="472">
        <f>SUMPRODUCT((ISNUMBER(SEARCH($Y3,Dienstplan!$B$25:$B$36))*(ISNUMBER(SEARCH($AB$3,Dienstplan!$C$25:$AG$36)))))-D100</f>
        <v/>
      </c>
      <c r="D100" s="472">
        <f>SUMPRODUCT((ISNUMBER(SEARCH($Y3,Dienstplan!$B$25:$B$36))*(ISNUMBER(SEARCH($AB$4,Dienstplan!$C$25:$AG$36)))))</f>
        <v/>
      </c>
      <c r="E100" s="472">
        <f>SUMPRODUCT((ISNUMBER(SEARCH($Y3,Dienstplan!$B$25:$B$36))*(ISNUMBER(SEARCH($AB$5,Dienstplan!$C$25:$AG$36)))))</f>
        <v/>
      </c>
      <c r="F100" s="472">
        <f>SUMPRODUCT((ISNUMBER(SEARCH($Y3,Dienstplan!$B$25:$B$36))*(ISNUMBER(SEARCH($AB$6,Dienstplan!$C$25:$AG$36)))))</f>
        <v/>
      </c>
      <c r="G100" s="472">
        <f>SUMPRODUCT((ISNUMBER(SEARCH($Y3,Dienstplan!$B$25:$B$36))*(ISNUMBER(SEARCH($AB$7,Dienstplan!$C$25:$AG$36)))))-H100</f>
        <v/>
      </c>
      <c r="H100" s="472">
        <f>SUMPRODUCT((ISNUMBER(SEARCH($Y3,Dienstplan!$B$25:$B$36))*(ISNUMBER(SEARCH($AB$8,Dienstplan!$C$25:$AG$36)))))</f>
        <v/>
      </c>
      <c r="I100" s="472">
        <f>SUMPRODUCT((ISNUMBER(SEARCH($Y3,Dienstplan!$B$25:$B$36))*(ISNUMBER(SEARCH($AB$9,Dienstplan!$C$25:$AG$36)))))</f>
        <v/>
      </c>
      <c r="J100" s="472">
        <f>SUMPRODUCT((ISNUMBER(SEARCH($Y3,Dienstplan!$B$25:$B$36))*(ISNUMBER(SEARCH($AB$10,Dienstplan!$C$25:$AG$36)))))</f>
        <v/>
      </c>
      <c r="K100" s="472">
        <f>SUMPRODUCT((ISNUMBER(SEARCH($Y3,Dienstplan!$B$25:$B$36))*(ISNUMBER(SEARCH($AB$11,Dienstplan!$C$25:$AG$36)))))-$Q100</f>
        <v/>
      </c>
      <c r="L100" s="472">
        <f>SUMPRODUCT((ISNUMBER(SEARCH($Y3,Dienstplan!$B$25:$B$36))*(ISNUMBER(SEARCH($AB$12,Dienstplan!$C$25:$AG$36)))))</f>
        <v/>
      </c>
      <c r="M100" s="472">
        <f>SUMPRODUCT((ISNUMBER(SEARCH($Y3,Dienstplan!$B$25:$B$36))*(ISNUMBER(SEARCH($AB$13,Dienstplan!$C$25:$AG$36)))))</f>
        <v/>
      </c>
      <c r="N100" s="472">
        <f>SUMPRODUCT((ISNUMBER(SEARCH($Y3,Dienstplan!$B$25:$B$36))*(ISNUMBER(SEARCH($AB$14,Dienstplan!$C$25:$AG$36)))))</f>
        <v/>
      </c>
      <c r="O100" s="472">
        <f>SUMPRODUCT((ISNUMBER(SEARCH($Y3,Dienstplan!$B$25:$B$36))*(ISNUMBER(SEARCH($AB$15,Dienstplan!$C$25:$AG$36)))))</f>
        <v/>
      </c>
      <c r="P100" s="472">
        <f>SUMPRODUCT((ISNUMBER(SEARCH($Y3,Dienstplan!$B$25:$B$36))*(ISNUMBER(SEARCH($AB$16,Dienstplan!$C$25:$AG$36)))))</f>
        <v/>
      </c>
      <c r="Q100" s="472">
        <f>SUMPRODUCT((ISNUMBER(SEARCH($Y3,Dienstplan!$B$25:$B$36))*(ISNUMBER(SEARCH($AB$17,Dienstplan!$C$25:$AG$36)))))</f>
        <v/>
      </c>
      <c r="R100" s="472">
        <f>SUMPRODUCT((ISNUMBER(SEARCH($Y3,Dienstplan!$B$25:$B$36))*(ISNUMBER(SEARCH($AB$18,Dienstplan!$C$25:$AG$36)))))</f>
        <v/>
      </c>
      <c r="S100" s="472">
        <f>SUMPRODUCT((ISNUMBER(SEARCH($Y3,Dienstplan!$B$25:$B$36))*(ISNUMBER(SEARCH($AB$19,Dienstplan!$C$25:$AG$36)))))</f>
        <v/>
      </c>
      <c r="T100" s="472">
        <f>SUM($F$98*$Z3)</f>
        <v/>
      </c>
      <c r="U100" s="472">
        <f>SUM($C100*Frueh_1+$D100*Spaet_1+$E100*Nacht_1+$F100*Normal_1+$I100*Sonderd_1-$J100*Velten+$K100*Velten+$L100*EH_Kurs+$M100*Koor_taet+$N100*Sekre_1+$O100*Velten+$R100*Velten+$P100*Velten+$Q100*Velten+G100*Velt_M+H100*Velt_M)</f>
        <v/>
      </c>
      <c r="V100" s="472">
        <f>SUM($U100-$T100)</f>
        <v/>
      </c>
      <c r="W100" s="472">
        <f>V100+W84</f>
        <v/>
      </c>
      <c r="X100" s="472" t="n"/>
      <c r="Y100" s="472" t="n"/>
      <c r="Z100" s="472" t="n"/>
      <c r="AA100" s="472" t="n"/>
      <c r="AB100" s="472" t="n"/>
      <c r="AC100" s="472" t="n"/>
      <c r="AD100" s="472" t="n"/>
      <c r="AE100" s="472" t="n"/>
      <c r="AF100" s="472" t="n"/>
      <c r="AG100" s="472" t="n"/>
      <c r="AH100" s="472" t="n"/>
      <c r="AI100" s="472" t="n"/>
      <c r="AJ100" s="472" t="n"/>
    </row>
    <row r="101">
      <c r="A101" s="472" t="n"/>
      <c r="B101" s="471">
        <f>B5</f>
        <v/>
      </c>
      <c r="C101" s="472">
        <f>SUMPRODUCT((ISNUMBER(SEARCH($Y4,Dienstplan!$B$25:$B$36))*(ISNUMBER(SEARCH($AB$3,Dienstplan!$C$25:$AG$36)))))-D101</f>
        <v/>
      </c>
      <c r="D101" s="472">
        <f>SUMPRODUCT((ISNUMBER(SEARCH($Y4,Dienstplan!$B$25:$B$36))*(ISNUMBER(SEARCH($AB$4,Dienstplan!$C$25:$AG$36)))))</f>
        <v/>
      </c>
      <c r="E101" s="472">
        <f>SUMPRODUCT((ISNUMBER(SEARCH($Y4,Dienstplan!$B$25:$B$36))*(ISNUMBER(SEARCH($AB$5,Dienstplan!$C$25:$AG$36)))))</f>
        <v/>
      </c>
      <c r="F101" s="472">
        <f>SUMPRODUCT((ISNUMBER(SEARCH($Y4,Dienstplan!$B$25:$B$36))*(ISNUMBER(SEARCH($AB$6,Dienstplan!$C$25:$AG$36)))))</f>
        <v/>
      </c>
      <c r="G101" s="472">
        <f>SUMPRODUCT((ISNUMBER(SEARCH($Y4,Dienstplan!$B$25:$B$36))*(ISNUMBER(SEARCH($AB$7,Dienstplan!$C$25:$AG$36)))))-H101</f>
        <v/>
      </c>
      <c r="H101" s="472">
        <f>SUMPRODUCT((ISNUMBER(SEARCH($Y4,Dienstplan!$B$25:$B$36))*(ISNUMBER(SEARCH($AB$8,Dienstplan!$C$25:$AG$36)))))</f>
        <v/>
      </c>
      <c r="I101" s="472">
        <f>SUMPRODUCT((ISNUMBER(SEARCH($Y4,Dienstplan!$B$25:$B$36))*(ISNUMBER(SEARCH($AB$9,Dienstplan!$C$25:$AG$36)))))</f>
        <v/>
      </c>
      <c r="J101" s="472">
        <f>SUMPRODUCT((ISNUMBER(SEARCH($Y4,Dienstplan!$B$25:$B$36))*(ISNUMBER(SEARCH($AB$10,Dienstplan!$C$25:$AG$36)))))</f>
        <v/>
      </c>
      <c r="K101" s="472">
        <f>SUMPRODUCT((ISNUMBER(SEARCH($Y4,Dienstplan!$B$25:$B$36))*(ISNUMBER(SEARCH($AB$11,Dienstplan!$C$25:$AG$36)))))-$Q101</f>
        <v/>
      </c>
      <c r="L101" s="472">
        <f>SUMPRODUCT((ISNUMBER(SEARCH($Y4,Dienstplan!$B$25:$B$36))*(ISNUMBER(SEARCH($AB$12,Dienstplan!$C$25:$AG$36)))))</f>
        <v/>
      </c>
      <c r="M101" s="472">
        <f>SUMPRODUCT((ISNUMBER(SEARCH($Y4,Dienstplan!$B$25:$B$36))*(ISNUMBER(SEARCH($AB$13,Dienstplan!$C$25:$AG$36)))))</f>
        <v/>
      </c>
      <c r="N101" s="472">
        <f>SUMPRODUCT((ISNUMBER(SEARCH($Y4,Dienstplan!$B$25:$B$36))*(ISNUMBER(SEARCH($AB$14,Dienstplan!$C$25:$AG$36)))))</f>
        <v/>
      </c>
      <c r="O101" s="472">
        <f>SUMPRODUCT((ISNUMBER(SEARCH($Y4,Dienstplan!$B$25:$B$36))*(ISNUMBER(SEARCH($AB$15,Dienstplan!$C$25:$AG$36)))))</f>
        <v/>
      </c>
      <c r="P101" s="472">
        <f>SUMPRODUCT((ISNUMBER(SEARCH($Y4,Dienstplan!$B$25:$B$36))*(ISNUMBER(SEARCH($AB$16,Dienstplan!$C$25:$AG$36)))))</f>
        <v/>
      </c>
      <c r="Q101" s="472">
        <f>SUMPRODUCT((ISNUMBER(SEARCH($Y4,Dienstplan!$B$25:$B$36))*(ISNUMBER(SEARCH($AB$17,Dienstplan!$C$25:$AG$36)))))</f>
        <v/>
      </c>
      <c r="R101" s="472">
        <f>SUMPRODUCT((ISNUMBER(SEARCH($Y4,Dienstplan!$B$25:$B$36))*(ISNUMBER(SEARCH($AB$18,Dienstplan!$C$25:$AG$36)))))</f>
        <v/>
      </c>
      <c r="S101" s="472">
        <f>SUMPRODUCT((ISNUMBER(SEARCH($Y4,Dienstplan!$B$25:$B$36))*(ISNUMBER(SEARCH($AB$19,Dienstplan!$C$25:$AG$36)))))</f>
        <v/>
      </c>
      <c r="T101" s="472">
        <f>SUM($F$98*$Z4)</f>
        <v/>
      </c>
      <c r="U101" s="472">
        <f>SUM($C101*Frueh_1+$D101*Spaet_1+$E101*Nacht_1+$F101*Normal_1+$I101*Sonderd_1-$J101*Brue_H+$K101*Brue_H+$L101*EH_Kurs+$M101*Koor_taet+$N101*Sekre_1+$O101*Brue_H+$R101*Brue_H+$P101*Brue_H+$Q101*Brue_H+G101*Brue_H+H101*Brue_H)</f>
        <v/>
      </c>
      <c r="V101" s="472">
        <f>SUM($U101-$T101)</f>
        <v/>
      </c>
      <c r="W101" s="472">
        <f>V101+W85</f>
        <v/>
      </c>
      <c r="X101" s="472" t="n"/>
      <c r="Y101" s="472" t="n"/>
      <c r="Z101" s="472" t="n"/>
      <c r="AA101" s="472" t="n"/>
      <c r="AB101" s="472" t="n"/>
      <c r="AC101" s="472" t="n"/>
      <c r="AD101" s="472" t="n"/>
      <c r="AE101" s="472" t="n"/>
      <c r="AF101" s="472" t="n"/>
      <c r="AG101" s="472" t="n"/>
      <c r="AH101" s="472" t="n"/>
      <c r="AI101" s="472" t="n"/>
      <c r="AJ101" s="472" t="n"/>
    </row>
    <row r="102">
      <c r="A102" s="472" t="n"/>
      <c r="B102" s="471">
        <f>B6</f>
        <v/>
      </c>
      <c r="C102" s="472">
        <f>SUMPRODUCT((ISNUMBER(SEARCH($Y5,Dienstplan!$B$25:$B$36))*(ISNUMBER(SEARCH($AB$3,Dienstplan!$C$25:$AG$36)))))-D102</f>
        <v/>
      </c>
      <c r="D102" s="472">
        <f>SUMPRODUCT((ISNUMBER(SEARCH($Y5,Dienstplan!$B$25:$B$36))*(ISNUMBER(SEARCH($AB$4,Dienstplan!$C$25:$AG$36)))))</f>
        <v/>
      </c>
      <c r="E102" s="472">
        <f>SUMPRODUCT((ISNUMBER(SEARCH($Y5,Dienstplan!$B$25:$B$36))*(ISNUMBER(SEARCH($AB$5,Dienstplan!$C$25:$AG$36)))))</f>
        <v/>
      </c>
      <c r="F102" s="472">
        <f>SUMPRODUCT((ISNUMBER(SEARCH($Y5,Dienstplan!$B$25:$B$36))*(ISNUMBER(SEARCH($AB$6,Dienstplan!$C$25:$AG$36)))))</f>
        <v/>
      </c>
      <c r="G102" s="472">
        <f>SUMPRODUCT((ISNUMBER(SEARCH($Y5,Dienstplan!$B$25:$B$36))*(ISNUMBER(SEARCH($AB$7,Dienstplan!$C$25:$AG$36)))))-H102</f>
        <v/>
      </c>
      <c r="H102" s="472">
        <f>SUMPRODUCT((ISNUMBER(SEARCH($Y5,Dienstplan!$B$25:$B$36))*(ISNUMBER(SEARCH($AB$8,Dienstplan!$C$25:$AG$36)))))</f>
        <v/>
      </c>
      <c r="I102" s="472">
        <f>SUMPRODUCT((ISNUMBER(SEARCH($Y5,Dienstplan!$B$25:$B$36))*(ISNUMBER(SEARCH($AB$9,Dienstplan!$C$25:$AG$36)))))</f>
        <v/>
      </c>
      <c r="J102" s="472">
        <f>SUMPRODUCT((ISNUMBER(SEARCH($Y5,Dienstplan!$B$25:$B$36))*(ISNUMBER(SEARCH($AB$10,Dienstplan!$C$25:$AG$36)))))</f>
        <v/>
      </c>
      <c r="K102" s="472">
        <f>SUMPRODUCT((ISNUMBER(SEARCH($Y5,Dienstplan!$B$25:$B$36))*(ISNUMBER(SEARCH($AB$11,Dienstplan!$C$25:$AG$36)))))-$Q102</f>
        <v/>
      </c>
      <c r="L102" s="472">
        <f>SUMPRODUCT((ISNUMBER(SEARCH($Y5,Dienstplan!$B$25:$B$36))*(ISNUMBER(SEARCH($AB$12,Dienstplan!$C$25:$AG$36)))))</f>
        <v/>
      </c>
      <c r="M102" s="472">
        <f>SUMPRODUCT((ISNUMBER(SEARCH($Y5,Dienstplan!$B$25:$B$36))*(ISNUMBER(SEARCH($AB$13,Dienstplan!$C$25:$AG$36)))))</f>
        <v/>
      </c>
      <c r="N102" s="472">
        <f>SUMPRODUCT((ISNUMBER(SEARCH($Y5,Dienstplan!$B$25:$B$36))*(ISNUMBER(SEARCH($AB$14,Dienstplan!$C$25:$AG$36)))))</f>
        <v/>
      </c>
      <c r="O102" s="472">
        <f>SUMPRODUCT((ISNUMBER(SEARCH($Y5,Dienstplan!$B$25:$B$36))*(ISNUMBER(SEARCH($AB$15,Dienstplan!$C$25:$AG$36)))))</f>
        <v/>
      </c>
      <c r="P102" s="472">
        <f>SUMPRODUCT((ISNUMBER(SEARCH($Y5,Dienstplan!$B$25:$B$36))*(ISNUMBER(SEARCH($AB$16,Dienstplan!$C$25:$AG$36)))))</f>
        <v/>
      </c>
      <c r="Q102" s="472">
        <f>SUMPRODUCT((ISNUMBER(SEARCH($Y5,Dienstplan!$B$25:$B$36))*(ISNUMBER(SEARCH($AB$17,Dienstplan!$C$25:$AG$36)))))</f>
        <v/>
      </c>
      <c r="R102" s="472">
        <f>SUMPRODUCT((ISNUMBER(SEARCH($Y5,Dienstplan!$B$25:$B$36))*(ISNUMBER(SEARCH($AB$18,Dienstplan!$C$25:$AG$36)))))</f>
        <v/>
      </c>
      <c r="S102" s="472">
        <f>SUMPRODUCT((ISNUMBER(SEARCH($Y5,Dienstplan!$B$25:$B$36))*(ISNUMBER(SEARCH($AB$19,Dienstplan!$C$25:$AG$36)))))</f>
        <v/>
      </c>
      <c r="T102" s="472">
        <f>SUM($F$98*$Z5)</f>
        <v/>
      </c>
      <c r="U102" s="472">
        <f>SUM($C102*Frueh_1+$D102*Spaet_1+$E102*Nacht_1+$F102*Normal_1+$I102*Sonderd_1-$J102*Rath_M+$K102*Rath_M+$L102*EH_Kurs+$M102*Koor_taet+$N102*Sekre_1+$O102*Rath_M+$R102*Rath_M+$P102*Rath_M+$Q102*Rath_M+G102*Rath_M+H102*Rath_M)</f>
        <v/>
      </c>
      <c r="V102" s="472">
        <f>SUM($U102-$T102)</f>
        <v/>
      </c>
      <c r="W102" s="472">
        <f>V102+W86</f>
        <v/>
      </c>
      <c r="X102" s="472" t="n"/>
      <c r="Y102" s="472" t="n"/>
      <c r="Z102" s="472" t="n"/>
      <c r="AA102" s="472" t="n"/>
      <c r="AB102" s="472" t="n"/>
      <c r="AC102" s="472" t="n"/>
      <c r="AD102" s="472" t="n"/>
      <c r="AE102" s="472" t="n"/>
      <c r="AF102" s="472" t="n"/>
      <c r="AG102" s="472" t="n"/>
      <c r="AH102" s="472" t="n"/>
      <c r="AI102" s="472" t="n"/>
      <c r="AJ102" s="472" t="n"/>
    </row>
    <row r="103">
      <c r="A103" s="472" t="n"/>
      <c r="B103" s="471">
        <f>B7</f>
        <v/>
      </c>
      <c r="C103" s="472">
        <f>SUMPRODUCT((ISNUMBER(SEARCH($Y6,Dienstplan!$B$25:$B$36))*(ISNUMBER(SEARCH($AB$3,Dienstplan!$C$25:$AG$36)))))-D103</f>
        <v/>
      </c>
      <c r="D103" s="472">
        <f>SUMPRODUCT((ISNUMBER(SEARCH($Y6,Dienstplan!$B$25:$B$36))*(ISNUMBER(SEARCH($AB$4,Dienstplan!$C$25:$AG$36)))))</f>
        <v/>
      </c>
      <c r="E103" s="472">
        <f>SUMPRODUCT((ISNUMBER(SEARCH($Y6,Dienstplan!$B$25:$B$36))*(ISNUMBER(SEARCH($AB$5,Dienstplan!$C$25:$AG$36)))))</f>
        <v/>
      </c>
      <c r="F103" s="472">
        <f>SUMPRODUCT((ISNUMBER(SEARCH($Y6,Dienstplan!$B$25:$B$36))*(ISNUMBER(SEARCH($AB$6,Dienstplan!$C$25:$AG$36)))))</f>
        <v/>
      </c>
      <c r="G103" s="472">
        <f>SUMPRODUCT((ISNUMBER(SEARCH($Y6,Dienstplan!$B$25:$B$36))*(ISNUMBER(SEARCH($AB$7,Dienstplan!$C$25:$AG$36)))))-H103</f>
        <v/>
      </c>
      <c r="H103" s="472">
        <f>SUMPRODUCT((ISNUMBER(SEARCH($Y6,Dienstplan!$B$25:$B$36))*(ISNUMBER(SEARCH($AB$8,Dienstplan!$C$25:$AG$36)))))</f>
        <v/>
      </c>
      <c r="I103" s="472">
        <f>SUMPRODUCT((ISNUMBER(SEARCH($Y6,Dienstplan!$B$25:$B$36))*(ISNUMBER(SEARCH($AB$9,Dienstplan!$C$25:$AG$36)))))</f>
        <v/>
      </c>
      <c r="J103" s="472">
        <f>SUMPRODUCT((ISNUMBER(SEARCH($Y6,Dienstplan!$B$25:$B$36))*(ISNUMBER(SEARCH($AB$10,Dienstplan!$C$25:$AG$36)))))</f>
        <v/>
      </c>
      <c r="K103" s="472">
        <f>SUMPRODUCT((ISNUMBER(SEARCH($Y6,Dienstplan!$B$25:$B$36))*(ISNUMBER(SEARCH($AB$11,Dienstplan!$C$25:$AG$36)))))-$Q103</f>
        <v/>
      </c>
      <c r="L103" s="472">
        <f>SUMPRODUCT((ISNUMBER(SEARCH($Y6,Dienstplan!$B$25:$B$36))*(ISNUMBER(SEARCH($AB$12,Dienstplan!$C$25:$AG$36)))))</f>
        <v/>
      </c>
      <c r="M103" s="472">
        <f>SUMPRODUCT((ISNUMBER(SEARCH($Y6,Dienstplan!$B$25:$B$36))*(ISNUMBER(SEARCH($AB$13,Dienstplan!$C$25:$AG$36)))))</f>
        <v/>
      </c>
      <c r="N103" s="472">
        <f>SUMPRODUCT((ISNUMBER(SEARCH($Y6,Dienstplan!$B$25:$B$36))*(ISNUMBER(SEARCH($AB$14,Dienstplan!$C$25:$AG$36)))))</f>
        <v/>
      </c>
      <c r="O103" s="472">
        <f>SUMPRODUCT((ISNUMBER(SEARCH($Y6,Dienstplan!$B$25:$B$36))*(ISNUMBER(SEARCH($AB$15,Dienstplan!$C$25:$AG$36)))))</f>
        <v/>
      </c>
      <c r="P103" s="472">
        <f>SUMPRODUCT((ISNUMBER(SEARCH($Y6,Dienstplan!$B$25:$B$36))*(ISNUMBER(SEARCH($AB$16,Dienstplan!$C$25:$AG$36)))))</f>
        <v/>
      </c>
      <c r="Q103" s="472">
        <f>SUMPRODUCT((ISNUMBER(SEARCH($Y6,Dienstplan!$B$25:$B$36))*(ISNUMBER(SEARCH($AB$17,Dienstplan!$C$25:$AG$36)))))</f>
        <v/>
      </c>
      <c r="R103" s="472">
        <f>SUMPRODUCT((ISNUMBER(SEARCH($Y6,Dienstplan!$B$25:$B$36))*(ISNUMBER(SEARCH($AB$18,Dienstplan!$C$25:$AG$36)))))</f>
        <v/>
      </c>
      <c r="S103" s="472">
        <f>SUMPRODUCT((ISNUMBER(SEARCH($Y6,Dienstplan!$B$25:$B$36))*(ISNUMBER(SEARCH($AB$19,Dienstplan!$C$25:$AG$36)))))</f>
        <v/>
      </c>
      <c r="T103" s="472">
        <f>SUM($F$98*$Z6)</f>
        <v/>
      </c>
      <c r="U103" s="472">
        <f>SUM($C103*Frueh_1+$D103*Spaet_1+$E103*Nacht_1+$F103*Normal_1+$I103*Sonderd_1-$J103*Scho_K+$K103*Scho_K+$L103*EH_Kurs+$M103*Koor_taet+$N103*Sekre_1+$O103*Scho_K+$R103*Scho_K+$P103*Scho_K+$Q103*Scho_K+G103*Scho_K+H103*Scho_K)</f>
        <v/>
      </c>
      <c r="V103" s="472">
        <f>SUM($U103-$T103)</f>
        <v/>
      </c>
      <c r="W103" s="472">
        <f>V103+W87</f>
        <v/>
      </c>
      <c r="X103" s="472" t="n"/>
      <c r="Y103" s="472" t="n"/>
      <c r="Z103" s="472" t="n"/>
      <c r="AA103" s="472" t="n"/>
      <c r="AB103" s="472" t="n"/>
      <c r="AC103" s="472" t="n"/>
      <c r="AD103" s="472" t="n"/>
      <c r="AE103" s="472" t="n"/>
      <c r="AF103" s="472" t="n"/>
      <c r="AG103" s="472" t="n"/>
      <c r="AH103" s="472" t="n"/>
      <c r="AI103" s="472" t="n"/>
      <c r="AJ103" s="472" t="n"/>
    </row>
    <row r="104">
      <c r="A104" s="472" t="n"/>
      <c r="B104" s="471">
        <f>B8</f>
        <v/>
      </c>
      <c r="C104" s="472">
        <f>SUMPRODUCT((ISNUMBER(SEARCH($Y7,Dienstplan!$B$25:$B$36))*(ISNUMBER(SEARCH($AB$3,Dienstplan!$C$25:$AG$36)))))-D104</f>
        <v/>
      </c>
      <c r="D104" s="472">
        <f>SUMPRODUCT((ISNUMBER(SEARCH($Y7,Dienstplan!$B$25:$B$36))*(ISNUMBER(SEARCH($AB$4,Dienstplan!$C$25:$AG$36)))))</f>
        <v/>
      </c>
      <c r="E104" s="472">
        <f>SUMPRODUCT((ISNUMBER(SEARCH($Y7,Dienstplan!$B$25:$B$36))*(ISNUMBER(SEARCH($AB$5,Dienstplan!$C$25:$AG$36)))))</f>
        <v/>
      </c>
      <c r="F104" s="472">
        <f>SUMPRODUCT((ISNUMBER(SEARCH($Y7,Dienstplan!$B$25:$B$36))*(ISNUMBER(SEARCH($AB$6,Dienstplan!$C$25:$AG$36)))))</f>
        <v/>
      </c>
      <c r="G104" s="472">
        <f>SUMPRODUCT((ISNUMBER(SEARCH($Y7,Dienstplan!$B$25:$B$36))*(ISNUMBER(SEARCH($AB$7,Dienstplan!$C$25:$AG$36)))))-H104</f>
        <v/>
      </c>
      <c r="H104" s="472">
        <f>SUMPRODUCT((ISNUMBER(SEARCH($Y7,Dienstplan!$B$25:$B$36))*(ISNUMBER(SEARCH($AB$8,Dienstplan!$C$25:$AG$36)))))</f>
        <v/>
      </c>
      <c r="I104" s="472">
        <f>SUMPRODUCT((ISNUMBER(SEARCH($Y7,Dienstplan!$B$25:$B$36))*(ISNUMBER(SEARCH($AB$9,Dienstplan!$C$25:$AG$36)))))</f>
        <v/>
      </c>
      <c r="J104" s="472">
        <f>SUMPRODUCT((ISNUMBER(SEARCH($Y7,Dienstplan!$B$25:$B$36))*(ISNUMBER(SEARCH($AB$10,Dienstplan!$C$25:$AG$36)))))</f>
        <v/>
      </c>
      <c r="K104" s="472">
        <f>SUMPRODUCT((ISNUMBER(SEARCH($Y7,Dienstplan!$B$25:$B$36))*(ISNUMBER(SEARCH($AB$11,Dienstplan!$C$25:$AG$36)))))-$Q104</f>
        <v/>
      </c>
      <c r="L104" s="472">
        <f>SUMPRODUCT((ISNUMBER(SEARCH($Y7,Dienstplan!$B$25:$B$36))*(ISNUMBER(SEARCH($AB$12,Dienstplan!$C$25:$AG$36)))))</f>
        <v/>
      </c>
      <c r="M104" s="472">
        <f>SUMPRODUCT((ISNUMBER(SEARCH($Y7,Dienstplan!$B$25:$B$36))*(ISNUMBER(SEARCH($AB$13,Dienstplan!$C$25:$AG$36)))))</f>
        <v/>
      </c>
      <c r="N104" s="472">
        <f>SUMPRODUCT((ISNUMBER(SEARCH($Y7,Dienstplan!$B$25:$B$36))*(ISNUMBER(SEARCH($AB$14,Dienstplan!$C$25:$AG$36)))))</f>
        <v/>
      </c>
      <c r="O104" s="472">
        <f>SUMPRODUCT((ISNUMBER(SEARCH($Y7,Dienstplan!$B$25:$B$36))*(ISNUMBER(SEARCH($AB$15,Dienstplan!$C$25:$AG$36)))))</f>
        <v/>
      </c>
      <c r="P104" s="472">
        <f>SUMPRODUCT((ISNUMBER(SEARCH($Y7,Dienstplan!$B$25:$B$36))*(ISNUMBER(SEARCH($AB$16,Dienstplan!$C$25:$AG$36)))))</f>
        <v/>
      </c>
      <c r="Q104" s="472">
        <f>SUMPRODUCT((ISNUMBER(SEARCH($Y7,Dienstplan!$B$25:$B$36))*(ISNUMBER(SEARCH($AB$17,Dienstplan!$C$25:$AG$36)))))</f>
        <v/>
      </c>
      <c r="R104" s="472">
        <f>SUMPRODUCT((ISNUMBER(SEARCH($Y7,Dienstplan!$B$25:$B$36))*(ISNUMBER(SEARCH($AB$18,Dienstplan!$C$25:$AG$36)))))</f>
        <v/>
      </c>
      <c r="S104" s="472">
        <f>SUMPRODUCT((ISNUMBER(SEARCH($Y7,Dienstplan!$B$25:$B$36))*(ISNUMBER(SEARCH($AB$19,Dienstplan!$C$25:$AG$36)))))</f>
        <v/>
      </c>
      <c r="T104" s="472">
        <f>SUM($F$98*$Z7)</f>
        <v/>
      </c>
      <c r="U104" s="472">
        <f>SUM($C104*Frueh_1+$D104*Spaet_1+$E104*Nacht_1+$F104*Normal_1+$I104*Sonderd_1-$J104*Krie_B+$K104*Krie_B+$L104*EH_Kurs+$M104*Koor_taet+$N104*Sekre_1+$O104*Krie_B+$R104*Krie_B+$P104*Krie_B+$Q104*Krie_B+G104*Krie_B+H104*Krie_B)</f>
        <v/>
      </c>
      <c r="V104" s="472">
        <f>SUM($U104-$T104)</f>
        <v/>
      </c>
      <c r="W104" s="472">
        <f>V104+W88</f>
        <v/>
      </c>
      <c r="X104" s="472" t="n"/>
      <c r="Y104" s="472" t="n"/>
      <c r="Z104" s="472" t="n"/>
      <c r="AA104" s="472" t="n"/>
      <c r="AB104" s="472" t="n"/>
      <c r="AC104" s="472" t="n"/>
      <c r="AD104" s="472" t="n"/>
      <c r="AE104" s="472" t="n"/>
      <c r="AF104" s="472" t="n"/>
      <c r="AG104" s="472" t="n"/>
      <c r="AH104" s="472" t="n"/>
      <c r="AI104" s="472" t="n"/>
      <c r="AJ104" s="472" t="n"/>
    </row>
    <row r="105">
      <c r="A105" s="472" t="n"/>
      <c r="B105" s="471">
        <f>B9</f>
        <v/>
      </c>
      <c r="C105" s="472">
        <f>SUMPRODUCT((ISNUMBER(SEARCH($Y8,Dienstplan!$B$25:$B$36))*(ISNUMBER(SEARCH($AB$3,Dienstplan!$C$25:$AG$36)))))-D105</f>
        <v/>
      </c>
      <c r="D105" s="472">
        <f>SUMPRODUCT((ISNUMBER(SEARCH($Y8,Dienstplan!$B$25:$B$36))*(ISNUMBER(SEARCH($AB$4,Dienstplan!$C$25:$AG$36)))))</f>
        <v/>
      </c>
      <c r="E105" s="472">
        <f>SUMPRODUCT((ISNUMBER(SEARCH($Y8,Dienstplan!$B$25:$B$36))*(ISNUMBER(SEARCH($AB$5,Dienstplan!$C$25:$AG$36)))))</f>
        <v/>
      </c>
      <c r="F105" s="472">
        <f>SUMPRODUCT((ISNUMBER(SEARCH($Y8,Dienstplan!$B$25:$B$36))*(ISNUMBER(SEARCH($AB$6,Dienstplan!$C$25:$AG$36)))))</f>
        <v/>
      </c>
      <c r="G105" s="472">
        <f>SUMPRODUCT((ISNUMBER(SEARCH($Y8,Dienstplan!$B$25:$B$36))*(ISNUMBER(SEARCH($AB$7,Dienstplan!$C$25:$AG$36)))))-H105</f>
        <v/>
      </c>
      <c r="H105" s="472">
        <f>SUMPRODUCT((ISNUMBER(SEARCH($Y8,Dienstplan!$B$25:$B$36))*(ISNUMBER(SEARCH($AB$8,Dienstplan!$C$25:$AG$36)))))</f>
        <v/>
      </c>
      <c r="I105" s="472">
        <f>SUMPRODUCT((ISNUMBER(SEARCH($Y8,Dienstplan!$B$25:$B$36))*(ISNUMBER(SEARCH($AB$9,Dienstplan!$C$25:$AG$36)))))</f>
        <v/>
      </c>
      <c r="J105" s="472">
        <f>SUMPRODUCT((ISNUMBER(SEARCH($Y8,Dienstplan!$B$25:$B$36))*(ISNUMBER(SEARCH($AB$10,Dienstplan!$C$25:$AG$36)))))</f>
        <v/>
      </c>
      <c r="K105" s="472">
        <f>SUMPRODUCT((ISNUMBER(SEARCH($Y8,Dienstplan!$B$25:$B$36))*(ISNUMBER(SEARCH($AB$11,Dienstplan!$C$25:$AG$36)))))-$Q105</f>
        <v/>
      </c>
      <c r="L105" s="472">
        <f>SUMPRODUCT((ISNUMBER(SEARCH($Y8,Dienstplan!$B$25:$B$36))*(ISNUMBER(SEARCH($AB$12,Dienstplan!$C$25:$AG$36)))))</f>
        <v/>
      </c>
      <c r="M105" s="472">
        <f>SUMPRODUCT((ISNUMBER(SEARCH($Y8,Dienstplan!$B$25:$B$36))*(ISNUMBER(SEARCH($AB$13,Dienstplan!$C$25:$AG$36)))))</f>
        <v/>
      </c>
      <c r="N105" s="472">
        <f>SUMPRODUCT((ISNUMBER(SEARCH($Y8,Dienstplan!$B$25:$B$36))*(ISNUMBER(SEARCH($AB$14,Dienstplan!$C$25:$AG$36)))))</f>
        <v/>
      </c>
      <c r="O105" s="472">
        <f>SUMPRODUCT((ISNUMBER(SEARCH($Y8,Dienstplan!$B$25:$B$36))*(ISNUMBER(SEARCH($AB$15,Dienstplan!$C$25:$AG$36)))))</f>
        <v/>
      </c>
      <c r="P105" s="472">
        <f>SUMPRODUCT((ISNUMBER(SEARCH($Y8,Dienstplan!$B$25:$B$36))*(ISNUMBER(SEARCH($AB$16,Dienstplan!$C$25:$AG$36)))))</f>
        <v/>
      </c>
      <c r="Q105" s="472">
        <f>SUMPRODUCT((ISNUMBER(SEARCH($Y8,Dienstplan!$B$25:$B$36))*(ISNUMBER(SEARCH($AB$17,Dienstplan!$C$25:$AG$36)))))</f>
        <v/>
      </c>
      <c r="R105" s="472">
        <f>SUMPRODUCT((ISNUMBER(SEARCH($Y8,Dienstplan!$B$25:$B$36))*(ISNUMBER(SEARCH($AB$18,Dienstplan!$C$25:$AG$36)))))</f>
        <v/>
      </c>
      <c r="S105" s="472">
        <f>SUMPRODUCT((ISNUMBER(SEARCH($Y8,Dienstplan!$B$25:$B$36))*(ISNUMBER(SEARCH($AB$19,Dienstplan!$C$25:$AG$36)))))</f>
        <v/>
      </c>
      <c r="T105" s="472">
        <f>SUM($F$98*$Z8)</f>
        <v/>
      </c>
      <c r="U105" s="472">
        <f>SUM($C105*Frueh_1+$D105*Spaet_1+$E105*Nacht_1+$F105*Normal_1+$I105*Sonderd_1-$J105*Muster+$K105*Muster+$L105*EH_Kurs+$M105*Koor_taet+$N105*Sekre_1+$O105*Muster+$P105*Muster+$Q105*Muster+$R105*Muster+G105*Muster+H105*Muster)</f>
        <v/>
      </c>
      <c r="V105" s="472">
        <f>SUM($U105-$T105)</f>
        <v/>
      </c>
      <c r="W105" s="472">
        <f>V105+W89</f>
        <v/>
      </c>
      <c r="X105" s="472" t="n"/>
      <c r="Y105" s="472" t="n"/>
      <c r="Z105" s="472" t="n"/>
      <c r="AA105" s="472" t="n"/>
      <c r="AB105" s="472" t="n"/>
      <c r="AC105" s="472" t="n"/>
      <c r="AD105" s="472" t="n"/>
      <c r="AE105" s="472" t="n"/>
      <c r="AF105" s="472" t="n"/>
      <c r="AG105" s="472" t="n"/>
      <c r="AH105" s="472" t="n"/>
      <c r="AI105" s="472" t="n"/>
      <c r="AJ105" s="472" t="n"/>
    </row>
    <row r="106">
      <c r="A106" s="472" t="n"/>
      <c r="B106" s="471">
        <f>B10</f>
        <v/>
      </c>
      <c r="C106" s="472">
        <f>SUMPRODUCT((ISNUMBER(SEARCH($Y9,Dienstplan!$B$25:$B$36))*(ISNUMBER(SEARCH($AB$3,Dienstplan!$C$25:$AG$36)))))-D106</f>
        <v/>
      </c>
      <c r="D106" s="472">
        <f>SUMPRODUCT((ISNUMBER(SEARCH($Y9,Dienstplan!$B$25:$B$36))*(ISNUMBER(SEARCH($AB$4,Dienstplan!$C$25:$AG$36)))))</f>
        <v/>
      </c>
      <c r="E106" s="472">
        <f>SUMPRODUCT((ISNUMBER(SEARCH($Y9,Dienstplan!$B$25:$B$36))*(ISNUMBER(SEARCH($AB$5,Dienstplan!$C$25:$AG$36)))))</f>
        <v/>
      </c>
      <c r="F106" s="472">
        <f>SUMPRODUCT((ISNUMBER(SEARCH($Y9,Dienstplan!$B$25:$B$36))*(ISNUMBER(SEARCH($AB$6,Dienstplan!$C$25:$AG$36)))))</f>
        <v/>
      </c>
      <c r="G106" s="472">
        <f>SUMPRODUCT((ISNUMBER(SEARCH($Y9,Dienstplan!$B$25:$B$36))*(ISNUMBER(SEARCH($AB$7,Dienstplan!$C$25:$AG$36)))))-H106</f>
        <v/>
      </c>
      <c r="H106" s="472">
        <f>SUMPRODUCT((ISNUMBER(SEARCH($Y9,Dienstplan!$B$25:$B$36))*(ISNUMBER(SEARCH($AB$8,Dienstplan!$C$25:$AG$36)))))</f>
        <v/>
      </c>
      <c r="I106" s="472">
        <f>SUMPRODUCT((ISNUMBER(SEARCH($Y9,Dienstplan!$B$25:$B$36))*(ISNUMBER(SEARCH($AB$9,Dienstplan!$C$25:$AG$36)))))</f>
        <v/>
      </c>
      <c r="J106" s="472">
        <f>SUMPRODUCT((ISNUMBER(SEARCH($Y9,Dienstplan!$B$25:$B$36))*(ISNUMBER(SEARCH($AB$10,Dienstplan!$C$25:$AG$36)))))</f>
        <v/>
      </c>
      <c r="K106" s="472">
        <f>SUMPRODUCT((ISNUMBER(SEARCH($Y9,Dienstplan!$B$25:$B$36))*(ISNUMBER(SEARCH($AB$11,Dienstplan!$C$25:$AG$36)))))-$Q106</f>
        <v/>
      </c>
      <c r="L106" s="472">
        <f>SUMPRODUCT((ISNUMBER(SEARCH($Y9,Dienstplan!$B$25:$B$36))*(ISNUMBER(SEARCH($AB$12,Dienstplan!$C$25:$AG$36)))))</f>
        <v/>
      </c>
      <c r="M106" s="472">
        <f>SUMPRODUCT((ISNUMBER(SEARCH($Y9,Dienstplan!$B$25:$B$36))*(ISNUMBER(SEARCH($AB$13,Dienstplan!$C$25:$AG$36)))))</f>
        <v/>
      </c>
      <c r="N106" s="472">
        <f>SUMPRODUCT((ISNUMBER(SEARCH($Y9,Dienstplan!$B$25:$B$36))*(ISNUMBER(SEARCH($AB$14,Dienstplan!$C$25:$AG$36)))))</f>
        <v/>
      </c>
      <c r="O106" s="472">
        <f>SUMPRODUCT((ISNUMBER(SEARCH($Y9,Dienstplan!$B$25:$B$36))*(ISNUMBER(SEARCH($AB$15,Dienstplan!$C$25:$AG$36)))))</f>
        <v/>
      </c>
      <c r="P106" s="472">
        <f>SUMPRODUCT((ISNUMBER(SEARCH($Y9,Dienstplan!$B$25:$B$36))*(ISNUMBER(SEARCH($AB$16,Dienstplan!$C$25:$AG$36)))))</f>
        <v/>
      </c>
      <c r="Q106" s="472">
        <f>SUMPRODUCT((ISNUMBER(SEARCH($Y9,Dienstplan!$B$25:$B$36))*(ISNUMBER(SEARCH($AB$17,Dienstplan!$C$25:$AG$36)))))</f>
        <v/>
      </c>
      <c r="R106" s="472">
        <f>SUMPRODUCT((ISNUMBER(SEARCH($Y9,Dienstplan!$B$25:$B$36))*(ISNUMBER(SEARCH($AB$18,Dienstplan!$C$25:$AG$36)))))</f>
        <v/>
      </c>
      <c r="S106" s="472">
        <f>SUMPRODUCT((ISNUMBER(SEARCH($Y9,Dienstplan!$B$25:$B$36))*(ISNUMBER(SEARCH($AB$19,Dienstplan!$C$25:$AG$36)))))</f>
        <v/>
      </c>
      <c r="T106" s="472">
        <f>SUM($F$98*$Z9)</f>
        <v/>
      </c>
      <c r="U106" s="472">
        <f>SUM($C106*Frueh_1+$D106*Spaet_1+$E106*Nacht_1+$F106*Normal_1+$I106*Sonderd_1-$J106*Muster+$K106*Muster+$L106*EH_Kurs+$M106*Koor_taet+$N106*Sekre_1+$O106*Muster+$P106*Muster+$Q106*Muster+$R106*Muster+G106*Muster+H106*Muster)</f>
        <v/>
      </c>
      <c r="V106" s="472">
        <f>SUM($U106-$T106)</f>
        <v/>
      </c>
      <c r="W106" s="472">
        <f>V106+W90</f>
        <v/>
      </c>
      <c r="X106" s="472" t="n"/>
      <c r="Y106" s="472" t="n"/>
      <c r="Z106" s="472" t="n"/>
      <c r="AA106" s="472" t="n"/>
      <c r="AB106" s="472" t="n"/>
      <c r="AC106" s="472" t="n"/>
      <c r="AD106" s="472" t="n"/>
      <c r="AE106" s="472" t="n"/>
      <c r="AF106" s="472" t="n"/>
      <c r="AG106" s="472" t="n"/>
      <c r="AH106" s="472" t="n"/>
      <c r="AI106" s="472" t="n"/>
      <c r="AJ106" s="472" t="n"/>
    </row>
    <row r="107">
      <c r="A107" s="472" t="n"/>
      <c r="B107" s="471">
        <f>B11</f>
        <v/>
      </c>
      <c r="C107" s="472">
        <f>SUMPRODUCT((ISNUMBER(SEARCH($Y10,Dienstplan!$B$25:$B$36))*(ISNUMBER(SEARCH($AB$3,Dienstplan!$C$25:$AG$36)))))-D107</f>
        <v/>
      </c>
      <c r="D107" s="472">
        <f>SUMPRODUCT((ISNUMBER(SEARCH($Y10,Dienstplan!$B$25:$B$36))*(ISNUMBER(SEARCH($AB$4,Dienstplan!$C$25:$AG$36)))))</f>
        <v/>
      </c>
      <c r="E107" s="472">
        <f>SUMPRODUCT((ISNUMBER(SEARCH($Y10,Dienstplan!$B$25:$B$36))*(ISNUMBER(SEARCH($AB$5,Dienstplan!$C$25:$AG$36)))))</f>
        <v/>
      </c>
      <c r="F107" s="472">
        <f>SUMPRODUCT((ISNUMBER(SEARCH($Y10,Dienstplan!$B$25:$B$36))*(ISNUMBER(SEARCH($AB$6,Dienstplan!$C$25:$AG$36)))))</f>
        <v/>
      </c>
      <c r="G107" s="472">
        <f>SUMPRODUCT((ISNUMBER(SEARCH($Y10,Dienstplan!$B$25:$B$36))*(ISNUMBER(SEARCH($AB$7,Dienstplan!$C$25:$AG$36)))))-H107</f>
        <v/>
      </c>
      <c r="H107" s="472">
        <f>SUMPRODUCT((ISNUMBER(SEARCH($Y10,Dienstplan!$B$25:$B$36))*(ISNUMBER(SEARCH($AB$8,Dienstplan!$C$25:$AG$36)))))</f>
        <v/>
      </c>
      <c r="I107" s="472">
        <f>SUMPRODUCT((ISNUMBER(SEARCH($Y10,Dienstplan!$B$25:$B$36))*(ISNUMBER(SEARCH($AB$9,Dienstplan!$C$25:$AG$36)))))</f>
        <v/>
      </c>
      <c r="J107" s="472">
        <f>SUMPRODUCT((ISNUMBER(SEARCH($Y10,Dienstplan!$B$25:$B$36))*(ISNUMBER(SEARCH($AB$10,Dienstplan!$C$25:$AG$36)))))</f>
        <v/>
      </c>
      <c r="K107" s="472">
        <f>SUMPRODUCT((ISNUMBER(SEARCH($Y10,Dienstplan!$B$25:$B$36))*(ISNUMBER(SEARCH($AB$11,Dienstplan!$C$25:$AG$36)))))-$Q107</f>
        <v/>
      </c>
      <c r="L107" s="472">
        <f>SUMPRODUCT((ISNUMBER(SEARCH($Y10,Dienstplan!$B$25:$B$36))*(ISNUMBER(SEARCH($AB$12,Dienstplan!$C$25:$AG$36)))))</f>
        <v/>
      </c>
      <c r="M107" s="472">
        <f>SUMPRODUCT((ISNUMBER(SEARCH($Y10,Dienstplan!$B$25:$B$36))*(ISNUMBER(SEARCH($AB$13,Dienstplan!$C$25:$AG$36)))))</f>
        <v/>
      </c>
      <c r="N107" s="472">
        <f>SUMPRODUCT((ISNUMBER(SEARCH($Y10,Dienstplan!$B$25:$B$36))*(ISNUMBER(SEARCH($AB$14,Dienstplan!$C$25:$AG$36)))))</f>
        <v/>
      </c>
      <c r="O107" s="472">
        <f>SUMPRODUCT((ISNUMBER(SEARCH($Y10,Dienstplan!$B$25:$B$36))*(ISNUMBER(SEARCH($AB$15,Dienstplan!$C$25:$AG$36)))))</f>
        <v/>
      </c>
      <c r="P107" s="472">
        <f>SUMPRODUCT((ISNUMBER(SEARCH($Y10,Dienstplan!$B$25:$B$36))*(ISNUMBER(SEARCH($AB$16,Dienstplan!$C$25:$AG$36)))))</f>
        <v/>
      </c>
      <c r="Q107" s="472">
        <f>SUMPRODUCT((ISNUMBER(SEARCH($Y10,Dienstplan!$B$25:$B$36))*(ISNUMBER(SEARCH($AB$17,Dienstplan!$C$25:$AG$36)))))</f>
        <v/>
      </c>
      <c r="R107" s="472">
        <f>SUMPRODUCT((ISNUMBER(SEARCH($Y10,Dienstplan!$B$25:$B$36))*(ISNUMBER(SEARCH($AB$18,Dienstplan!$C$25:$AG$36)))))</f>
        <v/>
      </c>
      <c r="S107" s="472">
        <f>SUMPRODUCT((ISNUMBER(SEARCH($Y10,Dienstplan!$B$25:$B$36))*(ISNUMBER(SEARCH($AB$19,Dienstplan!$C$25:$AG$36)))))</f>
        <v/>
      </c>
      <c r="T107" s="472">
        <f>SUM($F$98*$Z10)</f>
        <v/>
      </c>
      <c r="U107" s="472">
        <f>SUM($C107*Frueh_1+$D107*Spaet_1+$E107*Nacht_1+$F107*Normal_1+$I107*Sonderd_1-$J107*Krem_E+$K107*Krem_E+$L107*EH_Kurs+$M107*Koor_taet+$N107*Sekre_1+$O107*Krem_E+$R107*Krem_E+$P107*Krem_E+$Q107*Krem_E+G107*Krem_E+H107*Krem_E)</f>
        <v/>
      </c>
      <c r="V107" s="472">
        <f>SUM($U107-$T107)</f>
        <v/>
      </c>
      <c r="W107" s="472">
        <f>V107+W91</f>
        <v/>
      </c>
      <c r="X107" s="472" t="n"/>
      <c r="Y107" s="472" t="n"/>
      <c r="Z107" s="472" t="n"/>
      <c r="AA107" s="472" t="n"/>
      <c r="AB107" s="472" t="n"/>
      <c r="AC107" s="472" t="n"/>
      <c r="AD107" s="472" t="n"/>
      <c r="AE107" s="472" t="n"/>
      <c r="AF107" s="472" t="n"/>
      <c r="AG107" s="472" t="n"/>
      <c r="AH107" s="472" t="n"/>
      <c r="AI107" s="472" t="n"/>
      <c r="AJ107" s="472" t="n"/>
    </row>
    <row r="108">
      <c r="A108" s="472" t="n"/>
      <c r="B108" s="471">
        <f>B12</f>
        <v/>
      </c>
      <c r="C108" s="472">
        <f>SUMPRODUCT((ISNUMBER(SEARCH($Y11,Dienstplan!$B$25:$B$36))*(ISNUMBER(SEARCH($AB$3,Dienstplan!$C$25:$AG$36)))))-D108</f>
        <v/>
      </c>
      <c r="D108" s="472">
        <f>SUMPRODUCT((ISNUMBER(SEARCH($Y11,Dienstplan!$B$25:$B$36))*(ISNUMBER(SEARCH($AB$4,Dienstplan!$C$25:$AG$36)))))</f>
        <v/>
      </c>
      <c r="E108" s="472">
        <f>SUMPRODUCT((ISNUMBER(SEARCH($Y11,Dienstplan!$B$25:$B$36))*(ISNUMBER(SEARCH($AB$5,Dienstplan!$C$25:$AG$36)))))</f>
        <v/>
      </c>
      <c r="F108" s="472">
        <f>SUMPRODUCT((ISNUMBER(SEARCH($Y11,Dienstplan!$B$25:$B$36))*(ISNUMBER(SEARCH($AB$6,Dienstplan!$C$25:$AG$36)))))</f>
        <v/>
      </c>
      <c r="G108" s="472">
        <f>SUMPRODUCT((ISNUMBER(SEARCH($Y11,Dienstplan!$B$25:$B$36))*(ISNUMBER(SEARCH($AB$7,Dienstplan!$C$25:$AG$36)))))-H108</f>
        <v/>
      </c>
      <c r="H108" s="472">
        <f>SUMPRODUCT((ISNUMBER(SEARCH($Y11,Dienstplan!$B$25:$B$36))*(ISNUMBER(SEARCH($AB$8,Dienstplan!$C$25:$AG$36)))))</f>
        <v/>
      </c>
      <c r="I108" s="472">
        <f>SUMPRODUCT((ISNUMBER(SEARCH($Y11,Dienstplan!$B$25:$B$36))*(ISNUMBER(SEARCH($AB$9,Dienstplan!$C$25:$AG$36)))))</f>
        <v/>
      </c>
      <c r="J108" s="472">
        <f>SUMPRODUCT((ISNUMBER(SEARCH($Y11,Dienstplan!$B$25:$B$36))*(ISNUMBER(SEARCH($AB$10,Dienstplan!$C$25:$AG$36)))))</f>
        <v/>
      </c>
      <c r="K108" s="472">
        <f>SUMPRODUCT((ISNUMBER(SEARCH($Y11,Dienstplan!$B$25:$B$36))*(ISNUMBER(SEARCH($AB$11,Dienstplan!$C$25:$AG$36)))))-$Q108</f>
        <v/>
      </c>
      <c r="L108" s="472">
        <f>SUMPRODUCT((ISNUMBER(SEARCH($Y11,Dienstplan!$B$25:$B$36))*(ISNUMBER(SEARCH($AB$12,Dienstplan!$C$25:$AG$36)))))</f>
        <v/>
      </c>
      <c r="M108" s="472">
        <f>SUMPRODUCT((ISNUMBER(SEARCH($Y11,Dienstplan!$B$25:$B$36))*(ISNUMBER(SEARCH($AB$13,Dienstplan!$C$25:$AG$36)))))</f>
        <v/>
      </c>
      <c r="N108" s="472">
        <f>SUMPRODUCT((ISNUMBER(SEARCH($Y11,Dienstplan!$B$25:$B$36))*(ISNUMBER(SEARCH($AB$14,Dienstplan!$C$25:$AG$36)))))</f>
        <v/>
      </c>
      <c r="O108" s="472">
        <f>SUMPRODUCT((ISNUMBER(SEARCH($Y11,Dienstplan!$B$25:$B$36))*(ISNUMBER(SEARCH($AB$15,Dienstplan!$C$25:$AG$36)))))</f>
        <v/>
      </c>
      <c r="P108" s="472">
        <f>SUMPRODUCT((ISNUMBER(SEARCH($Y11,Dienstplan!$B$25:$B$36))*(ISNUMBER(SEARCH($AB$16,Dienstplan!$C$25:$AG$36)))))</f>
        <v/>
      </c>
      <c r="Q108" s="472">
        <f>SUMPRODUCT((ISNUMBER(SEARCH($Y11,Dienstplan!$B$25:$B$36))*(ISNUMBER(SEARCH($AB$17,Dienstplan!$C$25:$AG$36)))))</f>
        <v/>
      </c>
      <c r="R108" s="472">
        <f>SUMPRODUCT((ISNUMBER(SEARCH($Y11,Dienstplan!$B$25:$B$36))*(ISNUMBER(SEARCH($AB$18,Dienstplan!$C$25:$AG$36)))))</f>
        <v/>
      </c>
      <c r="S108" s="472">
        <f>SUMPRODUCT((ISNUMBER(SEARCH($Y11,Dienstplan!$B$25:$B$36))*(ISNUMBER(SEARCH($AB$19,Dienstplan!$C$25:$AG$36)))))</f>
        <v/>
      </c>
      <c r="T108" s="472">
        <f>SUM($F$98*$Z11)</f>
        <v/>
      </c>
      <c r="U108" s="472">
        <f>SUM($C108*Frueh_1+$D108*Spaet_1+$E108*Nacht_1+$F108*Normal_1+$I108*Sonderd_1-$J108*Put_W+$K108*Put_W+$L108*EH_Kurs+$M108*Koor_taet+$N108*Sekre_1+$O108*Put_W+$R108*Put_W+$P108*Put_W+$Q108*Put_W+G108*Put_W+H108*Put_W)</f>
        <v/>
      </c>
      <c r="V108" s="472">
        <f>SUM($U108-$T108)</f>
        <v/>
      </c>
      <c r="W108" s="472">
        <f>V108+W92</f>
        <v/>
      </c>
      <c r="X108" s="472" t="n"/>
      <c r="Y108" s="472" t="n"/>
      <c r="Z108" s="472" t="n"/>
      <c r="AA108" s="472" t="n"/>
      <c r="AB108" s="472" t="n"/>
      <c r="AC108" s="472" t="n"/>
      <c r="AD108" s="472" t="n"/>
      <c r="AE108" s="472" t="n"/>
      <c r="AF108" s="472" t="n"/>
      <c r="AG108" s="472" t="n"/>
      <c r="AH108" s="472" t="n"/>
      <c r="AI108" s="472" t="n"/>
      <c r="AJ108" s="472" t="n"/>
    </row>
    <row r="109">
      <c r="A109" s="472" t="n"/>
      <c r="B109" s="471">
        <f>B13</f>
        <v/>
      </c>
      <c r="C109" s="472">
        <f>SUMPRODUCT((ISNUMBER(SEARCH($Y12,Dienstplan!$B$25:$B$36))*(ISNUMBER(SEARCH($AB$3,Dienstplan!$C$25:$AG$36)))))-D109</f>
        <v/>
      </c>
      <c r="D109" s="472">
        <f>SUMPRODUCT((ISNUMBER(SEARCH($Y12,Dienstplan!$B$25:$B$36))*(ISNUMBER(SEARCH($AB$4,Dienstplan!$C$25:$AG$36)))))</f>
        <v/>
      </c>
      <c r="E109" s="472">
        <f>SUMPRODUCT((ISNUMBER(SEARCH($Y12,Dienstplan!$B$25:$B$36))*(ISNUMBER(SEARCH($AB$5,Dienstplan!$C$25:$AG$36)))))</f>
        <v/>
      </c>
      <c r="F109" s="472">
        <f>SUMPRODUCT((ISNUMBER(SEARCH($Y12,Dienstplan!$B$25:$B$36))*(ISNUMBER(SEARCH($AB$6,Dienstplan!$C$25:$AG$36)))))</f>
        <v/>
      </c>
      <c r="G109" s="472">
        <f>SUMPRODUCT((ISNUMBER(SEARCH($Y12,Dienstplan!$B$25:$B$36))*(ISNUMBER(SEARCH($AB$7,Dienstplan!$C$25:$AG$36)))))-H109</f>
        <v/>
      </c>
      <c r="H109" s="472">
        <f>SUMPRODUCT((ISNUMBER(SEARCH($Y12,Dienstplan!$B$25:$B$36))*(ISNUMBER(SEARCH($AB$8,Dienstplan!$C$25:$AG$36)))))</f>
        <v/>
      </c>
      <c r="I109" s="472">
        <f>SUMPRODUCT((ISNUMBER(SEARCH($Y12,Dienstplan!$B$25:$B$36))*(ISNUMBER(SEARCH($AB$9,Dienstplan!$C$25:$AG$36)))))</f>
        <v/>
      </c>
      <c r="J109" s="472">
        <f>SUMPRODUCT((ISNUMBER(SEARCH($Y12,Dienstplan!$B$25:$B$36))*(ISNUMBER(SEARCH($AB$10,Dienstplan!$C$25:$AG$36)))))</f>
        <v/>
      </c>
      <c r="K109" s="472">
        <f>SUMPRODUCT((ISNUMBER(SEARCH($Y12,Dienstplan!$B$25:$B$36))*(ISNUMBER(SEARCH($AB$11,Dienstplan!$C$25:$AG$36)))))-$Q109</f>
        <v/>
      </c>
      <c r="L109" s="472">
        <f>SUMPRODUCT((ISNUMBER(SEARCH($Y12,Dienstplan!$B$25:$B$36))*(ISNUMBER(SEARCH($AB$12,Dienstplan!$C$25:$AG$36)))))</f>
        <v/>
      </c>
      <c r="M109" s="472">
        <f>SUMPRODUCT((ISNUMBER(SEARCH($Y12,Dienstplan!$B$25:$B$36))*(ISNUMBER(SEARCH($AB$13,Dienstplan!$C$25:$AG$36)))))</f>
        <v/>
      </c>
      <c r="N109" s="472">
        <f>SUMPRODUCT((ISNUMBER(SEARCH($Y12,Dienstplan!$B$25:$B$36))*(ISNUMBER(SEARCH($AB$14,Dienstplan!$C$25:$AG$36)))))</f>
        <v/>
      </c>
      <c r="O109" s="472">
        <f>SUMPRODUCT((ISNUMBER(SEARCH($Y12,Dienstplan!$B$25:$B$36))*(ISNUMBER(SEARCH($AB$15,Dienstplan!$C$25:$AG$36)))))</f>
        <v/>
      </c>
      <c r="P109" s="472">
        <f>SUMPRODUCT((ISNUMBER(SEARCH($Y12,Dienstplan!$B$25:$B$36))*(ISNUMBER(SEARCH($AB$16,Dienstplan!$C$25:$AG$36)))))</f>
        <v/>
      </c>
      <c r="Q109" s="472">
        <f>SUMPRODUCT((ISNUMBER(SEARCH($Y12,Dienstplan!$B$25:$B$36))*(ISNUMBER(SEARCH($AB$17,Dienstplan!$C$25:$AG$36)))))</f>
        <v/>
      </c>
      <c r="R109" s="472">
        <f>SUMPRODUCT((ISNUMBER(SEARCH($Y12,Dienstplan!$B$25:$B$36))*(ISNUMBER(SEARCH($AB$18,Dienstplan!$C$25:$AG$36)))))</f>
        <v/>
      </c>
      <c r="S109" s="472">
        <f>SUMPRODUCT((ISNUMBER(SEARCH($Y12,Dienstplan!$B$25:$B$36))*(ISNUMBER(SEARCH($AB$19,Dienstplan!$C$25:$AG$36)))))</f>
        <v/>
      </c>
      <c r="T109" s="472">
        <f>SUM($F$98*$Z12)</f>
        <v/>
      </c>
      <c r="U109" s="472">
        <f>SUM($C109*Frueh_1+$D109*Spaet_1+$E109*Nacht_1+$F109*Normal_1+$I109*Sonderd_1-$J109*Radi_L+$K109*Radi_L+$L109*EH_Kurs+$M109*Koor_taet+$N109*Sekre_1+$O109*Radi_L+$R109*Radi_L+$P109*Radi_L+$Q109*Radi_L+G109*Radi_L+H109*Radi_L)</f>
        <v/>
      </c>
      <c r="V109" s="472">
        <f>SUM($U109-$T109)</f>
        <v/>
      </c>
      <c r="W109" s="472">
        <f>V109+W93</f>
        <v/>
      </c>
      <c r="X109" s="472" t="n"/>
      <c r="Y109" s="472" t="n"/>
      <c r="Z109" s="472" t="n"/>
      <c r="AA109" s="472" t="n"/>
      <c r="AB109" s="472" t="n"/>
      <c r="AC109" s="472" t="n"/>
      <c r="AD109" s="472" t="n"/>
      <c r="AE109" s="472" t="n"/>
      <c r="AF109" s="472" t="n"/>
      <c r="AG109" s="472" t="n"/>
      <c r="AH109" s="472" t="n"/>
      <c r="AI109" s="472" t="n"/>
      <c r="AJ109" s="472" t="n"/>
    </row>
    <row r="110">
      <c r="A110" s="472" t="n"/>
      <c r="B110" s="471">
        <f>B14</f>
        <v/>
      </c>
      <c r="C110" s="472">
        <f>SUMPRODUCT((ISNUMBER(SEARCH($Y13,Dienstplan!$B$25:$B$36))*(ISNUMBER(SEARCH($AB$3,Dienstplan!$C$25:$AG$36)))))-D110</f>
        <v/>
      </c>
      <c r="D110" s="472">
        <f>SUMPRODUCT((ISNUMBER(SEARCH($Y13,Dienstplan!$B$25:$B$36))*(ISNUMBER(SEARCH($AB$4,Dienstplan!$C$25:$AG$36)))))</f>
        <v/>
      </c>
      <c r="E110" s="472">
        <f>SUMPRODUCT((ISNUMBER(SEARCH($Y13,Dienstplan!$B$25:$B$36))*(ISNUMBER(SEARCH($AB$5,Dienstplan!$C$25:$AG$36)))))</f>
        <v/>
      </c>
      <c r="F110" s="472">
        <f>SUMPRODUCT((ISNUMBER(SEARCH($Y13,Dienstplan!$B$25:$B$36))*(ISNUMBER(SEARCH($AB$6,Dienstplan!$C$25:$AG$36)))))</f>
        <v/>
      </c>
      <c r="G110" s="472">
        <f>SUMPRODUCT((ISNUMBER(SEARCH($Y13,Dienstplan!$B$25:$B$36))*(ISNUMBER(SEARCH($AB$7,Dienstplan!$C$25:$AG$36)))))-H110</f>
        <v/>
      </c>
      <c r="H110" s="472">
        <f>SUMPRODUCT((ISNUMBER(SEARCH($Y13,Dienstplan!$B$25:$B$36))*(ISNUMBER(SEARCH($AB$8,Dienstplan!$C$25:$AG$36)))))</f>
        <v/>
      </c>
      <c r="I110" s="472">
        <f>SUMPRODUCT((ISNUMBER(SEARCH($Y13,Dienstplan!$B$25:$B$36))*(ISNUMBER(SEARCH($AB$9,Dienstplan!$C$25:$AG$36)))))</f>
        <v/>
      </c>
      <c r="J110" s="472">
        <f>SUMPRODUCT((ISNUMBER(SEARCH($Y13,Dienstplan!$B$25:$B$36))*(ISNUMBER(SEARCH($AB$10,Dienstplan!$C$25:$AG$36)))))</f>
        <v/>
      </c>
      <c r="K110" s="472">
        <f>SUMPRODUCT((ISNUMBER(SEARCH($Y13,Dienstplan!$B$25:$B$36))*(ISNUMBER(SEARCH($AB$11,Dienstplan!$C$25:$AG$36)))))-$Q110</f>
        <v/>
      </c>
      <c r="L110" s="472">
        <f>SUMPRODUCT((ISNUMBER(SEARCH($Y13,Dienstplan!$B$25:$B$36))*(ISNUMBER(SEARCH($AB$12,Dienstplan!$C$25:$AG$36)))))</f>
        <v/>
      </c>
      <c r="M110" s="472">
        <f>SUMPRODUCT((ISNUMBER(SEARCH($Y13,Dienstplan!$B$25:$B$36))*(ISNUMBER(SEARCH($AB$13,Dienstplan!$C$25:$AG$36)))))</f>
        <v/>
      </c>
      <c r="N110" s="472">
        <f>SUMPRODUCT((ISNUMBER(SEARCH($Y13,Dienstplan!$B$25:$B$36))*(ISNUMBER(SEARCH($AB$14,Dienstplan!$C$25:$AG$36)))))</f>
        <v/>
      </c>
      <c r="O110" s="472">
        <f>SUMPRODUCT((ISNUMBER(SEARCH($Y13,Dienstplan!$B$25:$B$36))*(ISNUMBER(SEARCH($AB$15,Dienstplan!$C$25:$AG$36)))))</f>
        <v/>
      </c>
      <c r="P110" s="472">
        <f>SUMPRODUCT((ISNUMBER(SEARCH($Y13,Dienstplan!$B$25:$B$36))*(ISNUMBER(SEARCH($AB$16,Dienstplan!$C$25:$AG$36)))))</f>
        <v/>
      </c>
      <c r="Q110" s="472">
        <f>SUMPRODUCT((ISNUMBER(SEARCH($Y13,Dienstplan!$B$25:$B$36))*(ISNUMBER(SEARCH($AB$17,Dienstplan!$C$25:$AG$36)))))</f>
        <v/>
      </c>
      <c r="R110" s="472">
        <f>SUMPRODUCT((ISNUMBER(SEARCH($Y13,Dienstplan!$B$25:$B$36))*(ISNUMBER(SEARCH($AB$18,Dienstplan!$C$25:$AG$36)))))</f>
        <v/>
      </c>
      <c r="S110" s="472">
        <f>SUMPRODUCT((ISNUMBER(SEARCH($Y13,Dienstplan!$B$25:$B$36))*(ISNUMBER(SEARCH($AB$19,Dienstplan!$C$25:$AG$36)))))</f>
        <v/>
      </c>
      <c r="T110" s="472">
        <f>SUM($F$98*$Z13)</f>
        <v/>
      </c>
      <c r="U110" s="472">
        <f>SUM($C110*Frueh_1+$D110*Spaet_1+$E110*Nacht_1+$F110*Normal_1+$I110*Sonderd_1-$J110*Fortenb+$K110*Fortenb+$L110*EH_Kurs+$M110*Koor_taet+$N110*Sekre_1+$O110*Fortenb+$R110*Fortenb+$P110*Fortenb+$Q110*Fortenb+G110*Fortenb+H110*Fortenb)</f>
        <v/>
      </c>
      <c r="V110" s="472">
        <f>SUM($U110-$T110)</f>
        <v/>
      </c>
      <c r="W110" s="472">
        <f>V110+W94</f>
        <v/>
      </c>
      <c r="X110" s="472" t="n"/>
      <c r="Y110" s="472" t="n"/>
      <c r="Z110" s="472" t="n"/>
      <c r="AA110" s="472" t="n"/>
      <c r="AB110" s="472" t="n"/>
      <c r="AC110" s="472" t="n"/>
      <c r="AD110" s="472" t="n"/>
      <c r="AE110" s="472" t="n"/>
      <c r="AF110" s="472" t="n"/>
      <c r="AG110" s="472" t="n"/>
      <c r="AH110" s="472" t="n"/>
      <c r="AI110" s="472" t="n"/>
      <c r="AJ110" s="472" t="n"/>
    </row>
    <row r="111">
      <c r="A111" s="472" t="n"/>
      <c r="B111" s="471" t="n"/>
      <c r="C111" s="472" t="n"/>
      <c r="D111" s="472" t="n"/>
      <c r="E111" s="472" t="n"/>
      <c r="F111" s="472" t="n"/>
      <c r="G111" s="472" t="n"/>
      <c r="H111" s="472" t="n"/>
      <c r="I111" s="472" t="n"/>
      <c r="J111" s="472" t="n"/>
      <c r="K111" s="472" t="n"/>
      <c r="L111" s="472" t="n"/>
      <c r="M111" s="472" t="n"/>
      <c r="N111" s="472" t="n"/>
      <c r="O111" s="472" t="n"/>
      <c r="P111" s="472" t="n"/>
      <c r="Q111" s="472" t="n"/>
      <c r="R111" s="472" t="n"/>
      <c r="S111" s="472" t="n"/>
      <c r="T111" s="472" t="n"/>
      <c r="U111" s="472" t="n"/>
      <c r="V111" s="472" t="n"/>
      <c r="W111" s="472" t="n"/>
      <c r="X111" s="472" t="n"/>
      <c r="Y111" s="472" t="n"/>
      <c r="Z111" s="472" t="n"/>
      <c r="AA111" s="472" t="n"/>
      <c r="AB111" s="472" t="n"/>
      <c r="AC111" s="472" t="n"/>
      <c r="AD111" s="472" t="n"/>
      <c r="AE111" s="472" t="n"/>
      <c r="AF111" s="472" t="n"/>
      <c r="AG111" s="472" t="n"/>
      <c r="AH111" s="472" t="n"/>
      <c r="AI111" s="472" t="n"/>
      <c r="AJ111" s="472" t="n"/>
    </row>
    <row r="112">
      <c r="A112" s="483" t="n"/>
      <c r="B112" s="483" t="inlineStr">
        <is>
          <t>Summe</t>
        </is>
      </c>
      <c r="C112" s="483">
        <f>SUM(C100:C111)</f>
        <v/>
      </c>
      <c r="D112" s="483">
        <f>SUM(D100:D111)</f>
        <v/>
      </c>
      <c r="E112" s="483">
        <f>SUM(E100:E111)</f>
        <v/>
      </c>
      <c r="F112" s="483">
        <f>SUM(F100:F111)</f>
        <v/>
      </c>
      <c r="G112" s="483">
        <f>SUM(G100:G111)</f>
        <v/>
      </c>
      <c r="H112" s="483">
        <f>SUM(H100:H111)</f>
        <v/>
      </c>
      <c r="I112" s="483">
        <f>SUM(I100:I111)</f>
        <v/>
      </c>
      <c r="J112" s="483">
        <f>SUM(J100:J111)</f>
        <v/>
      </c>
      <c r="K112" s="483">
        <f>SUM(K100:K111)</f>
        <v/>
      </c>
      <c r="L112" s="483">
        <f>SUM(L100:L111)</f>
        <v/>
      </c>
      <c r="M112" s="483">
        <f>SUM(M100:M111)</f>
        <v/>
      </c>
      <c r="N112" s="483">
        <f>SUM(N100:N111)</f>
        <v/>
      </c>
      <c r="O112" s="483">
        <f>SUM(O100:O111)</f>
        <v/>
      </c>
      <c r="P112" s="483">
        <f>SUM(P100:P111)</f>
        <v/>
      </c>
      <c r="Q112" s="483">
        <f>SUM(Q100:Q111)</f>
        <v/>
      </c>
      <c r="R112" s="483">
        <f>SUM(R100:R111)</f>
        <v/>
      </c>
      <c r="S112" s="483">
        <f>SUM(S100:S111)</f>
        <v/>
      </c>
      <c r="T112" s="483">
        <f>SUM(T100:T108)</f>
        <v/>
      </c>
      <c r="U112" s="483">
        <f>SUM(U100:U108)</f>
        <v/>
      </c>
      <c r="V112" s="483" t="n"/>
      <c r="W112" s="483" t="n"/>
      <c r="X112" s="483" t="n"/>
      <c r="Y112" s="483" t="n"/>
      <c r="Z112" s="483" t="n"/>
      <c r="AA112" s="483" t="n"/>
      <c r="AB112" s="483" t="n"/>
      <c r="AC112" s="483" t="n"/>
      <c r="AD112" s="483" t="n"/>
      <c r="AE112" s="483" t="n"/>
      <c r="AF112" s="483" t="n"/>
      <c r="AG112" s="483" t="n"/>
      <c r="AH112" s="483" t="n"/>
      <c r="AI112" s="483" t="n"/>
      <c r="AJ112" s="483" t="n"/>
    </row>
    <row r="113">
      <c r="A113" s="11" t="n"/>
      <c r="B113" s="12" t="n"/>
      <c r="C113" s="1" t="n"/>
      <c r="D113" s="1" t="n"/>
      <c r="E113" s="1" t="n"/>
      <c r="F113" s="1" t="n"/>
      <c r="G113" s="1" t="n"/>
      <c r="H113" s="1" t="n"/>
      <c r="I113" s="1" t="n"/>
      <c r="J113" s="1" t="n"/>
      <c r="K113" s="1" t="n"/>
      <c r="L113" s="1" t="n"/>
      <c r="M113" s="1" t="n"/>
      <c r="N113" s="1" t="n"/>
      <c r="O113" s="1" t="n"/>
      <c r="P113" s="1" t="n"/>
      <c r="Q113" s="1" t="n"/>
      <c r="R113" s="1" t="n"/>
      <c r="S113" s="12" t="n"/>
      <c r="T113" s="1" t="n"/>
      <c r="U113" s="1" t="n"/>
      <c r="V113" s="12" t="n"/>
      <c r="W113" s="17" t="n"/>
    </row>
    <row r="114">
      <c r="A114" s="475" t="n"/>
      <c r="B114" s="476" t="inlineStr">
        <is>
          <t>August</t>
        </is>
      </c>
      <c r="C114" s="475" t="n"/>
      <c r="D114" s="477" t="inlineStr">
        <is>
          <t>Arbeitstage</t>
        </is>
      </c>
      <c r="E114" s="475" t="n"/>
      <c r="F114" s="478" t="n">
        <v>23</v>
      </c>
      <c r="G114" s="479" t="n"/>
      <c r="H114" s="479" t="n"/>
      <c r="I114" s="477" t="inlineStr">
        <is>
          <t>Samstage</t>
        </is>
      </c>
      <c r="J114" s="475" t="n"/>
      <c r="K114" s="478" t="n">
        <v>4</v>
      </c>
      <c r="L114" s="475" t="n"/>
      <c r="M114" s="475" t="n"/>
      <c r="N114" s="475" t="n"/>
      <c r="O114" s="475" t="n"/>
      <c r="P114" s="475" t="n"/>
      <c r="Q114" s="475" t="n"/>
      <c r="R114" s="475" t="n"/>
      <c r="S114" s="475" t="n"/>
      <c r="T114" s="475" t="n"/>
      <c r="U114" s="475" t="n"/>
      <c r="V114" s="475" t="n"/>
      <c r="W114" s="475" t="n"/>
      <c r="X114" s="475" t="n"/>
      <c r="Y114" s="475" t="n"/>
      <c r="Z114" s="475" t="n"/>
      <c r="AA114" s="475" t="n"/>
      <c r="AB114" s="475" t="n"/>
      <c r="AC114" s="475" t="n"/>
      <c r="AD114" s="475" t="n"/>
      <c r="AE114" s="475" t="n"/>
      <c r="AF114" s="475" t="n"/>
      <c r="AG114" s="475" t="n"/>
      <c r="AH114" s="475" t="n"/>
      <c r="AI114" s="475" t="n"/>
      <c r="AJ114" s="475" t="n"/>
    </row>
    <row r="115">
      <c r="A115" s="480" t="n"/>
      <c r="B115" s="480" t="n"/>
      <c r="C115" s="480">
        <f>Jahr!C3</f>
        <v/>
      </c>
      <c r="D115" s="480">
        <f>Jahr!D3</f>
        <v/>
      </c>
      <c r="E115" s="480">
        <f>Jahr!E3</f>
        <v/>
      </c>
      <c r="F115" s="480">
        <f>Jahr!F3</f>
        <v/>
      </c>
      <c r="G115" s="480">
        <f>Jahr!G3</f>
        <v/>
      </c>
      <c r="H115" s="480">
        <f>Jahr!H3</f>
        <v/>
      </c>
      <c r="I115" s="480">
        <f>Jahr!I3</f>
        <v/>
      </c>
      <c r="J115" s="480">
        <f>Jahr!J3</f>
        <v/>
      </c>
      <c r="K115" s="480">
        <f>Jahr!K3</f>
        <v/>
      </c>
      <c r="L115" s="480">
        <f>Jahr!L3</f>
        <v/>
      </c>
      <c r="M115" s="480">
        <f>Jahr!M3</f>
        <v/>
      </c>
      <c r="N115" s="480">
        <f>Jahr!N3</f>
        <v/>
      </c>
      <c r="O115" s="480">
        <f>Jahr!O3</f>
        <v/>
      </c>
      <c r="P115" s="480">
        <f>Jahr!P3</f>
        <v/>
      </c>
      <c r="Q115" s="480">
        <f>Jahr!Q3</f>
        <v/>
      </c>
      <c r="R115" s="480">
        <f>Jahr!R3</f>
        <v/>
      </c>
      <c r="S115" s="480">
        <f>Jahr!S3</f>
        <v/>
      </c>
      <c r="T115" s="480" t="inlineStr">
        <is>
          <t>Soll AZ</t>
        </is>
      </c>
      <c r="U115" s="480" t="inlineStr">
        <is>
          <t>Ist AZ</t>
        </is>
      </c>
      <c r="V115" s="480" t="inlineStr">
        <is>
          <t>Differenz</t>
        </is>
      </c>
      <c r="W115" s="480" t="inlineStr">
        <is>
          <t>Gesamt</t>
        </is>
      </c>
      <c r="X115" s="480" t="n"/>
      <c r="Y115" s="480" t="n"/>
      <c r="Z115" s="480" t="n"/>
      <c r="AA115" s="480" t="n"/>
      <c r="AB115" s="480" t="n"/>
      <c r="AC115" s="480" t="n"/>
      <c r="AD115" s="480" t="n"/>
      <c r="AE115" s="480" t="n"/>
      <c r="AF115" s="480" t="n"/>
      <c r="AG115" s="480" t="n"/>
      <c r="AH115" s="480" t="n"/>
      <c r="AI115" s="480" t="n"/>
      <c r="AJ115" s="480" t="n"/>
    </row>
    <row r="116">
      <c r="A116" s="472" t="n"/>
      <c r="B116" s="471">
        <f>B4</f>
        <v/>
      </c>
      <c r="C116" s="472">
        <f>SUMPRODUCT((ISNUMBER(SEARCH($Y3,Dienstplan!$B$25:$B$36))*(ISNUMBER(SEARCH($AB$3,Dienstplan!$AH$25:$BL$36)))))-D116</f>
        <v/>
      </c>
      <c r="D116" s="472">
        <f>SUMPRODUCT((ISNUMBER(SEARCH($Y3,Dienstplan!$B$25:$B$36))*(ISNUMBER(SEARCH($AB$4,Dienstplan!$AH$25:$BL$36)))))</f>
        <v/>
      </c>
      <c r="E116" s="472">
        <f>SUMPRODUCT((ISNUMBER(SEARCH($Y3,Dienstplan!$B$25:$B$36))*(ISNUMBER(SEARCH($AB$5,Dienstplan!$AH$25:$BL$36)))))</f>
        <v/>
      </c>
      <c r="F116" s="472">
        <f>SUMPRODUCT((ISNUMBER(SEARCH($Y3,Dienstplan!$B$25:$B$36))*(ISNUMBER(SEARCH($AB$6,Dienstplan!$AH$25:$BL$36)))))</f>
        <v/>
      </c>
      <c r="G116" s="472">
        <f>SUMPRODUCT((ISNUMBER(SEARCH($Y3,Dienstplan!$B$25:$B$36))*(ISNUMBER(SEARCH($AB$7,Dienstplan!$AH$25:$BL$36)))))-H116</f>
        <v/>
      </c>
      <c r="H116" s="472">
        <f>SUMPRODUCT((ISNUMBER(SEARCH($Y3,Dienstplan!$B$25:$B$36))*(ISNUMBER(SEARCH($AB$8,Dienstplan!$AH$25:$BL$36)))))</f>
        <v/>
      </c>
      <c r="I116" s="472">
        <f>SUMPRODUCT((ISNUMBER(SEARCH($Y3,Dienstplan!$B$25:$B$36))*(ISNUMBER(SEARCH($AB$9,Dienstplan!$AH$25:$BL$36)))))</f>
        <v/>
      </c>
      <c r="J116" s="472">
        <f>SUMPRODUCT((ISNUMBER(SEARCH($Y3,Dienstplan!$B$25:$B$36))*(ISNUMBER(SEARCH($AB$10,Dienstplan!$AH$25:$BL$36)))))</f>
        <v/>
      </c>
      <c r="K116" s="472">
        <f>SUMPRODUCT((ISNUMBER(SEARCH($Y3,Dienstplan!$B$25:$B$36))*(ISNUMBER(SEARCH($AB$11,Dienstplan!$AH$25:$BL$36)))))-$Q116</f>
        <v/>
      </c>
      <c r="L116" s="472">
        <f>SUMPRODUCT((ISNUMBER(SEARCH($Y3,Dienstplan!$B$25:$B$36))*(ISNUMBER(SEARCH($AB$12,Dienstplan!$AH$25:$BL$36)))))</f>
        <v/>
      </c>
      <c r="M116" s="472">
        <f>SUMPRODUCT((ISNUMBER(SEARCH($Y3,Dienstplan!$B$25:$B$36))*(ISNUMBER(SEARCH($AB$13,Dienstplan!$AH$25:$BL$36)))))</f>
        <v/>
      </c>
      <c r="N116" s="472">
        <f>SUMPRODUCT((ISNUMBER(SEARCH($Y3,Dienstplan!$B$25:$B$36))*(ISNUMBER(SEARCH($AB$14,Dienstplan!$AH$25:$BL$36)))))</f>
        <v/>
      </c>
      <c r="O116" s="472">
        <f>SUMPRODUCT((ISNUMBER(SEARCH($Y3,Dienstplan!$B$25:$B$36))*(ISNUMBER(SEARCH($AB$15,Dienstplan!$AH$25:$BL$36)))))</f>
        <v/>
      </c>
      <c r="P116" s="472">
        <f>SUMPRODUCT((ISNUMBER(SEARCH($Y3,Dienstplan!$B$25:$B$36))*(ISNUMBER(SEARCH($AB$16,Dienstplan!$AH$25:$BL$36)))))</f>
        <v/>
      </c>
      <c r="Q116" s="472">
        <f>SUMPRODUCT((ISNUMBER(SEARCH($Y3,Dienstplan!$B$25:$B$36))*(ISNUMBER(SEARCH($AB$17,Dienstplan!$AH$25:$BL$36)))))</f>
        <v/>
      </c>
      <c r="R116" s="472">
        <f>SUMPRODUCT((ISNUMBER(SEARCH($Y3,Dienstplan!$B$25:$B$36))*(ISNUMBER(SEARCH($AB$18,Dienstplan!$AH$25:$BL$36)))))</f>
        <v/>
      </c>
      <c r="S116" s="472">
        <f>SUMPRODUCT((ISNUMBER(SEARCH($Y3,Dienstplan!$B$25:$B$36))*(ISNUMBER(SEARCH($AB$19,Dienstplan!$AH$25:$BL$36)))))</f>
        <v/>
      </c>
      <c r="T116" s="472">
        <f>SUM($F$114*$Z3)</f>
        <v/>
      </c>
      <c r="U116" s="472">
        <f>SUM($C116*Frueh_1+$D116*Spaet_1+$E116*Nacht_1+$F116*Normal_1+$I116*Sonderd_1-$J116*Velten+$K116*Velten+$L116*EH_Kurs+$M116*Koor_taet+$N116*Sekre_1+$O116*Velten+$R116*Velten+$P116*Velten+$Q116*Velten+G116*Velt_M+H116*Velt_M)</f>
        <v/>
      </c>
      <c r="V116" s="472">
        <f>SUM($U116-$T116)</f>
        <v/>
      </c>
      <c r="W116" s="472">
        <f>V116+W100</f>
        <v/>
      </c>
      <c r="X116" s="472" t="n"/>
      <c r="Y116" s="472" t="n"/>
      <c r="Z116" s="472" t="n"/>
      <c r="AA116" s="472" t="n"/>
      <c r="AB116" s="472" t="n"/>
      <c r="AC116" s="472" t="n"/>
      <c r="AD116" s="472" t="n"/>
      <c r="AE116" s="472" t="n"/>
      <c r="AF116" s="472" t="n"/>
      <c r="AG116" s="472" t="n"/>
      <c r="AH116" s="472" t="n"/>
      <c r="AI116" s="472" t="n"/>
      <c r="AJ116" s="472" t="n"/>
    </row>
    <row r="117">
      <c r="A117" s="472" t="n"/>
      <c r="B117" s="471">
        <f>B5</f>
        <v/>
      </c>
      <c r="C117" s="472">
        <f>SUMPRODUCT((ISNUMBER(SEARCH($Y4,Dienstplan!$B$25:$B$36))*(ISNUMBER(SEARCH($AB$3,Dienstplan!$AH$25:$BL$36)))))-D117</f>
        <v/>
      </c>
      <c r="D117" s="472">
        <f>SUMPRODUCT((ISNUMBER(SEARCH($Y4,Dienstplan!$B$25:$B$36))*(ISNUMBER(SEARCH($AB$4,Dienstplan!$AH$25:$BL$36)))))</f>
        <v/>
      </c>
      <c r="E117" s="472">
        <f>SUMPRODUCT((ISNUMBER(SEARCH($Y4,Dienstplan!$B$25:$B$36))*(ISNUMBER(SEARCH($AB$5,Dienstplan!$AH$25:$BL$36)))))</f>
        <v/>
      </c>
      <c r="F117" s="472">
        <f>SUMPRODUCT((ISNUMBER(SEARCH($Y4,Dienstplan!$B$25:$B$36))*(ISNUMBER(SEARCH($AB$6,Dienstplan!$AH$25:$BL$36)))))</f>
        <v/>
      </c>
      <c r="G117" s="472">
        <f>SUMPRODUCT((ISNUMBER(SEARCH($Y4,Dienstplan!$B$25:$B$36))*(ISNUMBER(SEARCH($AB$7,Dienstplan!$AH$25:$BL$36)))))-H117</f>
        <v/>
      </c>
      <c r="H117" s="472">
        <f>SUMPRODUCT((ISNUMBER(SEARCH($Y4,Dienstplan!$B$25:$B$36))*(ISNUMBER(SEARCH($AB$8,Dienstplan!$AH$25:$BL$36)))))</f>
        <v/>
      </c>
      <c r="I117" s="472">
        <f>SUMPRODUCT((ISNUMBER(SEARCH($Y4,Dienstplan!$B$25:$B$36))*(ISNUMBER(SEARCH($AB$9,Dienstplan!$AH$25:$BL$36)))))</f>
        <v/>
      </c>
      <c r="J117" s="472">
        <f>SUMPRODUCT((ISNUMBER(SEARCH($Y4,Dienstplan!$B$25:$B$36))*(ISNUMBER(SEARCH($AB$10,Dienstplan!$AH$25:$BL$36)))))</f>
        <v/>
      </c>
      <c r="K117" s="472">
        <f>SUMPRODUCT((ISNUMBER(SEARCH($Y4,Dienstplan!$B$25:$B$36))*(ISNUMBER(SEARCH($AB$11,Dienstplan!$AH$25:$BL$36)))))-$Q117</f>
        <v/>
      </c>
      <c r="L117" s="472">
        <f>SUMPRODUCT((ISNUMBER(SEARCH($Y4,Dienstplan!$B$25:$B$36))*(ISNUMBER(SEARCH($AB$12,Dienstplan!$AH$25:$BL$36)))))</f>
        <v/>
      </c>
      <c r="M117" s="472">
        <f>SUMPRODUCT((ISNUMBER(SEARCH($Y4,Dienstplan!$B$25:$B$36))*(ISNUMBER(SEARCH($AB$13,Dienstplan!$AH$25:$BL$36)))))</f>
        <v/>
      </c>
      <c r="N117" s="472">
        <f>SUMPRODUCT((ISNUMBER(SEARCH($Y4,Dienstplan!$B$25:$B$36))*(ISNUMBER(SEARCH($AB$14,Dienstplan!$AH$25:$BL$36)))))</f>
        <v/>
      </c>
      <c r="O117" s="472">
        <f>SUMPRODUCT((ISNUMBER(SEARCH($Y4,Dienstplan!$B$25:$B$36))*(ISNUMBER(SEARCH($AB$15,Dienstplan!$AH$25:$BL$36)))))</f>
        <v/>
      </c>
      <c r="P117" s="472">
        <f>SUMPRODUCT((ISNUMBER(SEARCH($Y4,Dienstplan!$B$25:$B$36))*(ISNUMBER(SEARCH($AB$16,Dienstplan!$AH$25:$BL$36)))))</f>
        <v/>
      </c>
      <c r="Q117" s="472">
        <f>SUMPRODUCT((ISNUMBER(SEARCH($Y4,Dienstplan!$B$25:$B$36))*(ISNUMBER(SEARCH($AB$17,Dienstplan!$AH$25:$BL$36)))))</f>
        <v/>
      </c>
      <c r="R117" s="472">
        <f>SUMPRODUCT((ISNUMBER(SEARCH($Y4,Dienstplan!$B$25:$B$36))*(ISNUMBER(SEARCH($AB$18,Dienstplan!$AH$25:$BL$36)))))</f>
        <v/>
      </c>
      <c r="S117" s="472">
        <f>SUMPRODUCT((ISNUMBER(SEARCH($Y4,Dienstplan!$B$25:$B$36))*(ISNUMBER(SEARCH($AB$19,Dienstplan!$AH$25:$BL$36)))))</f>
        <v/>
      </c>
      <c r="T117" s="472">
        <f>SUM($F$114*$Z4)</f>
        <v/>
      </c>
      <c r="U117" s="472">
        <f>SUM($C117*Frueh_1+$D117*Spaet_1+$E117*Nacht_1+$F117*Normal_1+$I117*Sonderd_1-$J117*Brue_H+$K117*Brue_H+$L117*EH_Kurs+$M117*Koor_taet+$N117*Sekre_1+$O117*Brue_H+$R117*Brue_H+$P117*Brue_H+$Q117*Brue_H+G117*Brue_H+H117*Brue_H)</f>
        <v/>
      </c>
      <c r="V117" s="472">
        <f>SUM($U117-$T117)</f>
        <v/>
      </c>
      <c r="W117" s="472">
        <f>V117+W101</f>
        <v/>
      </c>
      <c r="X117" s="472" t="n"/>
      <c r="Y117" s="472" t="n"/>
      <c r="Z117" s="472" t="n"/>
      <c r="AA117" s="472" t="n"/>
      <c r="AB117" s="472" t="n"/>
      <c r="AC117" s="472" t="n"/>
      <c r="AD117" s="472" t="n"/>
      <c r="AE117" s="472" t="n"/>
      <c r="AF117" s="472" t="n"/>
      <c r="AG117" s="472" t="n"/>
      <c r="AH117" s="472" t="n"/>
      <c r="AI117" s="472" t="n"/>
      <c r="AJ117" s="472" t="n"/>
    </row>
    <row r="118">
      <c r="A118" s="472" t="n"/>
      <c r="B118" s="471">
        <f>B6</f>
        <v/>
      </c>
      <c r="C118" s="472">
        <f>SUMPRODUCT((ISNUMBER(SEARCH($Y5,Dienstplan!$B$25:$B$36))*(ISNUMBER(SEARCH($AB$3,Dienstplan!$AH$25:$BL$36)))))-D118</f>
        <v/>
      </c>
      <c r="D118" s="472">
        <f>SUMPRODUCT((ISNUMBER(SEARCH($Y5,Dienstplan!$B$25:$B$36))*(ISNUMBER(SEARCH($AB$4,Dienstplan!$AH$25:$BL$36)))))</f>
        <v/>
      </c>
      <c r="E118" s="472">
        <f>SUMPRODUCT((ISNUMBER(SEARCH($Y5,Dienstplan!$B$25:$B$36))*(ISNUMBER(SEARCH($AB$5,Dienstplan!$AH$25:$BL$36)))))</f>
        <v/>
      </c>
      <c r="F118" s="472">
        <f>SUMPRODUCT((ISNUMBER(SEARCH($Y5,Dienstplan!$B$25:$B$36))*(ISNUMBER(SEARCH($AB$6,Dienstplan!$AH$25:$BL$36)))))</f>
        <v/>
      </c>
      <c r="G118" s="472">
        <f>SUMPRODUCT((ISNUMBER(SEARCH($Y5,Dienstplan!$B$25:$B$36))*(ISNUMBER(SEARCH($AB$7,Dienstplan!$AH$25:$BL$36)))))-H118</f>
        <v/>
      </c>
      <c r="H118" s="472">
        <f>SUMPRODUCT((ISNUMBER(SEARCH($Y5,Dienstplan!$B$25:$B$36))*(ISNUMBER(SEARCH($AB$8,Dienstplan!$AH$25:$BL$36)))))</f>
        <v/>
      </c>
      <c r="I118" s="472">
        <f>SUMPRODUCT((ISNUMBER(SEARCH($Y5,Dienstplan!$B$25:$B$36))*(ISNUMBER(SEARCH($AB$9,Dienstplan!$AH$25:$BL$36)))))</f>
        <v/>
      </c>
      <c r="J118" s="472">
        <f>SUMPRODUCT((ISNUMBER(SEARCH($Y5,Dienstplan!$B$25:$B$36))*(ISNUMBER(SEARCH($AB$10,Dienstplan!$AH$25:$BL$36)))))</f>
        <v/>
      </c>
      <c r="K118" s="472">
        <f>SUMPRODUCT((ISNUMBER(SEARCH($Y5,Dienstplan!$B$25:$B$36))*(ISNUMBER(SEARCH($AB$11,Dienstplan!$AH$25:$BL$36)))))-$Q118</f>
        <v/>
      </c>
      <c r="L118" s="472">
        <f>SUMPRODUCT((ISNUMBER(SEARCH($Y5,Dienstplan!$B$25:$B$36))*(ISNUMBER(SEARCH($AB$12,Dienstplan!$AH$25:$BL$36)))))</f>
        <v/>
      </c>
      <c r="M118" s="472">
        <f>SUMPRODUCT((ISNUMBER(SEARCH($Y5,Dienstplan!$B$25:$B$36))*(ISNUMBER(SEARCH($AB$13,Dienstplan!$AH$25:$BL$36)))))</f>
        <v/>
      </c>
      <c r="N118" s="472">
        <f>SUMPRODUCT((ISNUMBER(SEARCH($Y5,Dienstplan!$B$25:$B$36))*(ISNUMBER(SEARCH($AB$14,Dienstplan!$AH$25:$BL$36)))))</f>
        <v/>
      </c>
      <c r="O118" s="472">
        <f>SUMPRODUCT((ISNUMBER(SEARCH($Y5,Dienstplan!$B$25:$B$36))*(ISNUMBER(SEARCH($AB$15,Dienstplan!$AH$25:$BL$36)))))</f>
        <v/>
      </c>
      <c r="P118" s="472">
        <f>SUMPRODUCT((ISNUMBER(SEARCH($Y5,Dienstplan!$B$25:$B$36))*(ISNUMBER(SEARCH($AB$16,Dienstplan!$AH$25:$BL$36)))))</f>
        <v/>
      </c>
      <c r="Q118" s="472">
        <f>SUMPRODUCT((ISNUMBER(SEARCH($Y5,Dienstplan!$B$25:$B$36))*(ISNUMBER(SEARCH($AB$17,Dienstplan!$AH$25:$BL$36)))))</f>
        <v/>
      </c>
      <c r="R118" s="472">
        <f>SUMPRODUCT((ISNUMBER(SEARCH($Y5,Dienstplan!$B$25:$B$36))*(ISNUMBER(SEARCH($AB$18,Dienstplan!$AH$25:$BL$36)))))</f>
        <v/>
      </c>
      <c r="S118" s="472">
        <f>SUMPRODUCT((ISNUMBER(SEARCH($Y5,Dienstplan!$B$25:$B$36))*(ISNUMBER(SEARCH($AB$19,Dienstplan!$AH$25:$BL$36)))))</f>
        <v/>
      </c>
      <c r="T118" s="472">
        <f>SUM($F$114*$Z5)</f>
        <v/>
      </c>
      <c r="U118" s="472">
        <f>SUM($C118*Frueh_1+$D118*Spaet_1+$E118*Nacht_1+$F118*Normal_1+$I118*Sonderd_1-$J118*Rath_M+$K118*Rath_M+$L118*EH_Kurs+$M118*Koor_taet+$N118*Sekre_1+$O118*Rath_M+$R118*Rath_M+$P118*Rath_M+$Q118*Rath_M+G118*Rath_M+H118*Rath_M)</f>
        <v/>
      </c>
      <c r="V118" s="472">
        <f>SUM($U118-$T118)</f>
        <v/>
      </c>
      <c r="W118" s="472">
        <f>V118+W102</f>
        <v/>
      </c>
      <c r="X118" s="472" t="n"/>
      <c r="Y118" s="472" t="n"/>
      <c r="Z118" s="472" t="n"/>
      <c r="AA118" s="472" t="n"/>
      <c r="AB118" s="472" t="n"/>
      <c r="AC118" s="472" t="n"/>
      <c r="AD118" s="472" t="n"/>
      <c r="AE118" s="472" t="n"/>
      <c r="AF118" s="472" t="n"/>
      <c r="AG118" s="472" t="n"/>
      <c r="AH118" s="472" t="n"/>
      <c r="AI118" s="472" t="n"/>
      <c r="AJ118" s="472" t="n"/>
    </row>
    <row r="119">
      <c r="A119" s="472" t="n"/>
      <c r="B119" s="471">
        <f>B7</f>
        <v/>
      </c>
      <c r="C119" s="472">
        <f>SUMPRODUCT((ISNUMBER(SEARCH($Y6,Dienstplan!$B$25:$B$36))*(ISNUMBER(SEARCH($AB$3,Dienstplan!$AH$25:$BL$36)))))-D119</f>
        <v/>
      </c>
      <c r="D119" s="472">
        <f>SUMPRODUCT((ISNUMBER(SEARCH($Y6,Dienstplan!$B$25:$B$36))*(ISNUMBER(SEARCH($AB$4,Dienstplan!$AH$25:$BL$36)))))</f>
        <v/>
      </c>
      <c r="E119" s="472">
        <f>SUMPRODUCT((ISNUMBER(SEARCH($Y6,Dienstplan!$B$25:$B$36))*(ISNUMBER(SEARCH($AB$5,Dienstplan!$AH$25:$BL$36)))))</f>
        <v/>
      </c>
      <c r="F119" s="472">
        <f>SUMPRODUCT((ISNUMBER(SEARCH($Y6,Dienstplan!$B$25:$B$36))*(ISNUMBER(SEARCH($AB$6,Dienstplan!$AH$25:$BL$36)))))</f>
        <v/>
      </c>
      <c r="G119" s="472">
        <f>SUMPRODUCT((ISNUMBER(SEARCH($Y6,Dienstplan!$B$25:$B$36))*(ISNUMBER(SEARCH($AB$7,Dienstplan!$AH$25:$BL$36)))))-H119</f>
        <v/>
      </c>
      <c r="H119" s="472">
        <f>SUMPRODUCT((ISNUMBER(SEARCH($Y6,Dienstplan!$B$25:$B$36))*(ISNUMBER(SEARCH($AB$8,Dienstplan!$AH$25:$BL$36)))))</f>
        <v/>
      </c>
      <c r="I119" s="472">
        <f>SUMPRODUCT((ISNUMBER(SEARCH($Y6,Dienstplan!$B$25:$B$36))*(ISNUMBER(SEARCH($AB$9,Dienstplan!$AH$25:$BL$36)))))</f>
        <v/>
      </c>
      <c r="J119" s="472">
        <f>SUMPRODUCT((ISNUMBER(SEARCH($Y6,Dienstplan!$B$25:$B$36))*(ISNUMBER(SEARCH($AB$10,Dienstplan!$AH$25:$BL$36)))))</f>
        <v/>
      </c>
      <c r="K119" s="472">
        <f>SUMPRODUCT((ISNUMBER(SEARCH($Y6,Dienstplan!$B$25:$B$36))*(ISNUMBER(SEARCH($AB$11,Dienstplan!$AH$25:$BL$36)))))-$Q119</f>
        <v/>
      </c>
      <c r="L119" s="472">
        <f>SUMPRODUCT((ISNUMBER(SEARCH($Y6,Dienstplan!$B$25:$B$36))*(ISNUMBER(SEARCH($AB$12,Dienstplan!$AH$25:$BL$36)))))</f>
        <v/>
      </c>
      <c r="M119" s="472">
        <f>SUMPRODUCT((ISNUMBER(SEARCH($Y6,Dienstplan!$B$25:$B$36))*(ISNUMBER(SEARCH($AB$13,Dienstplan!$AH$25:$BL$36)))))</f>
        <v/>
      </c>
      <c r="N119" s="472">
        <f>SUMPRODUCT((ISNUMBER(SEARCH($Y6,Dienstplan!$B$25:$B$36))*(ISNUMBER(SEARCH($AB$14,Dienstplan!$AH$25:$BL$36)))))</f>
        <v/>
      </c>
      <c r="O119" s="472">
        <f>SUMPRODUCT((ISNUMBER(SEARCH($Y6,Dienstplan!$B$25:$B$36))*(ISNUMBER(SEARCH($AB$15,Dienstplan!$AH$25:$BL$36)))))</f>
        <v/>
      </c>
      <c r="P119" s="472">
        <f>SUMPRODUCT((ISNUMBER(SEARCH($Y6,Dienstplan!$B$25:$B$36))*(ISNUMBER(SEARCH($AB$16,Dienstplan!$AH$25:$BL$36)))))</f>
        <v/>
      </c>
      <c r="Q119" s="472">
        <f>SUMPRODUCT((ISNUMBER(SEARCH($Y6,Dienstplan!$B$25:$B$36))*(ISNUMBER(SEARCH($AB$17,Dienstplan!$AH$25:$BL$36)))))</f>
        <v/>
      </c>
      <c r="R119" s="472">
        <f>SUMPRODUCT((ISNUMBER(SEARCH($Y6,Dienstplan!$B$25:$B$36))*(ISNUMBER(SEARCH($AB$18,Dienstplan!$AH$25:$BL$36)))))</f>
        <v/>
      </c>
      <c r="S119" s="472">
        <f>SUMPRODUCT((ISNUMBER(SEARCH($Y6,Dienstplan!$B$25:$B$36))*(ISNUMBER(SEARCH($AB$19,Dienstplan!$AH$25:$BL$36)))))</f>
        <v/>
      </c>
      <c r="T119" s="472">
        <f>SUM($F$114*$Z6)</f>
        <v/>
      </c>
      <c r="U119" s="472">
        <f>SUM($C119*Frueh_1+$D119*Spaet_1+$E119*Nacht_1+$F119*Normal_1+$I119*Sonderd_1-$J119*Scho_K+$K119*Scho_K+$L119*EH_Kurs+$M119*Koor_taet+$N119*Sekre_1+$O119*Scho_K+$R119*Scho_K+$P119*Scho_K+$Q119*Scho_K+G119*Scho_K+H119*Scho_K)</f>
        <v/>
      </c>
      <c r="V119" s="472">
        <f>SUM($U119-$T119)</f>
        <v/>
      </c>
      <c r="W119" s="472">
        <f>V119+W103</f>
        <v/>
      </c>
      <c r="X119" s="472" t="n"/>
      <c r="Y119" s="472" t="n"/>
      <c r="Z119" s="472" t="n"/>
      <c r="AA119" s="472" t="n"/>
      <c r="AB119" s="472" t="n"/>
      <c r="AC119" s="472" t="n"/>
      <c r="AD119" s="472" t="n"/>
      <c r="AE119" s="472" t="n"/>
      <c r="AF119" s="472" t="n"/>
      <c r="AG119" s="472" t="n"/>
      <c r="AH119" s="472" t="n"/>
      <c r="AI119" s="472" t="n"/>
      <c r="AJ119" s="472" t="n"/>
    </row>
    <row r="120">
      <c r="A120" s="472" t="n"/>
      <c r="B120" s="471">
        <f>B8</f>
        <v/>
      </c>
      <c r="C120" s="472">
        <f>SUMPRODUCT((ISNUMBER(SEARCH($Y7,Dienstplan!$B$25:$B$36))*(ISNUMBER(SEARCH($AB$3,Dienstplan!$AH$25:$BL$36)))))-D120</f>
        <v/>
      </c>
      <c r="D120" s="472">
        <f>SUMPRODUCT((ISNUMBER(SEARCH($Y7,Dienstplan!$B$25:$B$36))*(ISNUMBER(SEARCH($AB$4,Dienstplan!$AH$25:$BL$36)))))</f>
        <v/>
      </c>
      <c r="E120" s="472">
        <f>SUMPRODUCT((ISNUMBER(SEARCH($Y7,Dienstplan!$B$25:$B$36))*(ISNUMBER(SEARCH($AB$5,Dienstplan!$AH$25:$BL$36)))))</f>
        <v/>
      </c>
      <c r="F120" s="472">
        <f>SUMPRODUCT((ISNUMBER(SEARCH($Y7,Dienstplan!$B$25:$B$36))*(ISNUMBER(SEARCH($AB$6,Dienstplan!$AH$25:$BL$36)))))</f>
        <v/>
      </c>
      <c r="G120" s="472">
        <f>SUMPRODUCT((ISNUMBER(SEARCH($Y7,Dienstplan!$B$25:$B$36))*(ISNUMBER(SEARCH($AB$7,Dienstplan!$AH$25:$BL$36)))))-H120</f>
        <v/>
      </c>
      <c r="H120" s="472">
        <f>SUMPRODUCT((ISNUMBER(SEARCH($Y7,Dienstplan!$B$25:$B$36))*(ISNUMBER(SEARCH($AB$8,Dienstplan!$AH$25:$BL$36)))))</f>
        <v/>
      </c>
      <c r="I120" s="472">
        <f>SUMPRODUCT((ISNUMBER(SEARCH($Y7,Dienstplan!$B$25:$B$36))*(ISNUMBER(SEARCH($AB$9,Dienstplan!$AH$25:$BL$36)))))</f>
        <v/>
      </c>
      <c r="J120" s="472">
        <f>SUMPRODUCT((ISNUMBER(SEARCH($Y7,Dienstplan!$B$25:$B$36))*(ISNUMBER(SEARCH($AB$10,Dienstplan!$AH$25:$BL$36)))))</f>
        <v/>
      </c>
      <c r="K120" s="472">
        <f>SUMPRODUCT((ISNUMBER(SEARCH($Y7,Dienstplan!$B$25:$B$36))*(ISNUMBER(SEARCH($AB$11,Dienstplan!$AH$25:$BL$36)))))-$Q120</f>
        <v/>
      </c>
      <c r="L120" s="472">
        <f>SUMPRODUCT((ISNUMBER(SEARCH($Y7,Dienstplan!$B$25:$B$36))*(ISNUMBER(SEARCH($AB$12,Dienstplan!$AH$25:$BL$36)))))</f>
        <v/>
      </c>
      <c r="M120" s="472">
        <f>SUMPRODUCT((ISNUMBER(SEARCH($Y7,Dienstplan!$B$25:$B$36))*(ISNUMBER(SEARCH($AB$13,Dienstplan!$AH$25:$BL$36)))))</f>
        <v/>
      </c>
      <c r="N120" s="472">
        <f>SUMPRODUCT((ISNUMBER(SEARCH($Y7,Dienstplan!$B$25:$B$36))*(ISNUMBER(SEARCH($AB$14,Dienstplan!$AH$25:$BL$36)))))</f>
        <v/>
      </c>
      <c r="O120" s="472">
        <f>SUMPRODUCT((ISNUMBER(SEARCH($Y7,Dienstplan!$B$25:$B$36))*(ISNUMBER(SEARCH($AB$15,Dienstplan!$AH$25:$BL$36)))))</f>
        <v/>
      </c>
      <c r="P120" s="472">
        <f>SUMPRODUCT((ISNUMBER(SEARCH($Y7,Dienstplan!$B$25:$B$36))*(ISNUMBER(SEARCH($AB$16,Dienstplan!$AH$25:$BL$36)))))</f>
        <v/>
      </c>
      <c r="Q120" s="472">
        <f>SUMPRODUCT((ISNUMBER(SEARCH($Y7,Dienstplan!$B$25:$B$36))*(ISNUMBER(SEARCH($AB$17,Dienstplan!$AH$25:$BL$36)))))</f>
        <v/>
      </c>
      <c r="R120" s="472">
        <f>SUMPRODUCT((ISNUMBER(SEARCH($Y7,Dienstplan!$B$25:$B$36))*(ISNUMBER(SEARCH($AB$18,Dienstplan!$AH$25:$BL$36)))))</f>
        <v/>
      </c>
      <c r="S120" s="472">
        <f>SUMPRODUCT((ISNUMBER(SEARCH($Y7,Dienstplan!$B$25:$B$36))*(ISNUMBER(SEARCH($AB$19,Dienstplan!$AH$25:$BL$36)))))</f>
        <v/>
      </c>
      <c r="T120" s="472">
        <f>SUM($F$114*$Z7)</f>
        <v/>
      </c>
      <c r="U120" s="472">
        <f>SUM($C120*Frueh_1+$D120*Spaet_1+$E120*Nacht_1+$F120*Normal_1+$I120*Sonderd_1-$J120*Krie_B+$K120*Krie_B+$L120*EH_Kurs+$M120*Koor_taet+$N120*Sekre_1+$O120*Krie_B+$R120*Krie_B+$P120*Krie_B+$Q120*Krie_B+G120*Krie_B+H120*Z7)</f>
        <v/>
      </c>
      <c r="V120" s="472">
        <f>SUM($U120-$T120)</f>
        <v/>
      </c>
      <c r="W120" s="472">
        <f>V120+W104</f>
        <v/>
      </c>
      <c r="X120" s="472" t="n"/>
      <c r="Y120" s="472" t="n"/>
      <c r="Z120" s="472" t="n"/>
      <c r="AA120" s="472" t="n"/>
      <c r="AB120" s="472" t="n"/>
      <c r="AC120" s="472" t="n"/>
      <c r="AD120" s="472" t="n"/>
      <c r="AE120" s="472" t="n"/>
      <c r="AF120" s="472" t="n"/>
      <c r="AG120" s="472" t="n"/>
      <c r="AH120" s="472" t="n"/>
      <c r="AI120" s="472" t="n"/>
      <c r="AJ120" s="472" t="n"/>
    </row>
    <row r="121">
      <c r="A121" s="472" t="n"/>
      <c r="B121" s="471">
        <f>B9</f>
        <v/>
      </c>
      <c r="C121" s="472">
        <f>SUMPRODUCT((ISNUMBER(SEARCH($Y8,Dienstplan!$B$25:$B$36))*(ISNUMBER(SEARCH($AB$3,Dienstplan!$AH$25:$BL$36)))))-D121</f>
        <v/>
      </c>
      <c r="D121" s="472">
        <f>SUMPRODUCT((ISNUMBER(SEARCH($Y8,Dienstplan!$B$25:$B$36))*(ISNUMBER(SEARCH($AB$4,Dienstplan!$AH$25:$BL$36)))))</f>
        <v/>
      </c>
      <c r="E121" s="472">
        <f>SUMPRODUCT((ISNUMBER(SEARCH($Y8,Dienstplan!$B$25:$B$36))*(ISNUMBER(SEARCH($AB$5,Dienstplan!$AH$25:$BL$36)))))</f>
        <v/>
      </c>
      <c r="F121" s="472">
        <f>SUMPRODUCT((ISNUMBER(SEARCH($Y8,Dienstplan!$B$25:$B$36))*(ISNUMBER(SEARCH($AB$6,Dienstplan!$AH$25:$BL$36)))))</f>
        <v/>
      </c>
      <c r="G121" s="472">
        <f>SUMPRODUCT((ISNUMBER(SEARCH($Y8,Dienstplan!$B$25:$B$36))*(ISNUMBER(SEARCH($AB$7,Dienstplan!$AH$25:$BL$36)))))-H121</f>
        <v/>
      </c>
      <c r="H121" s="472">
        <f>SUMPRODUCT((ISNUMBER(SEARCH($Y8,Dienstplan!$B$25:$B$36))*(ISNUMBER(SEARCH($AB$8,Dienstplan!$AH$25:$BL$36)))))</f>
        <v/>
      </c>
      <c r="I121" s="472">
        <f>SUMPRODUCT((ISNUMBER(SEARCH($Y8,Dienstplan!$B$25:$B$36))*(ISNUMBER(SEARCH($AB$9,Dienstplan!$AH$25:$BL$36)))))</f>
        <v/>
      </c>
      <c r="J121" s="472">
        <f>SUMPRODUCT((ISNUMBER(SEARCH($Y8,Dienstplan!$B$25:$B$36))*(ISNUMBER(SEARCH($AB$10,Dienstplan!$AH$25:$BL$36)))))</f>
        <v/>
      </c>
      <c r="K121" s="472">
        <f>SUMPRODUCT((ISNUMBER(SEARCH($Y8,Dienstplan!$B$25:$B$36))*(ISNUMBER(SEARCH($AB$11,Dienstplan!$AH$25:$BL$36)))))-$Q121</f>
        <v/>
      </c>
      <c r="L121" s="472">
        <f>SUMPRODUCT((ISNUMBER(SEARCH($Y8,Dienstplan!$B$25:$B$36))*(ISNUMBER(SEARCH($AB$12,Dienstplan!$AH$25:$BL$36)))))</f>
        <v/>
      </c>
      <c r="M121" s="472">
        <f>SUMPRODUCT((ISNUMBER(SEARCH($Y8,Dienstplan!$B$25:$B$36))*(ISNUMBER(SEARCH($AB$13,Dienstplan!$AH$25:$BL$36)))))</f>
        <v/>
      </c>
      <c r="N121" s="472">
        <f>SUMPRODUCT((ISNUMBER(SEARCH($Y8,Dienstplan!$B$25:$B$36))*(ISNUMBER(SEARCH($AB$14,Dienstplan!$AH$25:$BL$36)))))</f>
        <v/>
      </c>
      <c r="O121" s="472">
        <f>SUMPRODUCT((ISNUMBER(SEARCH($Y8,Dienstplan!$B$25:$B$36))*(ISNUMBER(SEARCH($AB$15,Dienstplan!$AH$25:$BL$36)))))</f>
        <v/>
      </c>
      <c r="P121" s="472">
        <f>SUMPRODUCT((ISNUMBER(SEARCH($Y8,Dienstplan!$B$25:$B$36))*(ISNUMBER(SEARCH($AB$16,Dienstplan!$AH$25:$BL$36)))))</f>
        <v/>
      </c>
      <c r="Q121" s="472">
        <f>SUMPRODUCT((ISNUMBER(SEARCH($Y8,Dienstplan!$B$25:$B$36))*(ISNUMBER(SEARCH($AB$17,Dienstplan!$AH$25:$BL$36)))))</f>
        <v/>
      </c>
      <c r="R121" s="472">
        <f>SUMPRODUCT((ISNUMBER(SEARCH($Y8,Dienstplan!$B$25:$B$36))*(ISNUMBER(SEARCH($AB$18,Dienstplan!$AH$25:$BL$36)))))</f>
        <v/>
      </c>
      <c r="S121" s="472">
        <f>SUMPRODUCT((ISNUMBER(SEARCH($Y8,Dienstplan!$B$25:$B$36))*(ISNUMBER(SEARCH($AB$19,Dienstplan!$AH$25:$BL$36)))))</f>
        <v/>
      </c>
      <c r="T121" s="472">
        <f>SUM($F$114*$Z8)</f>
        <v/>
      </c>
      <c r="U121" s="472">
        <f>SUM($C121*Frueh_1+$D121*Spaet_1+$E121*Nacht_1+$F121*Normal_1+$I121*Sonderd_1-$J121*Muster+$K121*Muster+$L121*EH_Kurs+$M121*Koor_taet+$N121*Sekre_1+$O121*Muster+$P121*Muster+$Q121*Muster+$R121*Muster+G121*Muster+H121*Muster)</f>
        <v/>
      </c>
      <c r="V121" s="472">
        <f>SUM($U121-$T121)</f>
        <v/>
      </c>
      <c r="W121" s="472">
        <f>V121+W105</f>
        <v/>
      </c>
      <c r="X121" s="472" t="n"/>
      <c r="Y121" s="472" t="n"/>
      <c r="Z121" s="472" t="n"/>
      <c r="AA121" s="472" t="n"/>
      <c r="AB121" s="472" t="n"/>
      <c r="AC121" s="472" t="n"/>
      <c r="AD121" s="472" t="n"/>
      <c r="AE121" s="472" t="n"/>
      <c r="AF121" s="472" t="n"/>
      <c r="AG121" s="472" t="n"/>
      <c r="AH121" s="472" t="n"/>
      <c r="AI121" s="472" t="n"/>
      <c r="AJ121" s="472" t="n"/>
    </row>
    <row r="122">
      <c r="A122" s="472" t="n"/>
      <c r="B122" s="471">
        <f>B10</f>
        <v/>
      </c>
      <c r="C122" s="472">
        <f>SUMPRODUCT((ISNUMBER(SEARCH($Y9,Dienstplan!$B$25:$B$36))*(ISNUMBER(SEARCH($AB$3,Dienstplan!$AH$25:$BL$36)))))-D122</f>
        <v/>
      </c>
      <c r="D122" s="472">
        <f>SUMPRODUCT((ISNUMBER(SEARCH($Y9,Dienstplan!$B$25:$B$36))*(ISNUMBER(SEARCH($AB$4,Dienstplan!$AH$25:$BL$36)))))</f>
        <v/>
      </c>
      <c r="E122" s="472">
        <f>SUMPRODUCT((ISNUMBER(SEARCH($Y9,Dienstplan!$B$25:$B$36))*(ISNUMBER(SEARCH($AB$5,Dienstplan!$AH$25:$BL$36)))))</f>
        <v/>
      </c>
      <c r="F122" s="472">
        <f>SUMPRODUCT((ISNUMBER(SEARCH($Y9,Dienstplan!$B$25:$B$36))*(ISNUMBER(SEARCH($AB$6,Dienstplan!$AH$25:$BL$36)))))</f>
        <v/>
      </c>
      <c r="G122" s="472">
        <f>SUMPRODUCT((ISNUMBER(SEARCH($Y9,Dienstplan!$B$25:$B$36))*(ISNUMBER(SEARCH($AB$7,Dienstplan!$AH$25:$BL$36)))))-H122</f>
        <v/>
      </c>
      <c r="H122" s="472">
        <f>SUMPRODUCT((ISNUMBER(SEARCH($Y9,Dienstplan!$B$25:$B$36))*(ISNUMBER(SEARCH($AB$8,Dienstplan!$AH$25:$BL$36)))))</f>
        <v/>
      </c>
      <c r="I122" s="472">
        <f>SUMPRODUCT((ISNUMBER(SEARCH($Y9,Dienstplan!$B$25:$B$36))*(ISNUMBER(SEARCH($AB$9,Dienstplan!$AH$25:$BL$36)))))</f>
        <v/>
      </c>
      <c r="J122" s="472">
        <f>SUMPRODUCT((ISNUMBER(SEARCH($Y9,Dienstplan!$B$25:$B$36))*(ISNUMBER(SEARCH($AB$10,Dienstplan!$AH$25:$BL$36)))))</f>
        <v/>
      </c>
      <c r="K122" s="472">
        <f>SUMPRODUCT((ISNUMBER(SEARCH($Y9,Dienstplan!$B$25:$B$36))*(ISNUMBER(SEARCH($AB$11,Dienstplan!$AH$25:$BL$36)))))-$Q122</f>
        <v/>
      </c>
      <c r="L122" s="472">
        <f>SUMPRODUCT((ISNUMBER(SEARCH($Y9,Dienstplan!$B$25:$B$36))*(ISNUMBER(SEARCH($AB$12,Dienstplan!$AH$25:$BL$36)))))</f>
        <v/>
      </c>
      <c r="M122" s="472">
        <f>SUMPRODUCT((ISNUMBER(SEARCH($Y9,Dienstplan!$B$25:$B$36))*(ISNUMBER(SEARCH($AB$13,Dienstplan!$AH$25:$BL$36)))))</f>
        <v/>
      </c>
      <c r="N122" s="472">
        <f>SUMPRODUCT((ISNUMBER(SEARCH($Y9,Dienstplan!$B$25:$B$36))*(ISNUMBER(SEARCH($AB$14,Dienstplan!$AH$25:$BL$36)))))</f>
        <v/>
      </c>
      <c r="O122" s="472">
        <f>SUMPRODUCT((ISNUMBER(SEARCH($Y9,Dienstplan!$B$25:$B$36))*(ISNUMBER(SEARCH($AB$15,Dienstplan!$AH$25:$BL$36)))))</f>
        <v/>
      </c>
      <c r="P122" s="472">
        <f>SUMPRODUCT((ISNUMBER(SEARCH($Y9,Dienstplan!$B$25:$B$36))*(ISNUMBER(SEARCH($AB$16,Dienstplan!$AH$25:$BL$36)))))</f>
        <v/>
      </c>
      <c r="Q122" s="472">
        <f>SUMPRODUCT((ISNUMBER(SEARCH($Y9,Dienstplan!$B$25:$B$36))*(ISNUMBER(SEARCH($AB$17,Dienstplan!$AH$25:$BL$36)))))</f>
        <v/>
      </c>
      <c r="R122" s="472">
        <f>SUMPRODUCT((ISNUMBER(SEARCH($Y9,Dienstplan!$B$25:$B$36))*(ISNUMBER(SEARCH($AB$18,Dienstplan!$AH$25:$BL$36)))))</f>
        <v/>
      </c>
      <c r="S122" s="472">
        <f>SUMPRODUCT((ISNUMBER(SEARCH($Y9,Dienstplan!$B$25:$B$36))*(ISNUMBER(SEARCH($AB$19,Dienstplan!$AH$25:$BL$36)))))</f>
        <v/>
      </c>
      <c r="T122" s="472">
        <f>SUM($F$114*$Z9)</f>
        <v/>
      </c>
      <c r="U122" s="472">
        <f>SUM($C122*Frueh_1+$D122*Spaet_1+$E122*Nacht_1+$F122*Normal_1+$I122*Sonderd_1-$J122*Muster+$K122*Muster+$L122*EH_Kurs+$M122*Koor_taet+$N122*Sekre_1+$O122*Muster+$P122*Muster+$Q122*Muster+$R122*Muster+G122*Muster+H122*Muster)</f>
        <v/>
      </c>
      <c r="V122" s="472">
        <f>SUM($U122-$T122)</f>
        <v/>
      </c>
      <c r="W122" s="472">
        <f>V122+W106</f>
        <v/>
      </c>
      <c r="X122" s="472" t="n"/>
      <c r="Y122" s="472" t="n"/>
      <c r="Z122" s="472" t="n"/>
      <c r="AA122" s="472" t="n"/>
      <c r="AB122" s="472" t="n"/>
      <c r="AC122" s="472" t="n"/>
      <c r="AD122" s="472" t="n"/>
      <c r="AE122" s="472" t="n"/>
      <c r="AF122" s="472" t="n"/>
      <c r="AG122" s="472" t="n"/>
      <c r="AH122" s="472" t="n"/>
      <c r="AI122" s="472" t="n"/>
      <c r="AJ122" s="472" t="n"/>
    </row>
    <row r="123">
      <c r="A123" s="472" t="n"/>
      <c r="B123" s="471">
        <f>B11</f>
        <v/>
      </c>
      <c r="C123" s="472">
        <f>SUMPRODUCT((ISNUMBER(SEARCH($Y10,Dienstplan!$B$25:$B$36))*(ISNUMBER(SEARCH($AB$3,Dienstplan!$AH$25:$BL$36)))))-D123</f>
        <v/>
      </c>
      <c r="D123" s="472">
        <f>SUMPRODUCT((ISNUMBER(SEARCH($Y10,Dienstplan!$B$25:$B$36))*(ISNUMBER(SEARCH($AB$4,Dienstplan!$AH$25:$BL$36)))))</f>
        <v/>
      </c>
      <c r="E123" s="472">
        <f>SUMPRODUCT((ISNUMBER(SEARCH($Y10,Dienstplan!$B$25:$B$36))*(ISNUMBER(SEARCH($AB$5,Dienstplan!$AH$25:$BL$36)))))</f>
        <v/>
      </c>
      <c r="F123" s="472">
        <f>SUMPRODUCT((ISNUMBER(SEARCH($Y10,Dienstplan!$B$25:$B$36))*(ISNUMBER(SEARCH($AB$6,Dienstplan!$AH$25:$BL$36)))))</f>
        <v/>
      </c>
      <c r="G123" s="472">
        <f>SUMPRODUCT((ISNUMBER(SEARCH($Y10,Dienstplan!$B$25:$B$36))*(ISNUMBER(SEARCH($AB$7,Dienstplan!$AH$25:$BL$36)))))-H123</f>
        <v/>
      </c>
      <c r="H123" s="472">
        <f>SUMPRODUCT((ISNUMBER(SEARCH($Y10,Dienstplan!$B$25:$B$36))*(ISNUMBER(SEARCH($AB$8,Dienstplan!$AH$25:$BL$36)))))</f>
        <v/>
      </c>
      <c r="I123" s="472">
        <f>SUMPRODUCT((ISNUMBER(SEARCH($Y10,Dienstplan!$B$25:$B$36))*(ISNUMBER(SEARCH($AB$9,Dienstplan!$AH$25:$BL$36)))))</f>
        <v/>
      </c>
      <c r="J123" s="472">
        <f>SUMPRODUCT((ISNUMBER(SEARCH($Y10,Dienstplan!$B$25:$B$36))*(ISNUMBER(SEARCH($AB$10,Dienstplan!$AH$25:$BL$36)))))</f>
        <v/>
      </c>
      <c r="K123" s="472">
        <f>SUMPRODUCT((ISNUMBER(SEARCH($Y10,Dienstplan!$B$25:$B$36))*(ISNUMBER(SEARCH($AB$11,Dienstplan!$AH$25:$BL$36)))))-$Q123</f>
        <v/>
      </c>
      <c r="L123" s="472">
        <f>SUMPRODUCT((ISNUMBER(SEARCH($Y10,Dienstplan!$B$25:$B$36))*(ISNUMBER(SEARCH($AB$12,Dienstplan!$AH$25:$BL$36)))))</f>
        <v/>
      </c>
      <c r="M123" s="472">
        <f>SUMPRODUCT((ISNUMBER(SEARCH($Y10,Dienstplan!$B$25:$B$36))*(ISNUMBER(SEARCH($AB$13,Dienstplan!$AH$25:$BL$36)))))</f>
        <v/>
      </c>
      <c r="N123" s="472">
        <f>SUMPRODUCT((ISNUMBER(SEARCH($Y10,Dienstplan!$B$25:$B$36))*(ISNUMBER(SEARCH($AB$14,Dienstplan!$AH$25:$BL$36)))))</f>
        <v/>
      </c>
      <c r="O123" s="472">
        <f>SUMPRODUCT((ISNUMBER(SEARCH($Y10,Dienstplan!$B$25:$B$36))*(ISNUMBER(SEARCH($AB$15,Dienstplan!$AH$25:$BL$36)))))</f>
        <v/>
      </c>
      <c r="P123" s="472">
        <f>SUMPRODUCT((ISNUMBER(SEARCH($Y10,Dienstplan!$B$25:$B$36))*(ISNUMBER(SEARCH($AB$16,Dienstplan!$AH$25:$BL$36)))))</f>
        <v/>
      </c>
      <c r="Q123" s="472">
        <f>SUMPRODUCT((ISNUMBER(SEARCH($Y10,Dienstplan!$B$25:$B$36))*(ISNUMBER(SEARCH($AB$17,Dienstplan!$AH$25:$BL$36)))))</f>
        <v/>
      </c>
      <c r="R123" s="472">
        <f>SUMPRODUCT((ISNUMBER(SEARCH($Y10,Dienstplan!$B$25:$B$36))*(ISNUMBER(SEARCH($AB$18,Dienstplan!$AH$25:$BL$36)))))</f>
        <v/>
      </c>
      <c r="S123" s="472">
        <f>SUMPRODUCT((ISNUMBER(SEARCH($Y10,Dienstplan!$B$25:$B$36))*(ISNUMBER(SEARCH($AB$19,Dienstplan!$AH$25:$BL$36)))))</f>
        <v/>
      </c>
      <c r="T123" s="472">
        <f>SUM($F$114*$Z10)</f>
        <v/>
      </c>
      <c r="U123" s="472">
        <f>SUM($C123*Frueh_1+$D123*Spaet_1+$E123*Nacht_1+$F123*Normal_1+$I123*Sonderd_1-$J123*Krem_E+$K123*Krem_E+$L123*EH_Kurs+$M123*Koor_taet+$N123*Sekre_1+$O123*Krem_E+$R123*Krem_E+$P123*Krem_E+$Q123*Krem_E+G123*Krem_E+H123*Krem_E)</f>
        <v/>
      </c>
      <c r="V123" s="472">
        <f>SUM($U123-$T123)</f>
        <v/>
      </c>
      <c r="W123" s="472">
        <f>V123+W107</f>
        <v/>
      </c>
      <c r="X123" s="472" t="n"/>
      <c r="Y123" s="472" t="n"/>
      <c r="Z123" s="472" t="n"/>
      <c r="AA123" s="472" t="n"/>
      <c r="AB123" s="472" t="n"/>
      <c r="AC123" s="472" t="n"/>
      <c r="AD123" s="472" t="n"/>
      <c r="AE123" s="472" t="n"/>
      <c r="AF123" s="472" t="n"/>
      <c r="AG123" s="472" t="n"/>
      <c r="AH123" s="472" t="n"/>
      <c r="AI123" s="472" t="n"/>
      <c r="AJ123" s="472" t="n"/>
    </row>
    <row r="124">
      <c r="A124" s="472" t="n"/>
      <c r="B124" s="471">
        <f>B12</f>
        <v/>
      </c>
      <c r="C124" s="472">
        <f>SUMPRODUCT((ISNUMBER(SEARCH($Y11,Dienstplan!$B$25:$B$36))*(ISNUMBER(SEARCH($AB$3,Dienstplan!$AH$25:$BL$36)))))-D124</f>
        <v/>
      </c>
      <c r="D124" s="472">
        <f>SUMPRODUCT((ISNUMBER(SEARCH($Y11,Dienstplan!$B$25:$B$36))*(ISNUMBER(SEARCH($AB$4,Dienstplan!$AH$25:$BL$36)))))</f>
        <v/>
      </c>
      <c r="E124" s="472">
        <f>SUMPRODUCT((ISNUMBER(SEARCH($Y11,Dienstplan!$B$25:$B$36))*(ISNUMBER(SEARCH($AB$5,Dienstplan!$AH$25:$BL$36)))))</f>
        <v/>
      </c>
      <c r="F124" s="472">
        <f>SUMPRODUCT((ISNUMBER(SEARCH($Y11,Dienstplan!$B$25:$B$36))*(ISNUMBER(SEARCH($AB$6,Dienstplan!$AH$25:$BL$36)))))</f>
        <v/>
      </c>
      <c r="G124" s="472">
        <f>SUMPRODUCT((ISNUMBER(SEARCH($Y11,Dienstplan!$B$25:$B$36))*(ISNUMBER(SEARCH($AB$7,Dienstplan!$AH$25:$BL$36)))))-H124</f>
        <v/>
      </c>
      <c r="H124" s="472">
        <f>SUMPRODUCT((ISNUMBER(SEARCH($Y11,Dienstplan!$B$25:$B$36))*(ISNUMBER(SEARCH($AB$8,Dienstplan!$AH$25:$BL$36)))))</f>
        <v/>
      </c>
      <c r="I124" s="472">
        <f>SUMPRODUCT((ISNUMBER(SEARCH($Y11,Dienstplan!$B$25:$B$36))*(ISNUMBER(SEARCH($AB$9,Dienstplan!$AH$25:$BL$36)))))</f>
        <v/>
      </c>
      <c r="J124" s="472">
        <f>SUMPRODUCT((ISNUMBER(SEARCH($Y11,Dienstplan!$B$25:$B$36))*(ISNUMBER(SEARCH($AB$10,Dienstplan!$AH$25:$BL$36)))))</f>
        <v/>
      </c>
      <c r="K124" s="472">
        <f>SUMPRODUCT((ISNUMBER(SEARCH($Y11,Dienstplan!$B$25:$B$36))*(ISNUMBER(SEARCH($AB$11,Dienstplan!$AH$25:$BL$36)))))-$Q124</f>
        <v/>
      </c>
      <c r="L124" s="472">
        <f>SUMPRODUCT((ISNUMBER(SEARCH($Y11,Dienstplan!$B$25:$B$36))*(ISNUMBER(SEARCH($AB$12,Dienstplan!$AH$25:$BL$36)))))</f>
        <v/>
      </c>
      <c r="M124" s="472">
        <f>SUMPRODUCT((ISNUMBER(SEARCH($Y11,Dienstplan!$B$25:$B$36))*(ISNUMBER(SEARCH($AB$13,Dienstplan!$AH$25:$BL$36)))))</f>
        <v/>
      </c>
      <c r="N124" s="472">
        <f>SUMPRODUCT((ISNUMBER(SEARCH($Y11,Dienstplan!$B$25:$B$36))*(ISNUMBER(SEARCH($AB$14,Dienstplan!$AH$25:$BL$36)))))</f>
        <v/>
      </c>
      <c r="O124" s="472">
        <f>SUMPRODUCT((ISNUMBER(SEARCH($Y11,Dienstplan!$B$25:$B$36))*(ISNUMBER(SEARCH($AB$15,Dienstplan!$AH$25:$BL$36)))))</f>
        <v/>
      </c>
      <c r="P124" s="472">
        <f>SUMPRODUCT((ISNUMBER(SEARCH($Y11,Dienstplan!$B$25:$B$36))*(ISNUMBER(SEARCH($AB$16,Dienstplan!$AH$25:$BL$36)))))</f>
        <v/>
      </c>
      <c r="Q124" s="472">
        <f>SUMPRODUCT((ISNUMBER(SEARCH($Y11,Dienstplan!$B$25:$B$36))*(ISNUMBER(SEARCH($AB$17,Dienstplan!$AH$25:$BL$36)))))</f>
        <v/>
      </c>
      <c r="R124" s="472">
        <f>SUMPRODUCT((ISNUMBER(SEARCH($Y11,Dienstplan!$B$25:$B$36))*(ISNUMBER(SEARCH($AB$18,Dienstplan!$AH$25:$BL$36)))))</f>
        <v/>
      </c>
      <c r="S124" s="472">
        <f>SUMPRODUCT((ISNUMBER(SEARCH($Y11,Dienstplan!$B$25:$B$36))*(ISNUMBER(SEARCH($AB$19,Dienstplan!$AH$25:$BL$36)))))</f>
        <v/>
      </c>
      <c r="T124" s="472">
        <f>SUM($F$114*$Z11)</f>
        <v/>
      </c>
      <c r="U124" s="472">
        <f>SUM($C124*Frueh_1+$D124*Spaet_1+$E124*Nacht_1+$F124*Normal_1+$I124*Sonderd_1-$J124*Put_W+$K124*Put_W+$L124*EH_Kurs+$M124*Koor_taet+$N124*Sekre_1+$O124*Put_W+$R124*Put_W+$P124*Put_W+$Q124*Put_W+G124*Put_W+H124*Put_W)</f>
        <v/>
      </c>
      <c r="V124" s="472">
        <f>SUM($U124-$T124)</f>
        <v/>
      </c>
      <c r="W124" s="472">
        <f>V124+W108</f>
        <v/>
      </c>
      <c r="X124" s="472" t="n"/>
      <c r="Y124" s="472" t="n"/>
      <c r="Z124" s="472" t="n"/>
      <c r="AA124" s="472" t="n"/>
      <c r="AB124" s="472" t="n"/>
      <c r="AC124" s="472" t="n"/>
      <c r="AD124" s="472" t="n"/>
      <c r="AE124" s="472" t="n"/>
      <c r="AF124" s="472" t="n"/>
      <c r="AG124" s="472" t="n"/>
      <c r="AH124" s="472" t="n"/>
      <c r="AI124" s="472" t="n"/>
      <c r="AJ124" s="472" t="n"/>
    </row>
    <row r="125">
      <c r="A125" s="472" t="n"/>
      <c r="B125" s="471">
        <f>B13</f>
        <v/>
      </c>
      <c r="C125" s="472">
        <f>SUMPRODUCT((ISNUMBER(SEARCH($Y12,Dienstplan!$B$25:$B$36))*(ISNUMBER(SEARCH($AB$3,Dienstplan!$AH$25:$BL$36)))))-D125</f>
        <v/>
      </c>
      <c r="D125" s="472">
        <f>SUMPRODUCT((ISNUMBER(SEARCH($Y12,Dienstplan!$B$25:$B$36))*(ISNUMBER(SEARCH($AB$4,Dienstplan!$AH$25:$BL$36)))))</f>
        <v/>
      </c>
      <c r="E125" s="472">
        <f>SUMPRODUCT((ISNUMBER(SEARCH($Y12,Dienstplan!$B$25:$B$36))*(ISNUMBER(SEARCH($AB$5,Dienstplan!$AH$25:$BL$36)))))</f>
        <v/>
      </c>
      <c r="F125" s="472">
        <f>SUMPRODUCT((ISNUMBER(SEARCH($Y12,Dienstplan!$B$25:$B$36))*(ISNUMBER(SEARCH($AB$6,Dienstplan!$AH$25:$BL$36)))))</f>
        <v/>
      </c>
      <c r="G125" s="472">
        <f>SUMPRODUCT((ISNUMBER(SEARCH($Y12,Dienstplan!$B$25:$B$36))*(ISNUMBER(SEARCH($AB$7,Dienstplan!$AH$25:$BL$36)))))-H125</f>
        <v/>
      </c>
      <c r="H125" s="472">
        <f>SUMPRODUCT((ISNUMBER(SEARCH($Y12,Dienstplan!$B$25:$B$36))*(ISNUMBER(SEARCH($AB$8,Dienstplan!$AH$25:$BL$36)))))</f>
        <v/>
      </c>
      <c r="I125" s="472">
        <f>SUMPRODUCT((ISNUMBER(SEARCH($Y12,Dienstplan!$B$25:$B$36))*(ISNUMBER(SEARCH($AB$9,Dienstplan!$AH$25:$BL$36)))))</f>
        <v/>
      </c>
      <c r="J125" s="472">
        <f>SUMPRODUCT((ISNUMBER(SEARCH($Y12,Dienstplan!$B$25:$B$36))*(ISNUMBER(SEARCH($AB$10,Dienstplan!$AH$25:$BL$36)))))</f>
        <v/>
      </c>
      <c r="K125" s="472">
        <f>SUMPRODUCT((ISNUMBER(SEARCH($Y12,Dienstplan!$B$25:$B$36))*(ISNUMBER(SEARCH($AB$11,Dienstplan!$AH$25:$BL$36)))))-$Q125</f>
        <v/>
      </c>
      <c r="L125" s="472">
        <f>SUMPRODUCT((ISNUMBER(SEARCH($Y12,Dienstplan!$B$25:$B$36))*(ISNUMBER(SEARCH($AB$12,Dienstplan!$AH$25:$BL$36)))))</f>
        <v/>
      </c>
      <c r="M125" s="472">
        <f>SUMPRODUCT((ISNUMBER(SEARCH($Y12,Dienstplan!$B$25:$B$36))*(ISNUMBER(SEARCH($AB$13,Dienstplan!$AH$25:$BL$36)))))</f>
        <v/>
      </c>
      <c r="N125" s="472">
        <f>SUMPRODUCT((ISNUMBER(SEARCH($Y12,Dienstplan!$B$25:$B$36))*(ISNUMBER(SEARCH($AB$14,Dienstplan!$AH$25:$BL$36)))))</f>
        <v/>
      </c>
      <c r="O125" s="472">
        <f>SUMPRODUCT((ISNUMBER(SEARCH($Y12,Dienstplan!$B$25:$B$36))*(ISNUMBER(SEARCH($AB$15,Dienstplan!$AH$25:$BL$36)))))</f>
        <v/>
      </c>
      <c r="P125" s="472">
        <f>SUMPRODUCT((ISNUMBER(SEARCH($Y12,Dienstplan!$B$25:$B$36))*(ISNUMBER(SEARCH($AB$16,Dienstplan!$AH$25:$BL$36)))))</f>
        <v/>
      </c>
      <c r="Q125" s="472">
        <f>SUMPRODUCT((ISNUMBER(SEARCH($Y12,Dienstplan!$B$25:$B$36))*(ISNUMBER(SEARCH($AB$17,Dienstplan!$AH$25:$BL$36)))))</f>
        <v/>
      </c>
      <c r="R125" s="472">
        <f>SUMPRODUCT((ISNUMBER(SEARCH($Y12,Dienstplan!$B$25:$B$36))*(ISNUMBER(SEARCH($AB$18,Dienstplan!$AH$25:$BL$36)))))</f>
        <v/>
      </c>
      <c r="S125" s="472">
        <f>SUMPRODUCT((ISNUMBER(SEARCH($Y12,Dienstplan!$B$25:$B$36))*(ISNUMBER(SEARCH($AB$19,Dienstplan!$AH$25:$BL$36)))))</f>
        <v/>
      </c>
      <c r="T125" s="472">
        <f>SUM($F$114*$Z12)</f>
        <v/>
      </c>
      <c r="U125" s="472">
        <f>SUM($C125*Frueh_1+$D125*Spaet_1+$E125*Nacht_1+$F125*Normal_1+$I125*Sonderd_1-$J125*Radi_L+$K125*Radi_L+$L125*EH_Kurs+$M125*Koor_taet+$N125*Sekre_1+$O125*Radi_L+$R125*Radi_L+$P125*Radi_L+$Q125*Radi_L+G125*Radi_L+H125*Radi_L)</f>
        <v/>
      </c>
      <c r="V125" s="472">
        <f>SUM($U125-$T125)</f>
        <v/>
      </c>
      <c r="W125" s="472">
        <f>V125+W109</f>
        <v/>
      </c>
      <c r="X125" s="472" t="n"/>
      <c r="Y125" s="472" t="n"/>
      <c r="Z125" s="472" t="n"/>
      <c r="AA125" s="472" t="n"/>
      <c r="AB125" s="472" t="n"/>
      <c r="AC125" s="472" t="n"/>
      <c r="AD125" s="472" t="n"/>
      <c r="AE125" s="472" t="n"/>
      <c r="AF125" s="472" t="n"/>
      <c r="AG125" s="472" t="n"/>
      <c r="AH125" s="472" t="n"/>
      <c r="AI125" s="472" t="n"/>
      <c r="AJ125" s="472" t="n"/>
    </row>
    <row r="126">
      <c r="A126" s="472" t="n"/>
      <c r="B126" s="471">
        <f>B14</f>
        <v/>
      </c>
      <c r="C126" s="472">
        <f>SUMPRODUCT((ISNUMBER(SEARCH($Y13,Dienstplan!$B$25:$B$36))*(ISNUMBER(SEARCH($AB$3,Dienstplan!$AH$25:$BL$36)))))-D126</f>
        <v/>
      </c>
      <c r="D126" s="472">
        <f>SUMPRODUCT((ISNUMBER(SEARCH($Y13,Dienstplan!$B$25:$B$36))*(ISNUMBER(SEARCH($AB$4,Dienstplan!$AH$25:$BL$36)))))</f>
        <v/>
      </c>
      <c r="E126" s="472">
        <f>SUMPRODUCT((ISNUMBER(SEARCH($Y13,Dienstplan!$B$25:$B$36))*(ISNUMBER(SEARCH($AB$5,Dienstplan!$AH$25:$BL$36)))))</f>
        <v/>
      </c>
      <c r="F126" s="472">
        <f>SUMPRODUCT((ISNUMBER(SEARCH($Y13,Dienstplan!$B$25:$B$36))*(ISNUMBER(SEARCH($AB$6,Dienstplan!$AH$25:$BL$36)))))</f>
        <v/>
      </c>
      <c r="G126" s="472">
        <f>SUMPRODUCT((ISNUMBER(SEARCH($Y13,Dienstplan!$B$25:$B$36))*(ISNUMBER(SEARCH($AB$7,Dienstplan!$AH$25:$BL$36)))))-H126</f>
        <v/>
      </c>
      <c r="H126" s="472">
        <f>SUMPRODUCT((ISNUMBER(SEARCH($Y13,Dienstplan!$B$25:$B$36))*(ISNUMBER(SEARCH($AB$8,Dienstplan!$AH$25:$BL$36)))))</f>
        <v/>
      </c>
      <c r="I126" s="472">
        <f>SUMPRODUCT((ISNUMBER(SEARCH($Y13,Dienstplan!$B$25:$B$36))*(ISNUMBER(SEARCH($AB$9,Dienstplan!$AH$25:$BL$36)))))</f>
        <v/>
      </c>
      <c r="J126" s="472">
        <f>SUMPRODUCT((ISNUMBER(SEARCH($Y13,Dienstplan!$B$25:$B$36))*(ISNUMBER(SEARCH($AB$10,Dienstplan!$AH$25:$BL$36)))))</f>
        <v/>
      </c>
      <c r="K126" s="472">
        <f>SUMPRODUCT((ISNUMBER(SEARCH($Y13,Dienstplan!$B$25:$B$36))*(ISNUMBER(SEARCH($AB$11,Dienstplan!$AH$25:$BL$36)))))-$Q126</f>
        <v/>
      </c>
      <c r="L126" s="472">
        <f>SUMPRODUCT((ISNUMBER(SEARCH($Y13,Dienstplan!$B$25:$B$36))*(ISNUMBER(SEARCH($AB$12,Dienstplan!$AH$25:$BL$36)))))</f>
        <v/>
      </c>
      <c r="M126" s="472">
        <f>SUMPRODUCT((ISNUMBER(SEARCH($Y13,Dienstplan!$B$25:$B$36))*(ISNUMBER(SEARCH($AB$13,Dienstplan!$AH$25:$BL$36)))))</f>
        <v/>
      </c>
      <c r="N126" s="472">
        <f>SUMPRODUCT((ISNUMBER(SEARCH($Y13,Dienstplan!$B$25:$B$36))*(ISNUMBER(SEARCH($AB$14,Dienstplan!$AH$25:$BL$36)))))</f>
        <v/>
      </c>
      <c r="O126" s="472">
        <f>SUMPRODUCT((ISNUMBER(SEARCH($Y13,Dienstplan!$B$25:$B$36))*(ISNUMBER(SEARCH($AB$15,Dienstplan!$AH$25:$BL$36)))))</f>
        <v/>
      </c>
      <c r="P126" s="472">
        <f>SUMPRODUCT((ISNUMBER(SEARCH($Y13,Dienstplan!$B$25:$B$36))*(ISNUMBER(SEARCH($AB$16,Dienstplan!$AH$25:$BL$36)))))</f>
        <v/>
      </c>
      <c r="Q126" s="472">
        <f>SUMPRODUCT((ISNUMBER(SEARCH($Y13,Dienstplan!$B$25:$B$36))*(ISNUMBER(SEARCH($AB$17,Dienstplan!$AH$25:$BL$36)))))</f>
        <v/>
      </c>
      <c r="R126" s="472">
        <f>SUMPRODUCT((ISNUMBER(SEARCH($Y13,Dienstplan!$B$25:$B$36))*(ISNUMBER(SEARCH($AB$18,Dienstplan!$AH$25:$BL$36)))))</f>
        <v/>
      </c>
      <c r="S126" s="472">
        <f>SUMPRODUCT((ISNUMBER(SEARCH($Y13,Dienstplan!$B$25:$B$36))*(ISNUMBER(SEARCH($AB$19,Dienstplan!$AH$25:$BL$36)))))</f>
        <v/>
      </c>
      <c r="T126" s="472">
        <f>SUM($F$114*$Z13)</f>
        <v/>
      </c>
      <c r="U126" s="472">
        <f>SUM($C126*Frueh_1+$D126*Spaet_1+$E126*Nacht_1+$F126*Normal_1+$I126*Sonderd_1-$J126*Fortenb+$K126*Fortenb+$L126*EH_Kurs+$M126*Koor_taet+$N126*Sekre_1+$O126*Fortenb+$R126*Fortenb+$P126*Fortenb+$Q126*Fortenb+G126*Fortenb+H126*Fortenb)</f>
        <v/>
      </c>
      <c r="V126" s="472">
        <f>SUM($U126-$T126)</f>
        <v/>
      </c>
      <c r="W126" s="472">
        <f>V126+W110</f>
        <v/>
      </c>
      <c r="X126" s="472" t="n"/>
      <c r="Y126" s="472" t="n"/>
      <c r="Z126" s="472" t="n"/>
      <c r="AA126" s="472" t="n"/>
      <c r="AB126" s="472" t="n"/>
      <c r="AC126" s="472" t="n"/>
      <c r="AD126" s="472" t="n"/>
      <c r="AE126" s="472" t="n"/>
      <c r="AF126" s="472" t="n"/>
      <c r="AG126" s="472" t="n"/>
      <c r="AH126" s="472" t="n"/>
      <c r="AI126" s="472" t="n"/>
      <c r="AJ126" s="472" t="n"/>
    </row>
    <row r="127">
      <c r="A127" s="472" t="n"/>
      <c r="B127" s="471" t="n"/>
      <c r="C127" s="472" t="n"/>
      <c r="D127" s="472" t="n"/>
      <c r="E127" s="472" t="n"/>
      <c r="F127" s="472" t="n"/>
      <c r="G127" s="472" t="n"/>
      <c r="H127" s="472" t="n"/>
      <c r="I127" s="472" t="n"/>
      <c r="J127" s="472" t="n"/>
      <c r="K127" s="472" t="n"/>
      <c r="L127" s="472" t="n"/>
      <c r="M127" s="472" t="n"/>
      <c r="N127" s="472" t="n"/>
      <c r="O127" s="472" t="n"/>
      <c r="P127" s="472" t="n"/>
      <c r="Q127" s="472" t="n"/>
      <c r="R127" s="472" t="n"/>
      <c r="S127" s="472" t="n"/>
      <c r="T127" s="472" t="n"/>
      <c r="U127" s="472" t="n"/>
      <c r="V127" s="472" t="n"/>
      <c r="W127" s="472" t="n"/>
      <c r="X127" s="472" t="n"/>
      <c r="Y127" s="472" t="n"/>
      <c r="Z127" s="472" t="n"/>
      <c r="AA127" s="472" t="n"/>
      <c r="AB127" s="472" t="n"/>
      <c r="AC127" s="472" t="n"/>
      <c r="AD127" s="472" t="n"/>
      <c r="AE127" s="472" t="n"/>
      <c r="AF127" s="472" t="n"/>
      <c r="AG127" s="472" t="n"/>
      <c r="AH127" s="472" t="n"/>
      <c r="AI127" s="472" t="n"/>
      <c r="AJ127" s="472" t="n"/>
    </row>
    <row r="128">
      <c r="A128" s="483" t="n"/>
      <c r="B128" s="483" t="inlineStr">
        <is>
          <t>Summe</t>
        </is>
      </c>
      <c r="C128" s="483">
        <f>SUM(C116:C127)</f>
        <v/>
      </c>
      <c r="D128" s="483">
        <f>SUM(D116:D127)</f>
        <v/>
      </c>
      <c r="E128" s="483">
        <f>SUM(E116:E127)</f>
        <v/>
      </c>
      <c r="F128" s="483">
        <f>SUM(F116:F127)</f>
        <v/>
      </c>
      <c r="G128" s="483">
        <f>SUM(G116:G127)</f>
        <v/>
      </c>
      <c r="H128" s="483">
        <f>SUM(H116:H127)</f>
        <v/>
      </c>
      <c r="I128" s="483">
        <f>SUM(I116:I127)</f>
        <v/>
      </c>
      <c r="J128" s="483">
        <f>SUM(J116:J127)</f>
        <v/>
      </c>
      <c r="K128" s="483">
        <f>SUM(K116:K127)</f>
        <v/>
      </c>
      <c r="L128" s="483">
        <f>SUM(L116:L127)</f>
        <v/>
      </c>
      <c r="M128" s="483">
        <f>SUM(M116:M127)</f>
        <v/>
      </c>
      <c r="N128" s="483">
        <f>SUM(N116:N127)</f>
        <v/>
      </c>
      <c r="O128" s="483">
        <f>SUM(O116:O127)</f>
        <v/>
      </c>
      <c r="P128" s="483">
        <f>SUM(P116:P127)</f>
        <v/>
      </c>
      <c r="Q128" s="483">
        <f>SUM(Q116:Q127)</f>
        <v/>
      </c>
      <c r="R128" s="483">
        <f>SUM(R116:R127)</f>
        <v/>
      </c>
      <c r="S128" s="483">
        <f>SUM(S116:S127)</f>
        <v/>
      </c>
      <c r="T128" s="483">
        <f>SUM(T116:T124)</f>
        <v/>
      </c>
      <c r="U128" s="483">
        <f>SUM(U116:U124)</f>
        <v/>
      </c>
      <c r="V128" s="483" t="n"/>
      <c r="W128" s="483" t="n"/>
      <c r="X128" s="483" t="n"/>
      <c r="Y128" s="483" t="n"/>
      <c r="Z128" s="483" t="n"/>
      <c r="AA128" s="483" t="n"/>
      <c r="AB128" s="483" t="n"/>
      <c r="AC128" s="483" t="n"/>
      <c r="AD128" s="483" t="n"/>
      <c r="AE128" s="483" t="n"/>
      <c r="AF128" s="483" t="n"/>
      <c r="AG128" s="483" t="n"/>
      <c r="AH128" s="483" t="n"/>
      <c r="AI128" s="483" t="n"/>
      <c r="AJ128" s="483" t="n"/>
    </row>
    <row r="129">
      <c r="A129" s="11" t="n"/>
      <c r="B129" s="12" t="n"/>
      <c r="C129" s="1" t="n"/>
      <c r="D129" s="1" t="n"/>
      <c r="E129" s="1" t="n"/>
      <c r="F129" s="1" t="n"/>
      <c r="G129" s="1" t="n"/>
      <c r="H129" s="1" t="n"/>
      <c r="I129" s="1" t="n"/>
      <c r="J129" s="1" t="n"/>
      <c r="K129" s="1" t="n"/>
      <c r="L129" s="1" t="n"/>
      <c r="M129" s="1" t="n"/>
      <c r="N129" s="1" t="n"/>
      <c r="O129" s="1" t="n"/>
      <c r="P129" s="1" t="n"/>
      <c r="Q129" s="1" t="n"/>
      <c r="R129" s="1" t="n"/>
      <c r="S129" s="12" t="n"/>
      <c r="T129" s="1" t="n"/>
      <c r="U129" s="1" t="n"/>
      <c r="V129" s="12" t="n"/>
      <c r="W129" s="17" t="n"/>
    </row>
    <row r="130">
      <c r="A130" s="475" t="n"/>
      <c r="B130" s="476" t="inlineStr">
        <is>
          <t>September</t>
        </is>
      </c>
      <c r="C130" s="475" t="n"/>
      <c r="D130" s="477" t="inlineStr">
        <is>
          <t>Arbeitstage</t>
        </is>
      </c>
      <c r="E130" s="475" t="n"/>
      <c r="F130" s="478" t="n">
        <v>21</v>
      </c>
      <c r="G130" s="479" t="n"/>
      <c r="H130" s="479" t="n"/>
      <c r="I130" s="477" t="inlineStr">
        <is>
          <t>Samstage</t>
        </is>
      </c>
      <c r="J130" s="475" t="n"/>
      <c r="K130" s="478" t="n">
        <v>5</v>
      </c>
      <c r="L130" s="475" t="n"/>
      <c r="M130" s="475" t="n"/>
      <c r="N130" s="475" t="n"/>
      <c r="O130" s="475" t="n"/>
      <c r="P130" s="475" t="n"/>
      <c r="Q130" s="475" t="n"/>
      <c r="R130" s="475" t="n"/>
      <c r="S130" s="475" t="n"/>
      <c r="T130" s="475" t="n"/>
      <c r="U130" s="475" t="n"/>
      <c r="V130" s="475" t="n"/>
      <c r="W130" s="475" t="n"/>
      <c r="X130" s="475" t="n"/>
      <c r="Y130" s="475" t="n"/>
      <c r="Z130" s="475" t="n"/>
      <c r="AA130" s="475" t="n"/>
      <c r="AB130" s="475" t="n"/>
      <c r="AC130" s="475" t="n"/>
      <c r="AD130" s="475" t="n"/>
      <c r="AE130" s="475" t="n"/>
      <c r="AF130" s="475" t="n"/>
      <c r="AG130" s="475" t="n"/>
      <c r="AH130" s="475" t="n"/>
      <c r="AI130" s="475" t="n"/>
      <c r="AJ130" s="475" t="n"/>
    </row>
    <row r="131">
      <c r="A131" s="480" t="n"/>
      <c r="B131" s="480" t="n"/>
      <c r="C131" s="480">
        <f>Jahr!C3</f>
        <v/>
      </c>
      <c r="D131" s="480">
        <f>Jahr!D3</f>
        <v/>
      </c>
      <c r="E131" s="480">
        <f>Jahr!E3</f>
        <v/>
      </c>
      <c r="F131" s="480">
        <f>Jahr!F3</f>
        <v/>
      </c>
      <c r="G131" s="480">
        <f>Jahr!G3</f>
        <v/>
      </c>
      <c r="H131" s="480">
        <f>Jahr!H3</f>
        <v/>
      </c>
      <c r="I131" s="480">
        <f>Jahr!I3</f>
        <v/>
      </c>
      <c r="J131" s="480">
        <f>Jahr!J3</f>
        <v/>
      </c>
      <c r="K131" s="480">
        <f>Jahr!K3</f>
        <v/>
      </c>
      <c r="L131" s="480">
        <f>Jahr!L3</f>
        <v/>
      </c>
      <c r="M131" s="480">
        <f>Jahr!M3</f>
        <v/>
      </c>
      <c r="N131" s="480">
        <f>Jahr!N3</f>
        <v/>
      </c>
      <c r="O131" s="480">
        <f>Jahr!O3</f>
        <v/>
      </c>
      <c r="P131" s="480">
        <f>Jahr!P3</f>
        <v/>
      </c>
      <c r="Q131" s="480">
        <f>Jahr!Q3</f>
        <v/>
      </c>
      <c r="R131" s="480">
        <f>Jahr!R3</f>
        <v/>
      </c>
      <c r="S131" s="480">
        <f>Jahr!S3</f>
        <v/>
      </c>
      <c r="T131" s="480" t="inlineStr">
        <is>
          <t>Soll AZ</t>
        </is>
      </c>
      <c r="U131" s="480" t="inlineStr">
        <is>
          <t>Ist AZ</t>
        </is>
      </c>
      <c r="V131" s="480" t="inlineStr">
        <is>
          <t>Differenz</t>
        </is>
      </c>
      <c r="W131" s="480" t="inlineStr">
        <is>
          <t>Gesamt</t>
        </is>
      </c>
      <c r="X131" s="480" t="n"/>
      <c r="Y131" s="480" t="n"/>
      <c r="Z131" s="480" t="n"/>
      <c r="AA131" s="480" t="n"/>
      <c r="AB131" s="480" t="n"/>
      <c r="AC131" s="480" t="n"/>
      <c r="AD131" s="480" t="n"/>
      <c r="AE131" s="480" t="n"/>
      <c r="AF131" s="480" t="n"/>
      <c r="AG131" s="480" t="n"/>
      <c r="AH131" s="480" t="n"/>
      <c r="AI131" s="480" t="n"/>
      <c r="AJ131" s="480" t="n"/>
    </row>
    <row r="132">
      <c r="A132" s="472" t="n"/>
      <c r="B132" s="471">
        <f>B4</f>
        <v/>
      </c>
      <c r="C132" s="472">
        <f>SUMPRODUCT((ISNUMBER(SEARCH($Y3,Dienstplan!$B$25:$B$36))*(ISNUMBER(SEARCH($AB$3,Dienstplan!$BM$25:$CP$36)))))-D132</f>
        <v/>
      </c>
      <c r="D132" s="472">
        <f>SUMPRODUCT((ISNUMBER(SEARCH($Y3,Dienstplan!$B$25:$B$36))*(ISNUMBER(SEARCH($AB$4,Dienstplan!$BM$25:$CP$36)))))</f>
        <v/>
      </c>
      <c r="E132" s="472">
        <f>SUMPRODUCT((ISNUMBER(SEARCH($Y3,Dienstplan!$B$25:$B$36))*(ISNUMBER(SEARCH($AB$5,Dienstplan!$BM$25:$CP$36)))))</f>
        <v/>
      </c>
      <c r="F132" s="472">
        <f>SUMPRODUCT((ISNUMBER(SEARCH($Y3,Dienstplan!$B$25:$B$36))*(ISNUMBER(SEARCH($AB$6,Dienstplan!$BM$25:$CP$36)))))</f>
        <v/>
      </c>
      <c r="G132" s="472">
        <f>SUMPRODUCT((ISNUMBER(SEARCH($Y3,Dienstplan!$B$25:$B$36))*(ISNUMBER(SEARCH($AB$7,Dienstplan!$BM$25:$CP$36)))))-H132</f>
        <v/>
      </c>
      <c r="H132" s="472">
        <f>SUMPRODUCT((ISNUMBER(SEARCH($Y3,Dienstplan!$B$25:$B$36))*(ISNUMBER(SEARCH($AB$8,Dienstplan!$BM$25:$CP$36)))))</f>
        <v/>
      </c>
      <c r="I132" s="472">
        <f>SUMPRODUCT((ISNUMBER(SEARCH($Y3,Dienstplan!$B$25:$B$36))*(ISNUMBER(SEARCH($AB$9,Dienstplan!$BM$25:$CP$36)))))</f>
        <v/>
      </c>
      <c r="J132" s="472">
        <f>SUMPRODUCT((ISNUMBER(SEARCH($Y3,Dienstplan!$B$25:$B$36))*(ISNUMBER(SEARCH($AB$10,Dienstplan!$BM$25:$CP$36)))))</f>
        <v/>
      </c>
      <c r="K132" s="472">
        <f>SUMPRODUCT((ISNUMBER(SEARCH($Y3,Dienstplan!$B$25:$B$36))*(ISNUMBER(SEARCH($AB$11,Dienstplan!$BM$25:$CP$36)))))-$Q132</f>
        <v/>
      </c>
      <c r="L132" s="472">
        <f>SUMPRODUCT((ISNUMBER(SEARCH($Y3,Dienstplan!$B$25:$B$36))*(ISNUMBER(SEARCH($AB$12,Dienstplan!$BM$25:$CP$36)))))</f>
        <v/>
      </c>
      <c r="M132" s="472">
        <f>SUMPRODUCT((ISNUMBER(SEARCH($Y3,Dienstplan!$B$25:$B$36))*(ISNUMBER(SEARCH($AB$13,Dienstplan!$BM$25:$CP$36)))))</f>
        <v/>
      </c>
      <c r="N132" s="472">
        <f>SUMPRODUCT((ISNUMBER(SEARCH($Y3,Dienstplan!$B$25:$B$36))*(ISNUMBER(SEARCH($AB$14,Dienstplan!$BM$25:$CP$36)))))</f>
        <v/>
      </c>
      <c r="O132" s="472">
        <f>SUMPRODUCT((ISNUMBER(SEARCH($Y3,Dienstplan!$B$25:$B$36))*(ISNUMBER(SEARCH($AB$15,Dienstplan!$BM$25:$CP$36)))))</f>
        <v/>
      </c>
      <c r="P132" s="472">
        <f>SUMPRODUCT((ISNUMBER(SEARCH($Y3,Dienstplan!$B$25:$B$36))*(ISNUMBER(SEARCH($AB$16,Dienstplan!$BM$25:$CP$36)))))</f>
        <v/>
      </c>
      <c r="Q132" s="472">
        <f>SUMPRODUCT((ISNUMBER(SEARCH($Y3,Dienstplan!$B$25:$B$36))*(ISNUMBER(SEARCH($AB$17,Dienstplan!$BM$25:$CP$36)))))</f>
        <v/>
      </c>
      <c r="R132" s="472">
        <f>SUMPRODUCT((ISNUMBER(SEARCH($Y3,Dienstplan!$B$25:$B$36))*(ISNUMBER(SEARCH($AB$18,Dienstplan!$BM$25:$CP$36)))))</f>
        <v/>
      </c>
      <c r="S132" s="472">
        <f>SUMPRODUCT((ISNUMBER(SEARCH($Y3,Dienstplan!$B$25:$B$36))*(ISNUMBER(SEARCH($AB$19,Dienstplan!$BM$25:$CP$36)))))</f>
        <v/>
      </c>
      <c r="T132" s="472">
        <f>SUM($F$130*$Z3)</f>
        <v/>
      </c>
      <c r="U132" s="472">
        <f>SUM($C132*Frueh_1+$D132*Spaet_1+$E132*Nacht_1+$F132*Normal_1+$I132*Sonderd_1-$J132*Velten+$K132*Velten+$L132*EH_Kurs+$M132*Koor_taet+$N132*Sekre_1+$O132*Velten+$R132*Velten+$P132*Velten+$Q132*Velten+G132*Velt_M+H132*Velt_M)</f>
        <v/>
      </c>
      <c r="V132" s="472">
        <f>SUM($U132-$T132)</f>
        <v/>
      </c>
      <c r="W132" s="472">
        <f>V132+W116</f>
        <v/>
      </c>
      <c r="X132" s="472" t="n"/>
      <c r="Y132" s="472" t="n"/>
      <c r="Z132" s="472" t="n"/>
      <c r="AA132" s="472" t="n"/>
      <c r="AB132" s="472" t="n"/>
      <c r="AC132" s="472" t="n"/>
      <c r="AD132" s="472" t="n"/>
      <c r="AE132" s="472" t="n"/>
      <c r="AF132" s="472" t="n"/>
      <c r="AG132" s="472" t="n"/>
      <c r="AH132" s="472" t="n"/>
      <c r="AI132" s="472" t="n"/>
      <c r="AJ132" s="472" t="n"/>
    </row>
    <row r="133">
      <c r="A133" s="472" t="n"/>
      <c r="B133" s="471">
        <f>B5</f>
        <v/>
      </c>
      <c r="C133" s="472">
        <f>SUMPRODUCT((ISNUMBER(SEARCH($Y4,Dienstplan!$B$25:$B$36))*(ISNUMBER(SEARCH($AB$3,Dienstplan!$BM$25:$CP$36)))))-D133</f>
        <v/>
      </c>
      <c r="D133" s="472">
        <f>SUMPRODUCT((ISNUMBER(SEARCH($Y4,Dienstplan!$B$25:$B$36))*(ISNUMBER(SEARCH($AB$4,Dienstplan!$BM$25:$CP$36)))))</f>
        <v/>
      </c>
      <c r="E133" s="472">
        <f>SUMPRODUCT((ISNUMBER(SEARCH($Y4,Dienstplan!$B$25:$B$36))*(ISNUMBER(SEARCH($AB$5,Dienstplan!$BM$25:$CP$36)))))</f>
        <v/>
      </c>
      <c r="F133" s="472">
        <f>SUMPRODUCT((ISNUMBER(SEARCH($Y4,Dienstplan!$B$25:$B$36))*(ISNUMBER(SEARCH($AB$6,Dienstplan!$BM$25:$CP$36)))))</f>
        <v/>
      </c>
      <c r="G133" s="472">
        <f>SUMPRODUCT((ISNUMBER(SEARCH($Y4,Dienstplan!$B$25:$B$36))*(ISNUMBER(SEARCH($AB$7,Dienstplan!$BM$25:$CP$36)))))-H133</f>
        <v/>
      </c>
      <c r="H133" s="472">
        <f>SUMPRODUCT((ISNUMBER(SEARCH($Y4,Dienstplan!$B$25:$B$36))*(ISNUMBER(SEARCH($AB$8,Dienstplan!$BM$25:$CP$36)))))</f>
        <v/>
      </c>
      <c r="I133" s="472">
        <f>SUMPRODUCT((ISNUMBER(SEARCH($Y4,Dienstplan!$B$25:$B$36))*(ISNUMBER(SEARCH($AB$9,Dienstplan!$BM$25:$CP$36)))))</f>
        <v/>
      </c>
      <c r="J133" s="472">
        <f>SUMPRODUCT((ISNUMBER(SEARCH($Y4,Dienstplan!$B$25:$B$36))*(ISNUMBER(SEARCH($AB$10,Dienstplan!$BM$25:$CP$36)))))</f>
        <v/>
      </c>
      <c r="K133" s="472">
        <f>SUMPRODUCT((ISNUMBER(SEARCH($Y4,Dienstplan!$B$25:$B$36))*(ISNUMBER(SEARCH($AB$11,Dienstplan!$BM$25:$CP$36)))))-$Q133</f>
        <v/>
      </c>
      <c r="L133" s="472">
        <f>SUMPRODUCT((ISNUMBER(SEARCH($Y4,Dienstplan!$B$25:$B$36))*(ISNUMBER(SEARCH($AB$12,Dienstplan!$BM$25:$CP$36)))))</f>
        <v/>
      </c>
      <c r="M133" s="472">
        <f>SUMPRODUCT((ISNUMBER(SEARCH($Y4,Dienstplan!$B$25:$B$36))*(ISNUMBER(SEARCH($AB$13,Dienstplan!$BM$25:$CP$36)))))</f>
        <v/>
      </c>
      <c r="N133" s="472">
        <f>SUMPRODUCT((ISNUMBER(SEARCH($Y4,Dienstplan!$B$25:$B$36))*(ISNUMBER(SEARCH($AB$14,Dienstplan!$BM$25:$CP$36)))))</f>
        <v/>
      </c>
      <c r="O133" s="472">
        <f>SUMPRODUCT((ISNUMBER(SEARCH($Y4,Dienstplan!$B$25:$B$36))*(ISNUMBER(SEARCH($AB$15,Dienstplan!$BM$25:$CP$36)))))</f>
        <v/>
      </c>
      <c r="P133" s="472">
        <f>SUMPRODUCT((ISNUMBER(SEARCH($Y4,Dienstplan!$B$25:$B$36))*(ISNUMBER(SEARCH($AB$16,Dienstplan!$BM$25:$CP$36)))))</f>
        <v/>
      </c>
      <c r="Q133" s="472">
        <f>SUMPRODUCT((ISNUMBER(SEARCH($Y4,Dienstplan!$B$25:$B$36))*(ISNUMBER(SEARCH($AB$17,Dienstplan!$BM$25:$CP$36)))))</f>
        <v/>
      </c>
      <c r="R133" s="472">
        <f>SUMPRODUCT((ISNUMBER(SEARCH($Y4,Dienstplan!$B$25:$B$36))*(ISNUMBER(SEARCH($AB$18,Dienstplan!$BM$25:$CP$36)))))</f>
        <v/>
      </c>
      <c r="S133" s="472">
        <f>SUMPRODUCT((ISNUMBER(SEARCH($Y4,Dienstplan!$B$25:$B$36))*(ISNUMBER(SEARCH($AB$19,Dienstplan!$BM$25:$CP$36)))))</f>
        <v/>
      </c>
      <c r="T133" s="472">
        <f>SUM($F$130*$Z4)</f>
        <v/>
      </c>
      <c r="U133" s="472">
        <f>SUM($C133*Frueh_1+$D133*Spaet_1+$E133*Nacht_1+$F133*Normal_1+$I133*Sonderd_1-$J133*Brue_H+$K133*Brue_H+$L133*EH_Kurs+$M133*Koor_taet+$N133*Sekre_1+$O133*Brue_H+$R133*Brue_H+$P133*Brue_H+$Q133*Brue_H+G133*Brue_H+H133*Brue_H)</f>
        <v/>
      </c>
      <c r="V133" s="472">
        <f>SUM($U133-$T133)</f>
        <v/>
      </c>
      <c r="W133" s="472">
        <f>V133+W117</f>
        <v/>
      </c>
      <c r="X133" s="472" t="n"/>
      <c r="Y133" s="472" t="n"/>
      <c r="Z133" s="472" t="n"/>
      <c r="AA133" s="472" t="n"/>
      <c r="AB133" s="472" t="n"/>
      <c r="AC133" s="472" t="n"/>
      <c r="AD133" s="472" t="n"/>
      <c r="AE133" s="472" t="n"/>
      <c r="AF133" s="472" t="n"/>
      <c r="AG133" s="472" t="n"/>
      <c r="AH133" s="472" t="n"/>
      <c r="AI133" s="472" t="n"/>
      <c r="AJ133" s="472" t="n"/>
    </row>
    <row r="134">
      <c r="A134" s="472" t="n"/>
      <c r="B134" s="471">
        <f>B6</f>
        <v/>
      </c>
      <c r="C134" s="472">
        <f>SUMPRODUCT((ISNUMBER(SEARCH($Y5,Dienstplan!$B$25:$B$36))*(ISNUMBER(SEARCH($AB$3,Dienstplan!$BM$25:$CP$36)))))-D134</f>
        <v/>
      </c>
      <c r="D134" s="472">
        <f>SUMPRODUCT((ISNUMBER(SEARCH($Y5,Dienstplan!$B$25:$B$36))*(ISNUMBER(SEARCH($AB$4,Dienstplan!$BM$25:$CP$36)))))</f>
        <v/>
      </c>
      <c r="E134" s="472">
        <f>SUMPRODUCT((ISNUMBER(SEARCH($Y5,Dienstplan!$B$25:$B$36))*(ISNUMBER(SEARCH($AB$5,Dienstplan!$BM$25:$CP$36)))))</f>
        <v/>
      </c>
      <c r="F134" s="472">
        <f>SUMPRODUCT((ISNUMBER(SEARCH($Y5,Dienstplan!$B$25:$B$36))*(ISNUMBER(SEARCH($AB$6,Dienstplan!$BM$25:$CP$36)))))</f>
        <v/>
      </c>
      <c r="G134" s="472">
        <f>SUMPRODUCT((ISNUMBER(SEARCH($Y5,Dienstplan!$B$25:$B$36))*(ISNUMBER(SEARCH($AB$7,Dienstplan!$BM$25:$CP$36)))))-H134</f>
        <v/>
      </c>
      <c r="H134" s="472">
        <f>SUMPRODUCT((ISNUMBER(SEARCH($Y5,Dienstplan!$B$25:$B$36))*(ISNUMBER(SEARCH($AB$8,Dienstplan!$BM$25:$CP$36)))))</f>
        <v/>
      </c>
      <c r="I134" s="472">
        <f>SUMPRODUCT((ISNUMBER(SEARCH($Y5,Dienstplan!$B$25:$B$36))*(ISNUMBER(SEARCH($AB$9,Dienstplan!$BM$25:$CP$36)))))</f>
        <v/>
      </c>
      <c r="J134" s="472">
        <f>SUMPRODUCT((ISNUMBER(SEARCH($Y5,Dienstplan!$B$25:$B$36))*(ISNUMBER(SEARCH($AB$10,Dienstplan!$BM$25:$CP$36)))))</f>
        <v/>
      </c>
      <c r="K134" s="472">
        <f>SUMPRODUCT((ISNUMBER(SEARCH($Y5,Dienstplan!$B$25:$B$36))*(ISNUMBER(SEARCH($AB$11,Dienstplan!$BM$25:$CP$36)))))-$Q134</f>
        <v/>
      </c>
      <c r="L134" s="472">
        <f>SUMPRODUCT((ISNUMBER(SEARCH($Y5,Dienstplan!$B$25:$B$36))*(ISNUMBER(SEARCH($AB$12,Dienstplan!$BM$25:$CP$36)))))</f>
        <v/>
      </c>
      <c r="M134" s="472">
        <f>SUMPRODUCT((ISNUMBER(SEARCH($Y5,Dienstplan!$B$25:$B$36))*(ISNUMBER(SEARCH($AB$13,Dienstplan!$BM$25:$CP$36)))))</f>
        <v/>
      </c>
      <c r="N134" s="472">
        <f>SUMPRODUCT((ISNUMBER(SEARCH($Y5,Dienstplan!$B$25:$B$36))*(ISNUMBER(SEARCH($AB$14,Dienstplan!$BM$25:$CP$36)))))</f>
        <v/>
      </c>
      <c r="O134" s="472">
        <f>SUMPRODUCT((ISNUMBER(SEARCH($Y5,Dienstplan!$B$25:$B$36))*(ISNUMBER(SEARCH($AB$15,Dienstplan!$BM$25:$CP$36)))))</f>
        <v/>
      </c>
      <c r="P134" s="472">
        <f>SUMPRODUCT((ISNUMBER(SEARCH($Y5,Dienstplan!$B$25:$B$36))*(ISNUMBER(SEARCH($AB$16,Dienstplan!$BM$25:$CP$36)))))</f>
        <v/>
      </c>
      <c r="Q134" s="472">
        <f>SUMPRODUCT((ISNUMBER(SEARCH($Y5,Dienstplan!$B$25:$B$36))*(ISNUMBER(SEARCH($AB$17,Dienstplan!$BM$25:$CP$36)))))</f>
        <v/>
      </c>
      <c r="R134" s="472">
        <f>SUMPRODUCT((ISNUMBER(SEARCH($Y5,Dienstplan!$B$25:$B$36))*(ISNUMBER(SEARCH($AB$18,Dienstplan!$BM$25:$CP$36)))))</f>
        <v/>
      </c>
      <c r="S134" s="472">
        <f>SUMPRODUCT((ISNUMBER(SEARCH($Y5,Dienstplan!$B$25:$B$36))*(ISNUMBER(SEARCH($AB$19,Dienstplan!$BM$25:$CP$36)))))</f>
        <v/>
      </c>
      <c r="T134" s="472">
        <f>SUM($F$130*$Z5)</f>
        <v/>
      </c>
      <c r="U134" s="472">
        <f>SUM($C134*Frueh_1+$D134*Spaet_1+$E134*Nacht_1+$F134*Normal_1+$I134*Sonderd_1-$J134*Rath_M+$K134*Rath_M+$L134*EH_Kurs+$M134*Koor_taet+$N134*Sekre_1+$O134*Rath_M+$R134*Rath_M+$P134*Rath_M+$Q134*Rath_M+G134*Rath_M+H134*Rath_M)</f>
        <v/>
      </c>
      <c r="V134" s="472">
        <f>SUM($U134-$T134)</f>
        <v/>
      </c>
      <c r="W134" s="472">
        <f>V134+W118</f>
        <v/>
      </c>
      <c r="X134" s="472" t="n"/>
      <c r="Y134" s="472" t="n"/>
      <c r="Z134" s="472" t="n"/>
      <c r="AA134" s="472" t="n"/>
      <c r="AB134" s="472" t="n"/>
      <c r="AC134" s="472" t="n"/>
      <c r="AD134" s="472" t="n"/>
      <c r="AE134" s="472" t="n"/>
      <c r="AF134" s="472" t="n"/>
      <c r="AG134" s="472" t="n"/>
      <c r="AH134" s="472" t="n"/>
      <c r="AI134" s="472" t="n"/>
      <c r="AJ134" s="472" t="n"/>
    </row>
    <row r="135">
      <c r="A135" s="472" t="n"/>
      <c r="B135" s="471">
        <f>B7</f>
        <v/>
      </c>
      <c r="C135" s="472">
        <f>SUMPRODUCT((ISNUMBER(SEARCH($Y6,Dienstplan!$B$25:$B$36))*(ISNUMBER(SEARCH($AB$3,Dienstplan!$BM$25:$CP$36)))))-D135</f>
        <v/>
      </c>
      <c r="D135" s="472">
        <f>SUMPRODUCT((ISNUMBER(SEARCH($Y6,Dienstplan!$B$25:$B$36))*(ISNUMBER(SEARCH($AB$4,Dienstplan!$BM$25:$CP$36)))))</f>
        <v/>
      </c>
      <c r="E135" s="472">
        <f>SUMPRODUCT((ISNUMBER(SEARCH($Y6,Dienstplan!$B$25:$B$36))*(ISNUMBER(SEARCH($AB$5,Dienstplan!$BM$25:$CP$36)))))</f>
        <v/>
      </c>
      <c r="F135" s="472">
        <f>SUMPRODUCT((ISNUMBER(SEARCH($Y6,Dienstplan!$B$25:$B$36))*(ISNUMBER(SEARCH($AB$6,Dienstplan!$BM$25:$CP$36)))))</f>
        <v/>
      </c>
      <c r="G135" s="472">
        <f>SUMPRODUCT((ISNUMBER(SEARCH($Y6,Dienstplan!$B$25:$B$36))*(ISNUMBER(SEARCH($AB$7,Dienstplan!$BM$25:$CP$36)))))-H135</f>
        <v/>
      </c>
      <c r="H135" s="472">
        <f>SUMPRODUCT((ISNUMBER(SEARCH($Y6,Dienstplan!$B$25:$B$36))*(ISNUMBER(SEARCH($AB$8,Dienstplan!$BM$25:$CP$36)))))</f>
        <v/>
      </c>
      <c r="I135" s="472">
        <f>SUMPRODUCT((ISNUMBER(SEARCH($Y6,Dienstplan!$B$25:$B$36))*(ISNUMBER(SEARCH($AB$9,Dienstplan!$BM$25:$CP$36)))))</f>
        <v/>
      </c>
      <c r="J135" s="472">
        <f>SUMPRODUCT((ISNUMBER(SEARCH($Y6,Dienstplan!$B$25:$B$36))*(ISNUMBER(SEARCH($AB$10,Dienstplan!$BM$25:$CP$36)))))</f>
        <v/>
      </c>
      <c r="K135" s="472">
        <f>SUMPRODUCT((ISNUMBER(SEARCH($Y6,Dienstplan!$B$25:$B$36))*(ISNUMBER(SEARCH($AB$11,Dienstplan!$BM$25:$CP$36)))))-$Q135</f>
        <v/>
      </c>
      <c r="L135" s="472">
        <f>SUMPRODUCT((ISNUMBER(SEARCH($Y6,Dienstplan!$B$25:$B$36))*(ISNUMBER(SEARCH($AB$12,Dienstplan!$BM$25:$CP$36)))))</f>
        <v/>
      </c>
      <c r="M135" s="472">
        <f>SUMPRODUCT((ISNUMBER(SEARCH($Y6,Dienstplan!$B$25:$B$36))*(ISNUMBER(SEARCH($AB$13,Dienstplan!$BM$25:$CP$36)))))</f>
        <v/>
      </c>
      <c r="N135" s="472">
        <f>SUMPRODUCT((ISNUMBER(SEARCH($Y6,Dienstplan!$B$25:$B$36))*(ISNUMBER(SEARCH($AB$14,Dienstplan!$BM$25:$CP$36)))))</f>
        <v/>
      </c>
      <c r="O135" s="472">
        <f>SUMPRODUCT((ISNUMBER(SEARCH($Y6,Dienstplan!$B$25:$B$36))*(ISNUMBER(SEARCH($AB$15,Dienstplan!$BM$25:$CP$36)))))</f>
        <v/>
      </c>
      <c r="P135" s="472">
        <f>SUMPRODUCT((ISNUMBER(SEARCH($Y6,Dienstplan!$B$25:$B$36))*(ISNUMBER(SEARCH($AB$16,Dienstplan!$BM$25:$CP$36)))))</f>
        <v/>
      </c>
      <c r="Q135" s="472">
        <f>SUMPRODUCT((ISNUMBER(SEARCH($Y6,Dienstplan!$B$25:$B$36))*(ISNUMBER(SEARCH($AB$17,Dienstplan!$BM$25:$CP$36)))))</f>
        <v/>
      </c>
      <c r="R135" s="472">
        <f>SUMPRODUCT((ISNUMBER(SEARCH($Y6,Dienstplan!$B$25:$B$36))*(ISNUMBER(SEARCH($AB$18,Dienstplan!$BM$25:$CP$36)))))</f>
        <v/>
      </c>
      <c r="S135" s="472">
        <f>SUMPRODUCT((ISNUMBER(SEARCH($Y6,Dienstplan!$B$25:$B$36))*(ISNUMBER(SEARCH($AB$19,Dienstplan!$BM$25:$CP$36)))))</f>
        <v/>
      </c>
      <c r="T135" s="472">
        <f>SUM($F$130*$Z6)</f>
        <v/>
      </c>
      <c r="U135" s="472">
        <f>SUM($C135*Frueh_1+$D135*Spaet_1+$E135*Nacht_1+$F135*Normal_1+$I135*Sonderd_1-$J135*Scho_K+$K135*Scho_K+$L135*EH_Kurs+$M135*Koor_taet+$N135*Sekre_1+$O135*Scho_K+$R135*Scho_K+$P135*Scho_K+$Q135*Scho_K+G135*Scho_K+H135*Scho_K)</f>
        <v/>
      </c>
      <c r="V135" s="472">
        <f>SUM($U135-$T135)</f>
        <v/>
      </c>
      <c r="W135" s="472">
        <f>V135+W119</f>
        <v/>
      </c>
      <c r="X135" s="472" t="n"/>
      <c r="Y135" s="472" t="n"/>
      <c r="Z135" s="472" t="n"/>
      <c r="AA135" s="472" t="n"/>
      <c r="AB135" s="472" t="n"/>
      <c r="AC135" s="472" t="n"/>
      <c r="AD135" s="472" t="n"/>
      <c r="AE135" s="472" t="n"/>
      <c r="AF135" s="472" t="n"/>
      <c r="AG135" s="472" t="n"/>
      <c r="AH135" s="472" t="n"/>
      <c r="AI135" s="472" t="n"/>
      <c r="AJ135" s="472" t="n"/>
    </row>
    <row r="136">
      <c r="A136" s="472" t="n"/>
      <c r="B136" s="471">
        <f>B8</f>
        <v/>
      </c>
      <c r="C136" s="472">
        <f>SUMPRODUCT((ISNUMBER(SEARCH($Y7,Dienstplan!$B$25:$B$36))*(ISNUMBER(SEARCH($AB$3,Dienstplan!$BM$25:$CP$36)))))-D136</f>
        <v/>
      </c>
      <c r="D136" s="472">
        <f>SUMPRODUCT((ISNUMBER(SEARCH($Y7,Dienstplan!$B$25:$B$36))*(ISNUMBER(SEARCH($AB$4,Dienstplan!$BM$25:$CP$36)))))</f>
        <v/>
      </c>
      <c r="E136" s="472">
        <f>SUMPRODUCT((ISNUMBER(SEARCH($Y7,Dienstplan!$B$25:$B$36))*(ISNUMBER(SEARCH($AB$5,Dienstplan!$BM$25:$CP$36)))))</f>
        <v/>
      </c>
      <c r="F136" s="472">
        <f>SUMPRODUCT((ISNUMBER(SEARCH($Y7,Dienstplan!$B$25:$B$36))*(ISNUMBER(SEARCH($AB$6,Dienstplan!$BM$25:$CP$36)))))</f>
        <v/>
      </c>
      <c r="G136" s="472">
        <f>SUMPRODUCT((ISNUMBER(SEARCH($Y7,Dienstplan!$B$25:$B$36))*(ISNUMBER(SEARCH($AB$7,Dienstplan!$BM$25:$CP$36)))))-H136</f>
        <v/>
      </c>
      <c r="H136" s="472">
        <f>SUMPRODUCT((ISNUMBER(SEARCH($Y7,Dienstplan!$B$25:$B$36))*(ISNUMBER(SEARCH($AB$8,Dienstplan!$BM$25:$CP$36)))))</f>
        <v/>
      </c>
      <c r="I136" s="472">
        <f>SUMPRODUCT((ISNUMBER(SEARCH($Y7,Dienstplan!$B$25:$B$36))*(ISNUMBER(SEARCH($AB$9,Dienstplan!$BM$25:$CP$36)))))</f>
        <v/>
      </c>
      <c r="J136" s="472">
        <f>SUMPRODUCT((ISNUMBER(SEARCH($Y7,Dienstplan!$B$25:$B$36))*(ISNUMBER(SEARCH($AB$10,Dienstplan!$BM$25:$CP$36)))))</f>
        <v/>
      </c>
      <c r="K136" s="472">
        <f>SUMPRODUCT((ISNUMBER(SEARCH($Y7,Dienstplan!$B$25:$B$36))*(ISNUMBER(SEARCH($AB$11,Dienstplan!$BM$25:$CP$36)))))-$Q136</f>
        <v/>
      </c>
      <c r="L136" s="472">
        <f>SUMPRODUCT((ISNUMBER(SEARCH($Y7,Dienstplan!$B$25:$B$36))*(ISNUMBER(SEARCH($AB$12,Dienstplan!$BM$25:$CP$36)))))</f>
        <v/>
      </c>
      <c r="M136" s="472">
        <f>SUMPRODUCT((ISNUMBER(SEARCH($Y7,Dienstplan!$B$25:$B$36))*(ISNUMBER(SEARCH($AB$13,Dienstplan!$BM$25:$CP$36)))))</f>
        <v/>
      </c>
      <c r="N136" s="472">
        <f>SUMPRODUCT((ISNUMBER(SEARCH($Y7,Dienstplan!$B$25:$B$36))*(ISNUMBER(SEARCH($AB$14,Dienstplan!$BM$25:$CP$36)))))</f>
        <v/>
      </c>
      <c r="O136" s="472">
        <f>SUMPRODUCT((ISNUMBER(SEARCH($Y7,Dienstplan!$B$25:$B$36))*(ISNUMBER(SEARCH($AB$15,Dienstplan!$BM$25:$CP$36)))))</f>
        <v/>
      </c>
      <c r="P136" s="472">
        <f>SUMPRODUCT((ISNUMBER(SEARCH($Y7,Dienstplan!$B$25:$B$36))*(ISNUMBER(SEARCH($AB$16,Dienstplan!$BM$25:$CP$36)))))</f>
        <v/>
      </c>
      <c r="Q136" s="472">
        <f>SUMPRODUCT((ISNUMBER(SEARCH($Y7,Dienstplan!$B$25:$B$36))*(ISNUMBER(SEARCH($AB$17,Dienstplan!$BM$25:$CP$36)))))</f>
        <v/>
      </c>
      <c r="R136" s="472">
        <f>SUMPRODUCT((ISNUMBER(SEARCH($Y7,Dienstplan!$B$25:$B$36))*(ISNUMBER(SEARCH($AB$18,Dienstplan!$BM$25:$CP$36)))))</f>
        <v/>
      </c>
      <c r="S136" s="472">
        <f>SUMPRODUCT((ISNUMBER(SEARCH($Y7,Dienstplan!$B$25:$B$36))*(ISNUMBER(SEARCH($AB$19,Dienstplan!$BM$25:$CP$36)))))</f>
        <v/>
      </c>
      <c r="T136" s="472">
        <f>SUM($F$130*$Z7)</f>
        <v/>
      </c>
      <c r="U136" s="472">
        <f>SUM($C136*Frueh_1+$D136*Spaet_1+$E136*Nacht_1+$F136*Normal_1+$I136*Sonderd_1-$J136*Krie_B+$K136*Krie_B+$L136*EH_Kurs+$M136*Koor_taet+$N136*Sekre_1+$O136*Krie_B+$R136*Krie_B+$P136*Krie_B+$Q136*Krie_B+G136*Krie_B+H136*Krie_B)</f>
        <v/>
      </c>
      <c r="V136" s="472">
        <f>SUM($U136-$T136)</f>
        <v/>
      </c>
      <c r="W136" s="472">
        <f>V136+W120</f>
        <v/>
      </c>
      <c r="X136" s="472" t="n"/>
      <c r="Y136" s="472" t="n"/>
      <c r="Z136" s="472" t="n"/>
      <c r="AA136" s="472" t="n"/>
      <c r="AB136" s="472" t="n"/>
      <c r="AC136" s="472" t="n"/>
      <c r="AD136" s="472" t="n"/>
      <c r="AE136" s="472" t="n"/>
      <c r="AF136" s="472" t="n"/>
      <c r="AG136" s="472" t="n"/>
      <c r="AH136" s="472" t="n"/>
      <c r="AI136" s="472" t="n"/>
      <c r="AJ136" s="472" t="n"/>
    </row>
    <row r="137">
      <c r="A137" s="472" t="n"/>
      <c r="B137" s="471">
        <f>B9</f>
        <v/>
      </c>
      <c r="C137" s="472">
        <f>SUMPRODUCT((ISNUMBER(SEARCH($Y8,Dienstplan!$B$25:$B$36))*(ISNUMBER(SEARCH($AB$3,Dienstplan!$BM$25:$CP$36)))))-D137</f>
        <v/>
      </c>
      <c r="D137" s="472">
        <f>SUMPRODUCT((ISNUMBER(SEARCH($Y8,Dienstplan!$B$25:$B$36))*(ISNUMBER(SEARCH($AB$4,Dienstplan!$BM$25:$CP$36)))))</f>
        <v/>
      </c>
      <c r="E137" s="472">
        <f>SUMPRODUCT((ISNUMBER(SEARCH($Y8,Dienstplan!$B$25:$B$36))*(ISNUMBER(SEARCH($AB$5,Dienstplan!$BM$25:$CP$36)))))</f>
        <v/>
      </c>
      <c r="F137" s="472">
        <f>SUMPRODUCT((ISNUMBER(SEARCH($Y8,Dienstplan!$B$25:$B$36))*(ISNUMBER(SEARCH($AB$6,Dienstplan!$BM$25:$CP$36)))))</f>
        <v/>
      </c>
      <c r="G137" s="472">
        <f>SUMPRODUCT((ISNUMBER(SEARCH($Y8,Dienstplan!$B$25:$B$36))*(ISNUMBER(SEARCH($AB$7,Dienstplan!$BM$25:$CP$36)))))-H137</f>
        <v/>
      </c>
      <c r="H137" s="472">
        <f>SUMPRODUCT((ISNUMBER(SEARCH($Y8,Dienstplan!$B$25:$B$36))*(ISNUMBER(SEARCH($AB$8,Dienstplan!$BM$25:$CP$36)))))</f>
        <v/>
      </c>
      <c r="I137" s="472">
        <f>SUMPRODUCT((ISNUMBER(SEARCH($Y8,Dienstplan!$B$25:$B$36))*(ISNUMBER(SEARCH($AB$9,Dienstplan!$BM$25:$CP$36)))))</f>
        <v/>
      </c>
      <c r="J137" s="472">
        <f>SUMPRODUCT((ISNUMBER(SEARCH($Y8,Dienstplan!$B$25:$B$36))*(ISNUMBER(SEARCH($AB$10,Dienstplan!$BM$25:$CP$36)))))</f>
        <v/>
      </c>
      <c r="K137" s="472">
        <f>SUMPRODUCT((ISNUMBER(SEARCH($Y8,Dienstplan!$B$25:$B$36))*(ISNUMBER(SEARCH($AB$11,Dienstplan!$BM$25:$CP$36)))))-$Q137</f>
        <v/>
      </c>
      <c r="L137" s="472">
        <f>SUMPRODUCT((ISNUMBER(SEARCH($Y8,Dienstplan!$B$25:$B$36))*(ISNUMBER(SEARCH($AB$12,Dienstplan!$BM$25:$CP$36)))))</f>
        <v/>
      </c>
      <c r="M137" s="472">
        <f>SUMPRODUCT((ISNUMBER(SEARCH($Y8,Dienstplan!$B$25:$B$36))*(ISNUMBER(SEARCH($AB$13,Dienstplan!$BM$25:$CP$36)))))</f>
        <v/>
      </c>
      <c r="N137" s="472">
        <f>SUMPRODUCT((ISNUMBER(SEARCH($Y8,Dienstplan!$B$25:$B$36))*(ISNUMBER(SEARCH($AB$14,Dienstplan!$BM$25:$CP$36)))))</f>
        <v/>
      </c>
      <c r="O137" s="472">
        <f>SUMPRODUCT((ISNUMBER(SEARCH($Y8,Dienstplan!$B$25:$B$36))*(ISNUMBER(SEARCH($AB$15,Dienstplan!$BM$25:$CP$36)))))</f>
        <v/>
      </c>
      <c r="P137" s="472">
        <f>SUMPRODUCT((ISNUMBER(SEARCH($Y8,Dienstplan!$B$25:$B$36))*(ISNUMBER(SEARCH($AB$16,Dienstplan!$BM$25:$CP$36)))))</f>
        <v/>
      </c>
      <c r="Q137" s="472">
        <f>SUMPRODUCT((ISNUMBER(SEARCH($Y8,Dienstplan!$B$25:$B$36))*(ISNUMBER(SEARCH($AB$17,Dienstplan!$BM$25:$CP$36)))))</f>
        <v/>
      </c>
      <c r="R137" s="472">
        <f>SUMPRODUCT((ISNUMBER(SEARCH($Y8,Dienstplan!$B$25:$B$36))*(ISNUMBER(SEARCH($AB$18,Dienstplan!$BM$25:$CP$36)))))</f>
        <v/>
      </c>
      <c r="S137" s="472">
        <f>SUMPRODUCT((ISNUMBER(SEARCH($Y8,Dienstplan!$B$25:$B$36))*(ISNUMBER(SEARCH($AB$19,Dienstplan!$BM$25:$CP$36)))))</f>
        <v/>
      </c>
      <c r="T137" s="472">
        <f>SUM($F$130*$Z8)</f>
        <v/>
      </c>
      <c r="U137" s="472">
        <f>SUM($C137*Frueh_1+$D137*Spaet_1+$E137*Nacht_1+$F137*Normal_1+$I137*Sonderd_1-$J137*Muster+$K137*Muster+$L137*EH_Kurs+$M137*Koor_taet+$N137*Sekre_1+$O137*Muster+$P137*Muster+$Q137*Muster+$R137*Muster+G137*Muster+H137*Muster)</f>
        <v/>
      </c>
      <c r="V137" s="472">
        <f>SUM($U137-$T137)</f>
        <v/>
      </c>
      <c r="W137" s="472">
        <f>V137+W121</f>
        <v/>
      </c>
      <c r="X137" s="472" t="n"/>
      <c r="Y137" s="472" t="n"/>
      <c r="Z137" s="472" t="n"/>
      <c r="AA137" s="472" t="n"/>
      <c r="AB137" s="472" t="n"/>
      <c r="AC137" s="472" t="n"/>
      <c r="AD137" s="472" t="n"/>
      <c r="AE137" s="472" t="n"/>
      <c r="AF137" s="472" t="n"/>
      <c r="AG137" s="472" t="n"/>
      <c r="AH137" s="472" t="n"/>
      <c r="AI137" s="472" t="n"/>
      <c r="AJ137" s="472" t="n"/>
    </row>
    <row r="138">
      <c r="A138" s="472" t="n"/>
      <c r="B138" s="471">
        <f>B10</f>
        <v/>
      </c>
      <c r="C138" s="472">
        <f>SUMPRODUCT((ISNUMBER(SEARCH($Y9,Dienstplan!$B$25:$B$36))*(ISNUMBER(SEARCH($AB$3,Dienstplan!$BM$25:$CP$36)))))-D138</f>
        <v/>
      </c>
      <c r="D138" s="472">
        <f>SUMPRODUCT((ISNUMBER(SEARCH($Y9,Dienstplan!$B$25:$B$36))*(ISNUMBER(SEARCH($AB$4,Dienstplan!$BM$25:$CP$36)))))</f>
        <v/>
      </c>
      <c r="E138" s="472">
        <f>SUMPRODUCT((ISNUMBER(SEARCH($Y9,Dienstplan!$B$25:$B$36))*(ISNUMBER(SEARCH($AB$5,Dienstplan!$BM$25:$CP$36)))))</f>
        <v/>
      </c>
      <c r="F138" s="472">
        <f>SUMPRODUCT((ISNUMBER(SEARCH($Y9,Dienstplan!$B$25:$B$36))*(ISNUMBER(SEARCH($AB$6,Dienstplan!$BM$25:$CP$36)))))</f>
        <v/>
      </c>
      <c r="G138" s="472">
        <f>SUMPRODUCT((ISNUMBER(SEARCH($Y9,Dienstplan!$B$25:$B$36))*(ISNUMBER(SEARCH($AB$7,Dienstplan!$BM$25:$CP$36)))))-H138</f>
        <v/>
      </c>
      <c r="H138" s="472">
        <f>SUMPRODUCT((ISNUMBER(SEARCH($Y9,Dienstplan!$B$25:$B$36))*(ISNUMBER(SEARCH($AB$8,Dienstplan!$BM$25:$CP$36)))))</f>
        <v/>
      </c>
      <c r="I138" s="472">
        <f>SUMPRODUCT((ISNUMBER(SEARCH($Y9,Dienstplan!$B$25:$B$36))*(ISNUMBER(SEARCH($AB$9,Dienstplan!$BM$25:$CP$36)))))</f>
        <v/>
      </c>
      <c r="J138" s="472">
        <f>SUMPRODUCT((ISNUMBER(SEARCH($Y9,Dienstplan!$B$25:$B$36))*(ISNUMBER(SEARCH($AB$10,Dienstplan!$BM$25:$CP$36)))))</f>
        <v/>
      </c>
      <c r="K138" s="472">
        <f>SUMPRODUCT((ISNUMBER(SEARCH($Y9,Dienstplan!$B$25:$B$36))*(ISNUMBER(SEARCH($AB$11,Dienstplan!$BM$25:$CP$36)))))-$Q138</f>
        <v/>
      </c>
      <c r="L138" s="472">
        <f>SUMPRODUCT((ISNUMBER(SEARCH($Y9,Dienstplan!$B$25:$B$36))*(ISNUMBER(SEARCH($AB$12,Dienstplan!$BM$25:$CP$36)))))</f>
        <v/>
      </c>
      <c r="M138" s="472">
        <f>SUMPRODUCT((ISNUMBER(SEARCH($Y9,Dienstplan!$B$25:$B$36))*(ISNUMBER(SEARCH($AB$13,Dienstplan!$BM$25:$CP$36)))))</f>
        <v/>
      </c>
      <c r="N138" s="472">
        <f>SUMPRODUCT((ISNUMBER(SEARCH($Y9,Dienstplan!$B$25:$B$36))*(ISNUMBER(SEARCH($AB$14,Dienstplan!$BM$25:$CP$36)))))</f>
        <v/>
      </c>
      <c r="O138" s="472">
        <f>SUMPRODUCT((ISNUMBER(SEARCH($Y9,Dienstplan!$B$25:$B$36))*(ISNUMBER(SEARCH($AB$15,Dienstplan!$BM$25:$CP$36)))))</f>
        <v/>
      </c>
      <c r="P138" s="472">
        <f>SUMPRODUCT((ISNUMBER(SEARCH($Y9,Dienstplan!$B$25:$B$36))*(ISNUMBER(SEARCH($AB$16,Dienstplan!$BM$25:$CP$36)))))</f>
        <v/>
      </c>
      <c r="Q138" s="472">
        <f>SUMPRODUCT((ISNUMBER(SEARCH($Y9,Dienstplan!$B$25:$B$36))*(ISNUMBER(SEARCH($AB$17,Dienstplan!$BM$25:$CP$36)))))</f>
        <v/>
      </c>
      <c r="R138" s="472">
        <f>SUMPRODUCT((ISNUMBER(SEARCH($Y9,Dienstplan!$B$25:$B$36))*(ISNUMBER(SEARCH($AB$18,Dienstplan!$BM$25:$CP$36)))))</f>
        <v/>
      </c>
      <c r="S138" s="472">
        <f>SUMPRODUCT((ISNUMBER(SEARCH($Y9,Dienstplan!$B$25:$B$36))*(ISNUMBER(SEARCH($AB$19,Dienstplan!$BM$25:$CP$36)))))</f>
        <v/>
      </c>
      <c r="T138" s="472">
        <f>SUM($F$130*$Z9)</f>
        <v/>
      </c>
      <c r="U138" s="472">
        <f>SUM($C138*Frueh_1+$D138*Spaet_1+$E138*Nacht_1+$F138*Normal_1+$I138*Sonderd_1-$J138*Muster+$K138*Muster+$L138*EH_Kurs+$M138*Koor_taet+$N138*Sekre_1+$O138*Muster+$P138*Muster+$Q138*Muster+$R138*Muster+G138*Muster+H138*Muster)</f>
        <v/>
      </c>
      <c r="V138" s="472">
        <f>SUM($U138-$T138)</f>
        <v/>
      </c>
      <c r="W138" s="472">
        <f>V138+W122</f>
        <v/>
      </c>
      <c r="X138" s="472" t="n"/>
      <c r="Y138" s="472" t="n"/>
      <c r="Z138" s="472" t="n"/>
      <c r="AA138" s="472" t="n"/>
      <c r="AB138" s="472" t="n"/>
      <c r="AC138" s="472" t="n"/>
      <c r="AD138" s="472" t="n"/>
      <c r="AE138" s="472" t="n"/>
      <c r="AF138" s="472" t="n"/>
      <c r="AG138" s="472" t="n"/>
      <c r="AH138" s="472" t="n"/>
      <c r="AI138" s="472" t="n"/>
      <c r="AJ138" s="472" t="n"/>
    </row>
    <row r="139">
      <c r="A139" s="472" t="n"/>
      <c r="B139" s="471">
        <f>B11</f>
        <v/>
      </c>
      <c r="C139" s="472">
        <f>SUMPRODUCT((ISNUMBER(SEARCH($Y10,Dienstplan!$B$25:$B$36))*(ISNUMBER(SEARCH($AB$3,Dienstplan!$BM$25:$CP$36)))))-D139</f>
        <v/>
      </c>
      <c r="D139" s="472">
        <f>SUMPRODUCT((ISNUMBER(SEARCH($Y10,Dienstplan!$B$25:$B$36))*(ISNUMBER(SEARCH($AB$4,Dienstplan!$BM$25:$CP$36)))))</f>
        <v/>
      </c>
      <c r="E139" s="472">
        <f>SUMPRODUCT((ISNUMBER(SEARCH($Y10,Dienstplan!$B$25:$B$36))*(ISNUMBER(SEARCH($AB$5,Dienstplan!$BM$25:$CP$36)))))</f>
        <v/>
      </c>
      <c r="F139" s="472">
        <f>SUMPRODUCT((ISNUMBER(SEARCH($Y10,Dienstplan!$B$25:$B$36))*(ISNUMBER(SEARCH($AB$6,Dienstplan!$BM$25:$CP$36)))))</f>
        <v/>
      </c>
      <c r="G139" s="472">
        <f>SUMPRODUCT((ISNUMBER(SEARCH($Y10,Dienstplan!$B$25:$B$36))*(ISNUMBER(SEARCH($AB$7,Dienstplan!$BM$25:$CP$36)))))-H139</f>
        <v/>
      </c>
      <c r="H139" s="472">
        <f>SUMPRODUCT((ISNUMBER(SEARCH($Y10,Dienstplan!$B$25:$B$36))*(ISNUMBER(SEARCH($AB$8,Dienstplan!$BM$25:$CP$36)))))</f>
        <v/>
      </c>
      <c r="I139" s="472">
        <f>SUMPRODUCT((ISNUMBER(SEARCH($Y10,Dienstplan!$B$25:$B$36))*(ISNUMBER(SEARCH($AB$9,Dienstplan!$BM$25:$CP$36)))))</f>
        <v/>
      </c>
      <c r="J139" s="472">
        <f>SUMPRODUCT((ISNUMBER(SEARCH($Y10,Dienstplan!$B$25:$B$36))*(ISNUMBER(SEARCH($AB$10,Dienstplan!$BM$25:$CP$36)))))</f>
        <v/>
      </c>
      <c r="K139" s="472">
        <f>SUMPRODUCT((ISNUMBER(SEARCH($Y10,Dienstplan!$B$25:$B$36))*(ISNUMBER(SEARCH($AB$11,Dienstplan!$BM$25:$CP$36)))))-$Q139</f>
        <v/>
      </c>
      <c r="L139" s="472">
        <f>SUMPRODUCT((ISNUMBER(SEARCH($Y10,Dienstplan!$B$25:$B$36))*(ISNUMBER(SEARCH($AB$12,Dienstplan!$BM$25:$CP$36)))))</f>
        <v/>
      </c>
      <c r="M139" s="472">
        <f>SUMPRODUCT((ISNUMBER(SEARCH($Y10,Dienstplan!$B$25:$B$36))*(ISNUMBER(SEARCH($AB$13,Dienstplan!$BM$25:$CP$36)))))</f>
        <v/>
      </c>
      <c r="N139" s="472">
        <f>SUMPRODUCT((ISNUMBER(SEARCH($Y10,Dienstplan!$B$25:$B$36))*(ISNUMBER(SEARCH($AB$14,Dienstplan!$BM$25:$CP$36)))))</f>
        <v/>
      </c>
      <c r="O139" s="472">
        <f>SUMPRODUCT((ISNUMBER(SEARCH($Y10,Dienstplan!$B$25:$B$36))*(ISNUMBER(SEARCH($AB$15,Dienstplan!$BM$25:$CP$36)))))</f>
        <v/>
      </c>
      <c r="P139" s="472">
        <f>SUMPRODUCT((ISNUMBER(SEARCH($Y10,Dienstplan!$B$25:$B$36))*(ISNUMBER(SEARCH($AB$16,Dienstplan!$BM$25:$CP$36)))))</f>
        <v/>
      </c>
      <c r="Q139" s="472">
        <f>SUMPRODUCT((ISNUMBER(SEARCH($Y10,Dienstplan!$B$25:$B$36))*(ISNUMBER(SEARCH($AB$17,Dienstplan!$BM$25:$CP$36)))))</f>
        <v/>
      </c>
      <c r="R139" s="472">
        <f>SUMPRODUCT((ISNUMBER(SEARCH($Y10,Dienstplan!$B$25:$B$36))*(ISNUMBER(SEARCH($AB$18,Dienstplan!$BM$25:$CP$36)))))</f>
        <v/>
      </c>
      <c r="S139" s="472">
        <f>SUMPRODUCT((ISNUMBER(SEARCH($Y10,Dienstplan!$B$25:$B$36))*(ISNUMBER(SEARCH($AB$19,Dienstplan!$BM$25:$CP$36)))))</f>
        <v/>
      </c>
      <c r="T139" s="472">
        <f>SUM($F$130*$Z10)</f>
        <v/>
      </c>
      <c r="U139" s="472">
        <f>SUM($C139*Frueh_1+$D139*Spaet_1+$E139*Nacht_1+$F139*Normal_1+$I139*Sonderd_1-$J139*Krem_E+$K139*Krem_E+$L139*EH_Kurs+$M139*Koor_taet+$N139*Sekre_1+$O139*Krem_E+$R139*Krem_E+$P139*Krem_E+$Q139*Krem_E+G139*Krem_E+H139*Krem_E)</f>
        <v/>
      </c>
      <c r="V139" s="472">
        <f>SUM($U139-$T139)</f>
        <v/>
      </c>
      <c r="W139" s="472">
        <f>V139+W123</f>
        <v/>
      </c>
      <c r="X139" s="472" t="n"/>
      <c r="Y139" s="472" t="n"/>
      <c r="Z139" s="472" t="n"/>
      <c r="AA139" s="472" t="n"/>
      <c r="AB139" s="472" t="n"/>
      <c r="AC139" s="472" t="n"/>
      <c r="AD139" s="472" t="n"/>
      <c r="AE139" s="472" t="n"/>
      <c r="AF139" s="472" t="n"/>
      <c r="AG139" s="472" t="n"/>
      <c r="AH139" s="472" t="n"/>
      <c r="AI139" s="472" t="n"/>
      <c r="AJ139" s="472" t="n"/>
    </row>
    <row r="140">
      <c r="A140" s="472" t="n"/>
      <c r="B140" s="471">
        <f>B12</f>
        <v/>
      </c>
      <c r="C140" s="472">
        <f>SUMPRODUCT((ISNUMBER(SEARCH($Y11,Dienstplan!$B$25:$B$36))*(ISNUMBER(SEARCH($AB$3,Dienstplan!$BM$25:$CP$36)))))-D140</f>
        <v/>
      </c>
      <c r="D140" s="472">
        <f>SUMPRODUCT((ISNUMBER(SEARCH($Y11,Dienstplan!$B$25:$B$36))*(ISNUMBER(SEARCH($AB$4,Dienstplan!$BM$25:$CP$36)))))</f>
        <v/>
      </c>
      <c r="E140" s="472">
        <f>SUMPRODUCT((ISNUMBER(SEARCH($Y11,Dienstplan!$B$25:$B$36))*(ISNUMBER(SEARCH($AB$5,Dienstplan!$BM$25:$CP$36)))))</f>
        <v/>
      </c>
      <c r="F140" s="472">
        <f>SUMPRODUCT((ISNUMBER(SEARCH($Y11,Dienstplan!$B$25:$B$36))*(ISNUMBER(SEARCH($AB$6,Dienstplan!$BM$25:$CP$36)))))</f>
        <v/>
      </c>
      <c r="G140" s="472">
        <f>SUMPRODUCT((ISNUMBER(SEARCH($Y11,Dienstplan!$B$25:$B$36))*(ISNUMBER(SEARCH($AB$7,Dienstplan!$BM$25:$CP$36)))))-H140</f>
        <v/>
      </c>
      <c r="H140" s="472">
        <f>SUMPRODUCT((ISNUMBER(SEARCH($Y11,Dienstplan!$B$25:$B$36))*(ISNUMBER(SEARCH($AB$8,Dienstplan!$BM$25:$CP$36)))))</f>
        <v/>
      </c>
      <c r="I140" s="472">
        <f>SUMPRODUCT((ISNUMBER(SEARCH($Y11,Dienstplan!$B$25:$B$36))*(ISNUMBER(SEARCH($AB$9,Dienstplan!$BM$25:$CP$36)))))</f>
        <v/>
      </c>
      <c r="J140" s="472">
        <f>SUMPRODUCT((ISNUMBER(SEARCH($Y11,Dienstplan!$B$25:$B$36))*(ISNUMBER(SEARCH($AB$10,Dienstplan!$BM$25:$CP$36)))))</f>
        <v/>
      </c>
      <c r="K140" s="472">
        <f>SUMPRODUCT((ISNUMBER(SEARCH($Y11,Dienstplan!$B$25:$B$36))*(ISNUMBER(SEARCH($AB$11,Dienstplan!$BM$25:$CP$36)))))-$Q140</f>
        <v/>
      </c>
      <c r="L140" s="472">
        <f>SUMPRODUCT((ISNUMBER(SEARCH($Y11,Dienstplan!$B$25:$B$36))*(ISNUMBER(SEARCH($AB$12,Dienstplan!$BM$25:$CP$36)))))</f>
        <v/>
      </c>
      <c r="M140" s="472">
        <f>SUMPRODUCT((ISNUMBER(SEARCH($Y11,Dienstplan!$B$25:$B$36))*(ISNUMBER(SEARCH($AB$13,Dienstplan!$BM$25:$CP$36)))))</f>
        <v/>
      </c>
      <c r="N140" s="472">
        <f>SUMPRODUCT((ISNUMBER(SEARCH($Y11,Dienstplan!$B$25:$B$36))*(ISNUMBER(SEARCH($AB$14,Dienstplan!$BM$25:$CP$36)))))</f>
        <v/>
      </c>
      <c r="O140" s="472">
        <f>SUMPRODUCT((ISNUMBER(SEARCH($Y11,Dienstplan!$B$25:$B$36))*(ISNUMBER(SEARCH($AB$15,Dienstplan!$BM$25:$CP$36)))))</f>
        <v/>
      </c>
      <c r="P140" s="472">
        <f>SUMPRODUCT((ISNUMBER(SEARCH($Y11,Dienstplan!$B$25:$B$36))*(ISNUMBER(SEARCH($AB$16,Dienstplan!$BM$25:$CP$36)))))</f>
        <v/>
      </c>
      <c r="Q140" s="472">
        <f>SUMPRODUCT((ISNUMBER(SEARCH($Y11,Dienstplan!$B$25:$B$36))*(ISNUMBER(SEARCH($AB$17,Dienstplan!$BM$25:$CP$36)))))</f>
        <v/>
      </c>
      <c r="R140" s="472">
        <f>SUMPRODUCT((ISNUMBER(SEARCH($Y11,Dienstplan!$B$25:$B$36))*(ISNUMBER(SEARCH($AB$18,Dienstplan!$BM$25:$CP$36)))))</f>
        <v/>
      </c>
      <c r="S140" s="472">
        <f>SUMPRODUCT((ISNUMBER(SEARCH($Y11,Dienstplan!$B$25:$B$36))*(ISNUMBER(SEARCH($AB$19,Dienstplan!$BM$25:$CP$36)))))</f>
        <v/>
      </c>
      <c r="T140" s="472">
        <f>SUM($F$130*$Z11)</f>
        <v/>
      </c>
      <c r="U140" s="472">
        <f>SUM($C140*Frueh_1+$D140*Spaet_1+$E140*Nacht_1+$F140*Normal_1+$I140*Sonderd_1-$J140*Put_W+$K140*Put_W+$L140*EH_Kurs+$M140*Koor_taet+$N140*Sekre_1+$O140*Put_W+$R140*Put_W+$P140*Put_W+$Q140*Put_W+G140*Put_W+H140*Put_W)</f>
        <v/>
      </c>
      <c r="V140" s="472">
        <f>SUM($U140-$T140)</f>
        <v/>
      </c>
      <c r="W140" s="472">
        <f>V140+W124</f>
        <v/>
      </c>
      <c r="X140" s="472" t="n"/>
      <c r="Y140" s="472" t="n"/>
      <c r="Z140" s="472" t="n"/>
      <c r="AA140" s="472" t="n"/>
      <c r="AB140" s="472" t="n"/>
      <c r="AC140" s="472" t="n"/>
      <c r="AD140" s="472" t="n"/>
      <c r="AE140" s="472" t="n"/>
      <c r="AF140" s="472" t="n"/>
      <c r="AG140" s="472" t="n"/>
      <c r="AH140" s="472" t="n"/>
      <c r="AI140" s="472" t="n"/>
      <c r="AJ140" s="472" t="n"/>
    </row>
    <row r="141">
      <c r="A141" s="472" t="n"/>
      <c r="B141" s="471">
        <f>B13</f>
        <v/>
      </c>
      <c r="C141" s="472">
        <f>SUMPRODUCT((ISNUMBER(SEARCH($Y12,Dienstplan!$B$25:$B$36))*(ISNUMBER(SEARCH($AB$3,Dienstplan!$BM$25:$CP$36)))))-D141</f>
        <v/>
      </c>
      <c r="D141" s="472">
        <f>SUMPRODUCT((ISNUMBER(SEARCH($Y12,Dienstplan!$B$25:$B$36))*(ISNUMBER(SEARCH($AB$4,Dienstplan!$BM$25:$CP$36)))))</f>
        <v/>
      </c>
      <c r="E141" s="472">
        <f>SUMPRODUCT((ISNUMBER(SEARCH($Y12,Dienstplan!$B$25:$B$36))*(ISNUMBER(SEARCH($AB$5,Dienstplan!$BM$25:$CP$36)))))</f>
        <v/>
      </c>
      <c r="F141" s="472">
        <f>SUMPRODUCT((ISNUMBER(SEARCH($Y12,Dienstplan!$B$25:$B$36))*(ISNUMBER(SEARCH($AB$6,Dienstplan!$BM$25:$CP$36)))))</f>
        <v/>
      </c>
      <c r="G141" s="472">
        <f>SUMPRODUCT((ISNUMBER(SEARCH($Y12,Dienstplan!$B$25:$B$36))*(ISNUMBER(SEARCH($AB$7,Dienstplan!$BM$25:$CP$36)))))-H141</f>
        <v/>
      </c>
      <c r="H141" s="472">
        <f>SUMPRODUCT((ISNUMBER(SEARCH($Y12,Dienstplan!$B$25:$B$36))*(ISNUMBER(SEARCH($AB$8,Dienstplan!$BM$25:$CP$36)))))</f>
        <v/>
      </c>
      <c r="I141" s="472">
        <f>SUMPRODUCT((ISNUMBER(SEARCH($Y12,Dienstplan!$B$25:$B$36))*(ISNUMBER(SEARCH($AB$9,Dienstplan!$BM$25:$CP$36)))))</f>
        <v/>
      </c>
      <c r="J141" s="472">
        <f>SUMPRODUCT((ISNUMBER(SEARCH($Y12,Dienstplan!$B$25:$B$36))*(ISNUMBER(SEARCH($AB$10,Dienstplan!$BM$25:$CP$36)))))</f>
        <v/>
      </c>
      <c r="K141" s="472">
        <f>SUMPRODUCT((ISNUMBER(SEARCH($Y12,Dienstplan!$B$25:$B$36))*(ISNUMBER(SEARCH($AB$11,Dienstplan!$BM$25:$CP$36)))))-$Q141</f>
        <v/>
      </c>
      <c r="L141" s="472">
        <f>SUMPRODUCT((ISNUMBER(SEARCH($Y12,Dienstplan!$B$25:$B$36))*(ISNUMBER(SEARCH($AB$12,Dienstplan!$BM$25:$CP$36)))))</f>
        <v/>
      </c>
      <c r="M141" s="472">
        <f>SUMPRODUCT((ISNUMBER(SEARCH($Y12,Dienstplan!$B$25:$B$36))*(ISNUMBER(SEARCH($AB$13,Dienstplan!$BM$25:$CP$36)))))</f>
        <v/>
      </c>
      <c r="N141" s="472">
        <f>SUMPRODUCT((ISNUMBER(SEARCH($Y12,Dienstplan!$B$25:$B$36))*(ISNUMBER(SEARCH($AB$14,Dienstplan!$BM$25:$CP$36)))))</f>
        <v/>
      </c>
      <c r="O141" s="472">
        <f>SUMPRODUCT((ISNUMBER(SEARCH($Y12,Dienstplan!$B$25:$B$36))*(ISNUMBER(SEARCH($AB$15,Dienstplan!$BM$25:$CP$36)))))</f>
        <v/>
      </c>
      <c r="P141" s="472">
        <f>SUMPRODUCT((ISNUMBER(SEARCH($Y12,Dienstplan!$B$25:$B$36))*(ISNUMBER(SEARCH($AB$16,Dienstplan!$BM$25:$CP$36)))))</f>
        <v/>
      </c>
      <c r="Q141" s="472">
        <f>SUMPRODUCT((ISNUMBER(SEARCH($Y12,Dienstplan!$B$25:$B$36))*(ISNUMBER(SEARCH($AB$17,Dienstplan!$BM$25:$CP$36)))))</f>
        <v/>
      </c>
      <c r="R141" s="472">
        <f>SUMPRODUCT((ISNUMBER(SEARCH($Y12,Dienstplan!$B$25:$B$36))*(ISNUMBER(SEARCH($AB$18,Dienstplan!$BM$25:$CP$36)))))</f>
        <v/>
      </c>
      <c r="S141" s="472">
        <f>SUMPRODUCT((ISNUMBER(SEARCH($Y12,Dienstplan!$B$25:$B$36))*(ISNUMBER(SEARCH($AB$19,Dienstplan!$BM$25:$CP$36)))))</f>
        <v/>
      </c>
      <c r="T141" s="472">
        <f>SUM($F$130*$Z12)</f>
        <v/>
      </c>
      <c r="U141" s="472">
        <f>SUM($C141*Frueh_1+$D141*Spaet_1+$E141*Nacht_1+$F141*Normal_1+$I141*Sonderd_1-$J141*Radi_L+$K141*Radi_L+$L141*EH_Kurs+$M141*Koor_taet+$N141*Sekre_1+$O141*Radi_L+$R141*Radi_L+$P141*Radi_L+$Q141*Radi_L+G141*Radi_L+H141*Radi_L)</f>
        <v/>
      </c>
      <c r="V141" s="472">
        <f>SUM($U141-$T141)</f>
        <v/>
      </c>
      <c r="W141" s="472">
        <f>V141+W125</f>
        <v/>
      </c>
      <c r="X141" s="472" t="n"/>
      <c r="Y141" s="472" t="n"/>
      <c r="Z141" s="472" t="n"/>
      <c r="AA141" s="472" t="n"/>
      <c r="AB141" s="472" t="n"/>
      <c r="AC141" s="472" t="n"/>
      <c r="AD141" s="472" t="n"/>
      <c r="AE141" s="472" t="n"/>
      <c r="AF141" s="472" t="n"/>
      <c r="AG141" s="472" t="n"/>
      <c r="AH141" s="472" t="n"/>
      <c r="AI141" s="472" t="n"/>
      <c r="AJ141" s="472" t="n"/>
    </row>
    <row r="142">
      <c r="A142" s="472" t="n"/>
      <c r="B142" s="471">
        <f>B14</f>
        <v/>
      </c>
      <c r="C142" s="472">
        <f>SUMPRODUCT((ISNUMBER(SEARCH($Y13,Dienstplan!$B$25:$B$36))*(ISNUMBER(SEARCH($AB$3,Dienstplan!$BM$25:$CP$36)))))-D142</f>
        <v/>
      </c>
      <c r="D142" s="472">
        <f>SUMPRODUCT((ISNUMBER(SEARCH($Y13,Dienstplan!$B$25:$B$36))*(ISNUMBER(SEARCH($AB$4,Dienstplan!$BM$25:$CP$36)))))</f>
        <v/>
      </c>
      <c r="E142" s="472">
        <f>SUMPRODUCT((ISNUMBER(SEARCH($Y13,Dienstplan!$B$25:$B$36))*(ISNUMBER(SEARCH($AB$5,Dienstplan!$BM$25:$CP$36)))))</f>
        <v/>
      </c>
      <c r="F142" s="472">
        <f>SUMPRODUCT((ISNUMBER(SEARCH($Y13,Dienstplan!$B$25:$B$36))*(ISNUMBER(SEARCH($AB$6,Dienstplan!$BM$25:$CP$36)))))</f>
        <v/>
      </c>
      <c r="G142" s="472">
        <f>SUMPRODUCT((ISNUMBER(SEARCH($Y13,Dienstplan!$B$25:$B$36))*(ISNUMBER(SEARCH($AB$7,Dienstplan!$BM$25:$CP$36)))))-H142</f>
        <v/>
      </c>
      <c r="H142" s="472">
        <f>SUMPRODUCT((ISNUMBER(SEARCH($Y13,Dienstplan!$B$25:$B$36))*(ISNUMBER(SEARCH($AB$8,Dienstplan!$BM$25:$CP$36)))))</f>
        <v/>
      </c>
      <c r="I142" s="472">
        <f>SUMPRODUCT((ISNUMBER(SEARCH($Y13,Dienstplan!$B$25:$B$36))*(ISNUMBER(SEARCH($AB$9,Dienstplan!$BM$25:$CP$36)))))</f>
        <v/>
      </c>
      <c r="J142" s="472">
        <f>SUMPRODUCT((ISNUMBER(SEARCH($Y13,Dienstplan!$B$25:$B$36))*(ISNUMBER(SEARCH($AB$10,Dienstplan!$BM$25:$CP$36)))))</f>
        <v/>
      </c>
      <c r="K142" s="472">
        <f>SUMPRODUCT((ISNUMBER(SEARCH($Y13,Dienstplan!$B$25:$B$36))*(ISNUMBER(SEARCH($AB$11,Dienstplan!$BM$25:$CP$36)))))-$Q142</f>
        <v/>
      </c>
      <c r="L142" s="472">
        <f>SUMPRODUCT((ISNUMBER(SEARCH($Y13,Dienstplan!$B$25:$B$36))*(ISNUMBER(SEARCH($AB$12,Dienstplan!$BM$25:$CP$36)))))</f>
        <v/>
      </c>
      <c r="M142" s="472">
        <f>SUMPRODUCT((ISNUMBER(SEARCH($Y13,Dienstplan!$B$25:$B$36))*(ISNUMBER(SEARCH($AB$13,Dienstplan!$BM$25:$CP$36)))))</f>
        <v/>
      </c>
      <c r="N142" s="472">
        <f>SUMPRODUCT((ISNUMBER(SEARCH($Y13,Dienstplan!$B$25:$B$36))*(ISNUMBER(SEARCH($AB$14,Dienstplan!$BM$25:$CP$36)))))</f>
        <v/>
      </c>
      <c r="O142" s="472">
        <f>SUMPRODUCT((ISNUMBER(SEARCH($Y13,Dienstplan!$B$25:$B$36))*(ISNUMBER(SEARCH($AB$15,Dienstplan!$BM$25:$CP$36)))))</f>
        <v/>
      </c>
      <c r="P142" s="472">
        <f>SUMPRODUCT((ISNUMBER(SEARCH($Y13,Dienstplan!$B$25:$B$36))*(ISNUMBER(SEARCH($AB$16,Dienstplan!$BM$25:$CP$36)))))</f>
        <v/>
      </c>
      <c r="Q142" s="472">
        <f>SUMPRODUCT((ISNUMBER(SEARCH($Y13,Dienstplan!$B$25:$B$36))*(ISNUMBER(SEARCH($AB$17,Dienstplan!$BM$25:$CP$36)))))</f>
        <v/>
      </c>
      <c r="R142" s="472">
        <f>SUMPRODUCT((ISNUMBER(SEARCH($Y13,Dienstplan!$B$25:$B$36))*(ISNUMBER(SEARCH($AB$18,Dienstplan!$BM$25:$CP$36)))))</f>
        <v/>
      </c>
      <c r="S142" s="472">
        <f>SUMPRODUCT((ISNUMBER(SEARCH($Y13,Dienstplan!$B$25:$B$36))*(ISNUMBER(SEARCH($AB$19,Dienstplan!$BM$25:$CP$36)))))</f>
        <v/>
      </c>
      <c r="T142" s="472">
        <f>SUM($F$130*$Z13)</f>
        <v/>
      </c>
      <c r="U142" s="472">
        <f>SUM($C142*Frueh_1+$D142*Spaet_1+$E142*Nacht_1+$F142*Normal_1+$I142*Sonderd_1-$J142*Fortenb+$K142*Fortenb+$L142*EH_Kurs+$M142*Koor_taet+$N142*Sekre_1+$O142*Fortenb+$R142*Fortenb+$P142*Fortenb+$Q142*Fortenb+G142*Fortenb+H142*Fortenb)</f>
        <v/>
      </c>
      <c r="V142" s="472">
        <f>SUM($U142-$T142)</f>
        <v/>
      </c>
      <c r="W142" s="472">
        <f>V142+W126</f>
        <v/>
      </c>
      <c r="X142" s="472" t="n"/>
      <c r="Y142" s="472" t="n"/>
      <c r="Z142" s="472" t="n"/>
      <c r="AA142" s="472" t="n"/>
      <c r="AB142" s="472" t="n"/>
      <c r="AC142" s="472" t="n"/>
      <c r="AD142" s="472" t="n"/>
      <c r="AE142" s="472" t="n"/>
      <c r="AF142" s="472" t="n"/>
      <c r="AG142" s="472" t="n"/>
      <c r="AH142" s="472" t="n"/>
      <c r="AI142" s="472" t="n"/>
      <c r="AJ142" s="472" t="n"/>
    </row>
    <row r="143">
      <c r="A143" s="472" t="n"/>
      <c r="B143" s="471" t="n"/>
      <c r="C143" s="472" t="n"/>
      <c r="D143" s="472" t="n"/>
      <c r="E143" s="472" t="n"/>
      <c r="F143" s="472" t="n"/>
      <c r="G143" s="472" t="n"/>
      <c r="H143" s="472" t="n"/>
      <c r="I143" s="472" t="n"/>
      <c r="J143" s="472" t="n"/>
      <c r="K143" s="472" t="n"/>
      <c r="L143" s="472" t="n"/>
      <c r="M143" s="472" t="n"/>
      <c r="N143" s="472" t="n"/>
      <c r="O143" s="472" t="n"/>
      <c r="P143" s="472" t="n"/>
      <c r="Q143" s="472" t="n"/>
      <c r="R143" s="472" t="n"/>
      <c r="S143" s="472" t="n"/>
      <c r="T143" s="472" t="n"/>
      <c r="U143" s="472" t="n"/>
      <c r="V143" s="472" t="n"/>
      <c r="W143" s="472" t="n"/>
      <c r="X143" s="472" t="n"/>
      <c r="Y143" s="472" t="n"/>
      <c r="Z143" s="472" t="n"/>
      <c r="AA143" s="472" t="n"/>
      <c r="AB143" s="472" t="n"/>
      <c r="AC143" s="472" t="n"/>
      <c r="AD143" s="472" t="n"/>
      <c r="AE143" s="472" t="n"/>
      <c r="AF143" s="472" t="n"/>
      <c r="AG143" s="472" t="n"/>
      <c r="AH143" s="472" t="n"/>
      <c r="AI143" s="472" t="n"/>
      <c r="AJ143" s="472" t="n"/>
    </row>
    <row r="144">
      <c r="A144" s="483" t="n"/>
      <c r="B144" s="483" t="inlineStr">
        <is>
          <t>Summe</t>
        </is>
      </c>
      <c r="C144" s="483">
        <f>SUM(C132:C143)</f>
        <v/>
      </c>
      <c r="D144" s="483">
        <f>SUM(D132:D143)</f>
        <v/>
      </c>
      <c r="E144" s="483">
        <f>SUM(E132:E143)</f>
        <v/>
      </c>
      <c r="F144" s="483">
        <f>SUM(F132:F143)</f>
        <v/>
      </c>
      <c r="G144" s="483">
        <f>SUM(G132:G143)</f>
        <v/>
      </c>
      <c r="H144" s="483">
        <f>SUM(H132:H143)</f>
        <v/>
      </c>
      <c r="I144" s="483">
        <f>SUM(I132:I143)</f>
        <v/>
      </c>
      <c r="J144" s="483">
        <f>SUM(J132:J143)</f>
        <v/>
      </c>
      <c r="K144" s="483">
        <f>SUM(K132:K143)</f>
        <v/>
      </c>
      <c r="L144" s="483">
        <f>SUM(L132:L143)</f>
        <v/>
      </c>
      <c r="M144" s="483">
        <f>SUM(M132:M143)</f>
        <v/>
      </c>
      <c r="N144" s="483">
        <f>SUM(N132:N143)</f>
        <v/>
      </c>
      <c r="O144" s="483">
        <f>SUM(O132:O143)</f>
        <v/>
      </c>
      <c r="P144" s="483">
        <f>SUM(P132:P143)</f>
        <v/>
      </c>
      <c r="Q144" s="483">
        <f>SUM(Q132:Q143)</f>
        <v/>
      </c>
      <c r="R144" s="483">
        <f>SUM(R132:R143)</f>
        <v/>
      </c>
      <c r="S144" s="483">
        <f>SUM(S132:S143)</f>
        <v/>
      </c>
      <c r="T144" s="483">
        <f>SUM(T132:T140)</f>
        <v/>
      </c>
      <c r="U144" s="483">
        <f>SUM(U132:U140)</f>
        <v/>
      </c>
      <c r="V144" s="483" t="n"/>
      <c r="W144" s="483" t="n"/>
      <c r="X144" s="483" t="n"/>
      <c r="Y144" s="483" t="n"/>
      <c r="Z144" s="483" t="n"/>
      <c r="AA144" s="483" t="n"/>
      <c r="AB144" s="483" t="n"/>
      <c r="AC144" s="483" t="n"/>
      <c r="AD144" s="483" t="n"/>
      <c r="AE144" s="483" t="n"/>
      <c r="AF144" s="483" t="n"/>
      <c r="AG144" s="483" t="n"/>
      <c r="AH144" s="483" t="n"/>
      <c r="AI144" s="483" t="n"/>
      <c r="AJ144" s="483" t="n"/>
    </row>
    <row r="145">
      <c r="A145" s="11" t="n"/>
      <c r="B145" s="12" t="n"/>
      <c r="C145" s="1" t="n"/>
      <c r="D145" s="1" t="n"/>
      <c r="E145" s="1" t="n"/>
      <c r="F145" s="1" t="n"/>
      <c r="G145" s="1" t="n"/>
      <c r="H145" s="1" t="n"/>
      <c r="I145" s="1" t="n"/>
      <c r="J145" s="1" t="n"/>
      <c r="K145" s="1" t="n"/>
      <c r="L145" s="1" t="n"/>
      <c r="M145" s="1" t="n"/>
      <c r="N145" s="1" t="n"/>
      <c r="O145" s="1" t="n"/>
      <c r="P145" s="1" t="n"/>
      <c r="Q145" s="1" t="n"/>
      <c r="R145" s="1" t="n"/>
      <c r="S145" s="12" t="n"/>
      <c r="T145" s="1" t="n"/>
      <c r="U145" s="1" t="n"/>
      <c r="V145" s="12" t="n"/>
      <c r="W145" s="17" t="n"/>
    </row>
    <row r="146">
      <c r="A146" s="475" t="n"/>
      <c r="B146" s="476" t="inlineStr">
        <is>
          <t>Oktober</t>
        </is>
      </c>
      <c r="C146" s="475" t="n"/>
      <c r="D146" s="477" t="inlineStr">
        <is>
          <t>Arbeitstage</t>
        </is>
      </c>
      <c r="E146" s="475" t="n"/>
      <c r="F146" s="478" t="n">
        <v>21</v>
      </c>
      <c r="G146" s="479" t="n"/>
      <c r="H146" s="479" t="n"/>
      <c r="I146" s="477" t="inlineStr">
        <is>
          <t>Samstage</t>
        </is>
      </c>
      <c r="J146" s="475" t="n"/>
      <c r="K146" s="478" t="n">
        <v>4</v>
      </c>
      <c r="L146" s="475" t="n"/>
      <c r="M146" s="475" t="n"/>
      <c r="N146" s="475" t="n"/>
      <c r="O146" s="475" t="n"/>
      <c r="P146" s="475" t="n"/>
      <c r="Q146" s="475" t="n"/>
      <c r="R146" s="475" t="n"/>
      <c r="S146" s="475" t="n"/>
      <c r="T146" s="475" t="n"/>
      <c r="U146" s="475" t="n"/>
      <c r="V146" s="475" t="n"/>
      <c r="W146" s="475" t="n"/>
      <c r="X146" s="475" t="n"/>
      <c r="Y146" s="475" t="n"/>
      <c r="Z146" s="475" t="n"/>
      <c r="AA146" s="475" t="n"/>
      <c r="AB146" s="475" t="n"/>
      <c r="AC146" s="475" t="n"/>
      <c r="AD146" s="475" t="n"/>
      <c r="AE146" s="475" t="n"/>
      <c r="AF146" s="475" t="n"/>
      <c r="AG146" s="475" t="n"/>
      <c r="AH146" s="475" t="n"/>
      <c r="AI146" s="475" t="n"/>
      <c r="AJ146" s="475" t="n"/>
    </row>
    <row r="147">
      <c r="A147" s="480" t="n"/>
      <c r="B147" s="480" t="n"/>
      <c r="C147" s="480">
        <f>Jahr!C3</f>
        <v/>
      </c>
      <c r="D147" s="480">
        <f>Jahr!D3</f>
        <v/>
      </c>
      <c r="E147" s="480">
        <f>Jahr!E3</f>
        <v/>
      </c>
      <c r="F147" s="480">
        <f>Jahr!F3</f>
        <v/>
      </c>
      <c r="G147" s="480">
        <f>Jahr!G3</f>
        <v/>
      </c>
      <c r="H147" s="480">
        <f>Jahr!H3</f>
        <v/>
      </c>
      <c r="I147" s="480">
        <f>Jahr!I3</f>
        <v/>
      </c>
      <c r="J147" s="480">
        <f>Jahr!J3</f>
        <v/>
      </c>
      <c r="K147" s="480">
        <f>Jahr!K3</f>
        <v/>
      </c>
      <c r="L147" s="480">
        <f>Jahr!L3</f>
        <v/>
      </c>
      <c r="M147" s="480">
        <f>Jahr!M3</f>
        <v/>
      </c>
      <c r="N147" s="480">
        <f>Jahr!N3</f>
        <v/>
      </c>
      <c r="O147" s="480">
        <f>Jahr!O3</f>
        <v/>
      </c>
      <c r="P147" s="480">
        <f>Jahr!P3</f>
        <v/>
      </c>
      <c r="Q147" s="480">
        <f>Jahr!Q3</f>
        <v/>
      </c>
      <c r="R147" s="480">
        <f>Jahr!R3</f>
        <v/>
      </c>
      <c r="S147" s="480">
        <f>Jahr!S3</f>
        <v/>
      </c>
      <c r="T147" s="480" t="inlineStr">
        <is>
          <t>Soll AZ</t>
        </is>
      </c>
      <c r="U147" s="480" t="inlineStr">
        <is>
          <t>Ist AZ</t>
        </is>
      </c>
      <c r="V147" s="480" t="inlineStr">
        <is>
          <t>Differenz</t>
        </is>
      </c>
      <c r="W147" s="480" t="inlineStr">
        <is>
          <t>Gesamt</t>
        </is>
      </c>
      <c r="X147" s="480" t="n"/>
      <c r="Y147" s="480" t="n"/>
      <c r="Z147" s="480" t="n"/>
      <c r="AA147" s="480" t="n"/>
      <c r="AB147" s="480" t="n"/>
      <c r="AC147" s="480" t="n"/>
      <c r="AD147" s="480" t="n"/>
      <c r="AE147" s="480" t="n"/>
      <c r="AF147" s="480" t="n"/>
      <c r="AG147" s="480" t="n"/>
      <c r="AH147" s="480" t="n"/>
      <c r="AI147" s="480" t="n"/>
      <c r="AJ147" s="480" t="n"/>
    </row>
    <row r="148">
      <c r="A148" s="472" t="n"/>
      <c r="B148" s="471">
        <f>B4</f>
        <v/>
      </c>
      <c r="C148" s="472">
        <f>SUMPRODUCT((ISNUMBER(SEARCH($Y3,Dienstplan!$B$25:$B$36))*(ISNUMBER(SEARCH($AB$3,Dienstplan!$CQ$25:$DV$36)))))-D148</f>
        <v/>
      </c>
      <c r="D148" s="472">
        <f>SUMPRODUCT((ISNUMBER(SEARCH($Y3,Dienstplan!$B$25:$B$36))*(ISNUMBER(SEARCH($AB$4,Dienstplan!$CQ$25:$DV$36)))))</f>
        <v/>
      </c>
      <c r="E148" s="472">
        <f>SUMPRODUCT((ISNUMBER(SEARCH($Y3,Dienstplan!$B$25:$B$36))*(ISNUMBER(SEARCH($AB$5,Dienstplan!$CQ$25:$DV$36)))))</f>
        <v/>
      </c>
      <c r="F148" s="472">
        <f>SUMPRODUCT((ISNUMBER(SEARCH($Y3,Dienstplan!$B$25:$B$36))*(ISNUMBER(SEARCH($AB$6,Dienstplan!$CQ$25:$DV$36)))))</f>
        <v/>
      </c>
      <c r="G148" s="472">
        <f>SUMPRODUCT((ISNUMBER(SEARCH($Y3,Dienstplan!$B$25:$B$36))*(ISNUMBER(SEARCH($AB$7,Dienstplan!$CQ$25:$DV$36)))))-H148</f>
        <v/>
      </c>
      <c r="H148" s="472">
        <f>SUMPRODUCT((ISNUMBER(SEARCH($Y3,Dienstplan!$B$25:$B$36))*(ISNUMBER(SEARCH($AB$8,Dienstplan!$CQ$25:$DV$36)))))</f>
        <v/>
      </c>
      <c r="I148" s="472">
        <f>SUMPRODUCT((ISNUMBER(SEARCH($Y3,Dienstplan!$B$25:$B$36))*(ISNUMBER(SEARCH($AB$9,Dienstplan!$CQ$25:$DV$36)))))</f>
        <v/>
      </c>
      <c r="J148" s="472">
        <f>SUMPRODUCT((ISNUMBER(SEARCH($Y3,Dienstplan!$B$25:$B$36))*(ISNUMBER(SEARCH($AB$10,Dienstplan!$CQ$25:$DV$36)))))</f>
        <v/>
      </c>
      <c r="K148" s="472">
        <f>SUMPRODUCT((ISNUMBER(SEARCH($Y3,Dienstplan!$B$25:$B$36))*(ISNUMBER(SEARCH($AB$11,Dienstplan!$CQ$25:$DV$36)))))-$Q148</f>
        <v/>
      </c>
      <c r="L148" s="472">
        <f>SUMPRODUCT((ISNUMBER(SEARCH($Y3,Dienstplan!$B$25:$B$36))*(ISNUMBER(SEARCH($AB$12,Dienstplan!$CQ$25:$DV$36)))))</f>
        <v/>
      </c>
      <c r="M148" s="472">
        <f>SUMPRODUCT((ISNUMBER(SEARCH($Y3,Dienstplan!$B$25:$B$36))*(ISNUMBER(SEARCH($AB$13,Dienstplan!$CQ$25:$DV$36)))))</f>
        <v/>
      </c>
      <c r="N148" s="472">
        <f>SUMPRODUCT((ISNUMBER(SEARCH($Y3,Dienstplan!$B$25:$B$36))*(ISNUMBER(SEARCH($AB$14,Dienstplan!$CQ$25:$DV$36)))))</f>
        <v/>
      </c>
      <c r="O148" s="472">
        <f>SUMPRODUCT((ISNUMBER(SEARCH($Y3,Dienstplan!$B$25:$B$36))*(ISNUMBER(SEARCH($AB$15,Dienstplan!$CQ$25:$DV$36)))))</f>
        <v/>
      </c>
      <c r="P148" s="472">
        <f>SUMPRODUCT((ISNUMBER(SEARCH($Y3,Dienstplan!$B$25:$B$36))*(ISNUMBER(SEARCH($AB$16,Dienstplan!$CQ$25:$DV$36)))))</f>
        <v/>
      </c>
      <c r="Q148" s="472">
        <f>SUMPRODUCT((ISNUMBER(SEARCH($Y3,Dienstplan!$B$25:$B$36))*(ISNUMBER(SEARCH($AB$16,Dienstplan!$CQ$25:$DV$36)))))</f>
        <v/>
      </c>
      <c r="R148" s="472">
        <f>SUMPRODUCT((ISNUMBER(SEARCH($Y3,Dienstplan!$B$25:$B$36))*(ISNUMBER(SEARCH($AB$18,Dienstplan!$CQ$25:$DV$36)))))</f>
        <v/>
      </c>
      <c r="S148" s="472">
        <f>SUMPRODUCT((ISNUMBER(SEARCH($Y3,Dienstplan!$B$25:$B$36))*(ISNUMBER(SEARCH($AB$19,Dienstplan!$CQ$25:$DV$36)))))</f>
        <v/>
      </c>
      <c r="T148" s="472">
        <f>SUM($F$146*$Z3)</f>
        <v/>
      </c>
      <c r="U148" s="472">
        <f>SUM($C148*Frueh_1+$D148*Spaet_1+$E148*Nacht_1+$F148*Normal_1+$I148*Sonderd_1-$J148*Velten+$K148*Velten+$L148*EH_Kurs+$M148*Koor_taet+$N148*Sekre_1+$O148*Velten+$R148*Velten+$P148*Velten+$Q148*Velten+G148*Velt_M+H148*Velt_M)</f>
        <v/>
      </c>
      <c r="V148" s="472">
        <f>SUM($U148-$T148)</f>
        <v/>
      </c>
      <c r="W148" s="472">
        <f>V148+W132</f>
        <v/>
      </c>
      <c r="X148" s="472" t="n"/>
      <c r="Y148" s="472" t="n"/>
      <c r="Z148" s="472" t="n"/>
      <c r="AA148" s="472" t="n"/>
      <c r="AB148" s="472" t="n"/>
      <c r="AC148" s="472" t="n"/>
      <c r="AD148" s="472" t="n"/>
      <c r="AE148" s="472" t="n"/>
      <c r="AF148" s="472" t="n"/>
      <c r="AG148" s="472" t="n"/>
      <c r="AH148" s="472" t="n"/>
      <c r="AI148" s="472" t="n"/>
      <c r="AJ148" s="472" t="n"/>
    </row>
    <row r="149">
      <c r="A149" s="472" t="n"/>
      <c r="B149" s="471">
        <f>B5</f>
        <v/>
      </c>
      <c r="C149" s="472">
        <f>SUMPRODUCT((ISNUMBER(SEARCH($Y4,Dienstplan!$B$25:$B$36))*(ISNUMBER(SEARCH($AB$3,Dienstplan!$CQ$25:$DV$36)))))-D149</f>
        <v/>
      </c>
      <c r="D149" s="472">
        <f>SUMPRODUCT((ISNUMBER(SEARCH($Y4,Dienstplan!$B$25:$B$36))*(ISNUMBER(SEARCH($AB$4,Dienstplan!$CQ$25:$DV$36)))))</f>
        <v/>
      </c>
      <c r="E149" s="472">
        <f>SUMPRODUCT((ISNUMBER(SEARCH($Y4,Dienstplan!$B$25:$B$36))*(ISNUMBER(SEARCH($AB$5,Dienstplan!$CQ$25:$DV$36)))))</f>
        <v/>
      </c>
      <c r="F149" s="472">
        <f>SUMPRODUCT((ISNUMBER(SEARCH($Y4,Dienstplan!$B$25:$B$36))*(ISNUMBER(SEARCH($AB$6,Dienstplan!$CQ$25:$DV$36)))))</f>
        <v/>
      </c>
      <c r="G149" s="472">
        <f>SUMPRODUCT((ISNUMBER(SEARCH($Y4,Dienstplan!$B$25:$B$36))*(ISNUMBER(SEARCH($AB$7,Dienstplan!$CQ$25:$DV$36)))))-H149</f>
        <v/>
      </c>
      <c r="H149" s="472">
        <f>SUMPRODUCT((ISNUMBER(SEARCH($Y4,Dienstplan!$B$25:$B$36))*(ISNUMBER(SEARCH($AB$8,Dienstplan!$CQ$25:$DV$36)))))</f>
        <v/>
      </c>
      <c r="I149" s="472">
        <f>SUMPRODUCT((ISNUMBER(SEARCH($Y4,Dienstplan!$B$25:$B$36))*(ISNUMBER(SEARCH($AB$9,Dienstplan!$CQ$25:$DV$36)))))</f>
        <v/>
      </c>
      <c r="J149" s="472">
        <f>SUMPRODUCT((ISNUMBER(SEARCH($Y4,Dienstplan!$B$25:$B$36))*(ISNUMBER(SEARCH($AB$10,Dienstplan!$CQ$25:$DV$36)))))</f>
        <v/>
      </c>
      <c r="K149" s="472">
        <f>SUMPRODUCT((ISNUMBER(SEARCH($Y4,Dienstplan!$B$25:$B$36))*(ISNUMBER(SEARCH($AB$11,Dienstplan!$CQ$25:$DV$36)))))-$Q149</f>
        <v/>
      </c>
      <c r="L149" s="472">
        <f>SUMPRODUCT((ISNUMBER(SEARCH($Y4,Dienstplan!$B$25:$B$36))*(ISNUMBER(SEARCH($AB$12,Dienstplan!$CQ$25:$DV$36)))))</f>
        <v/>
      </c>
      <c r="M149" s="472">
        <f>SUMPRODUCT((ISNUMBER(SEARCH($Y4,Dienstplan!$B$25:$B$36))*(ISNUMBER(SEARCH($AB$13,Dienstplan!$CQ$25:$DV$36)))))</f>
        <v/>
      </c>
      <c r="N149" s="472">
        <f>SUMPRODUCT((ISNUMBER(SEARCH($Y4,Dienstplan!$B$25:$B$36))*(ISNUMBER(SEARCH($AB$14,Dienstplan!$CQ$25:$DV$36)))))</f>
        <v/>
      </c>
      <c r="O149" s="472">
        <f>SUMPRODUCT((ISNUMBER(SEARCH($Y4,Dienstplan!$B$25:$B$36))*(ISNUMBER(SEARCH($AB$15,Dienstplan!$CQ$25:$DV$36)))))</f>
        <v/>
      </c>
      <c r="P149" s="472">
        <f>SUMPRODUCT((ISNUMBER(SEARCH($Y4,Dienstplan!$B$25:$B$36))*(ISNUMBER(SEARCH($AB$16,Dienstplan!$CQ$25:$DV$36)))))</f>
        <v/>
      </c>
      <c r="Q149" s="472">
        <f>SUMPRODUCT((ISNUMBER(SEARCH($Y4,Dienstplan!$B$25:$B$36))*(ISNUMBER(SEARCH($AB$16,Dienstplan!$CQ$25:$DV$36)))))</f>
        <v/>
      </c>
      <c r="R149" s="472">
        <f>SUMPRODUCT((ISNUMBER(SEARCH($Y4,Dienstplan!$B$25:$B$36))*(ISNUMBER(SEARCH($AB$18,Dienstplan!$CQ$25:$DV$36)))))</f>
        <v/>
      </c>
      <c r="S149" s="472">
        <f>SUMPRODUCT((ISNUMBER(SEARCH($Y4,Dienstplan!$B$25:$B$36))*(ISNUMBER(SEARCH($AB$19,Dienstplan!$CQ$25:$DV$36)))))</f>
        <v/>
      </c>
      <c r="T149" s="472">
        <f>SUM($F$146*$Z4)</f>
        <v/>
      </c>
      <c r="U149" s="472">
        <f>SUM($C149*Frueh_1+$D149*Spaet_1+$E149*Nacht_1+$F149*Normal_1+$I149*Sonderd_1-$J149*Brue_H+$K149*Brue_H+$L149*EH_Kurs+$M149*Koor_taet+$N149*Sekre_1+$O149*Brue_H+$R149*Brue_H+$P149*Brue_H+$Q149*Brue_H+G149*Brue_H+H149*Brue_H)</f>
        <v/>
      </c>
      <c r="V149" s="472">
        <f>SUM($U149-$T149)</f>
        <v/>
      </c>
      <c r="W149" s="472">
        <f>V149+W133</f>
        <v/>
      </c>
      <c r="X149" s="472" t="n"/>
      <c r="Y149" s="472" t="n"/>
      <c r="Z149" s="472" t="n"/>
      <c r="AA149" s="472" t="n"/>
      <c r="AB149" s="472" t="n"/>
      <c r="AC149" s="472" t="n"/>
      <c r="AD149" s="472" t="n"/>
      <c r="AE149" s="472" t="n"/>
      <c r="AF149" s="472" t="n"/>
      <c r="AG149" s="472" t="n"/>
      <c r="AH149" s="472" t="n"/>
      <c r="AI149" s="472" t="n"/>
      <c r="AJ149" s="472" t="n"/>
    </row>
    <row r="150">
      <c r="A150" s="472" t="n"/>
      <c r="B150" s="471">
        <f>B6</f>
        <v/>
      </c>
      <c r="C150" s="472">
        <f>SUMPRODUCT((ISNUMBER(SEARCH($Y5,Dienstplan!$B$25:$B$36))*(ISNUMBER(SEARCH($AB$3,Dienstplan!$CQ$25:$DV$36)))))-D150</f>
        <v/>
      </c>
      <c r="D150" s="472">
        <f>SUMPRODUCT((ISNUMBER(SEARCH($Y5,Dienstplan!$B$25:$B$36))*(ISNUMBER(SEARCH($AB$4,Dienstplan!$CQ$25:$DV$36)))))</f>
        <v/>
      </c>
      <c r="E150" s="472">
        <f>SUMPRODUCT((ISNUMBER(SEARCH($Y5,Dienstplan!$B$25:$B$36))*(ISNUMBER(SEARCH($AB$5,Dienstplan!$CQ$25:$DV$36)))))</f>
        <v/>
      </c>
      <c r="F150" s="472">
        <f>SUMPRODUCT((ISNUMBER(SEARCH($Y5,Dienstplan!$B$25:$B$36))*(ISNUMBER(SEARCH($AB$6,Dienstplan!$CQ$25:$DV$36)))))</f>
        <v/>
      </c>
      <c r="G150" s="472">
        <f>SUMPRODUCT((ISNUMBER(SEARCH($Y5,Dienstplan!$B$25:$B$36))*(ISNUMBER(SEARCH($AB$7,Dienstplan!$CQ$25:$DV$36)))))-H150</f>
        <v/>
      </c>
      <c r="H150" s="472">
        <f>SUMPRODUCT((ISNUMBER(SEARCH($Y5,Dienstplan!$B$25:$B$36))*(ISNUMBER(SEARCH($AB$8,Dienstplan!$CQ$25:$DV$36)))))</f>
        <v/>
      </c>
      <c r="I150" s="472">
        <f>SUMPRODUCT((ISNUMBER(SEARCH($Y5,Dienstplan!$B$25:$B$36))*(ISNUMBER(SEARCH($AB$9,Dienstplan!$CQ$25:$DV$36)))))</f>
        <v/>
      </c>
      <c r="J150" s="472">
        <f>SUMPRODUCT((ISNUMBER(SEARCH($Y5,Dienstplan!$B$25:$B$36))*(ISNUMBER(SEARCH($AB$10,Dienstplan!$CQ$25:$DV$36)))))</f>
        <v/>
      </c>
      <c r="K150" s="472">
        <f>SUMPRODUCT((ISNUMBER(SEARCH($Y5,Dienstplan!$B$25:$B$36))*(ISNUMBER(SEARCH($AB$11,Dienstplan!$CQ$25:$DV$36)))))-$Q150</f>
        <v/>
      </c>
      <c r="L150" s="472">
        <f>SUMPRODUCT((ISNUMBER(SEARCH($Y5,Dienstplan!$B$25:$B$36))*(ISNUMBER(SEARCH($AB$12,Dienstplan!$CQ$25:$DV$36)))))</f>
        <v/>
      </c>
      <c r="M150" s="472">
        <f>SUMPRODUCT((ISNUMBER(SEARCH($Y5,Dienstplan!$B$25:$B$36))*(ISNUMBER(SEARCH($AB$13,Dienstplan!$CQ$25:$DV$36)))))</f>
        <v/>
      </c>
      <c r="N150" s="472">
        <f>SUMPRODUCT((ISNUMBER(SEARCH($Y5,Dienstplan!$B$25:$B$36))*(ISNUMBER(SEARCH($AB$14,Dienstplan!$CQ$25:$DV$36)))))</f>
        <v/>
      </c>
      <c r="O150" s="472">
        <f>SUMPRODUCT((ISNUMBER(SEARCH($Y5,Dienstplan!$B$25:$B$36))*(ISNUMBER(SEARCH($AB$15,Dienstplan!$CQ$25:$DV$36)))))</f>
        <v/>
      </c>
      <c r="P150" s="472">
        <f>SUMPRODUCT((ISNUMBER(SEARCH($Y5,Dienstplan!$B$25:$B$36))*(ISNUMBER(SEARCH($AB$16,Dienstplan!$CQ$25:$DV$36)))))</f>
        <v/>
      </c>
      <c r="Q150" s="472">
        <f>SUMPRODUCT((ISNUMBER(SEARCH($Y5,Dienstplan!$B$25:$B$36))*(ISNUMBER(SEARCH($AB$16,Dienstplan!$CQ$25:$DV$36)))))</f>
        <v/>
      </c>
      <c r="R150" s="472">
        <f>SUMPRODUCT((ISNUMBER(SEARCH($Y5,Dienstplan!$B$25:$B$36))*(ISNUMBER(SEARCH($AB$18,Dienstplan!$CQ$25:$DV$36)))))</f>
        <v/>
      </c>
      <c r="S150" s="472">
        <f>SUMPRODUCT((ISNUMBER(SEARCH($Y5,Dienstplan!$B$25:$B$36))*(ISNUMBER(SEARCH($AB$19,Dienstplan!$CQ$25:$DV$36)))))</f>
        <v/>
      </c>
      <c r="T150" s="472">
        <f>SUM($F$146*$Z5)</f>
        <v/>
      </c>
      <c r="U150" s="472">
        <f>SUM($C150*Frueh_1+$D150*Spaet_1+$E150*Nacht_1+$F150*Normal_1+$I150*Sonderd_1-$J150*Rath_M+$K150*Rath_M+$L150*EH_Kurs+$M150*Koor_taet+$N150*Sekre_1+$O150*Rath_M+$R150*Rath_M+$P150*Rath_M+$Q150*Rath_M+G150*Rath_M+H150*Rath_M)</f>
        <v/>
      </c>
      <c r="V150" s="472">
        <f>SUM($U150-$T150)</f>
        <v/>
      </c>
      <c r="W150" s="472">
        <f>V150+W134</f>
        <v/>
      </c>
      <c r="X150" s="472" t="n"/>
      <c r="Y150" s="472" t="n"/>
      <c r="Z150" s="472" t="n"/>
      <c r="AA150" s="472" t="n"/>
      <c r="AB150" s="472" t="n"/>
      <c r="AC150" s="472" t="n"/>
      <c r="AD150" s="472" t="n"/>
      <c r="AE150" s="472" t="n"/>
      <c r="AF150" s="472" t="n"/>
      <c r="AG150" s="472" t="n"/>
      <c r="AH150" s="472" t="n"/>
      <c r="AI150" s="472" t="n"/>
      <c r="AJ150" s="472" t="n"/>
    </row>
    <row r="151">
      <c r="A151" s="472" t="n"/>
      <c r="B151" s="471">
        <f>B7</f>
        <v/>
      </c>
      <c r="C151" s="472">
        <f>SUMPRODUCT((ISNUMBER(SEARCH($Y6,Dienstplan!$B$25:$B$36))*(ISNUMBER(SEARCH($AB$3,Dienstplan!$CQ$25:$DV$36)))))-D151</f>
        <v/>
      </c>
      <c r="D151" s="472">
        <f>SUMPRODUCT((ISNUMBER(SEARCH($Y6,Dienstplan!$B$25:$B$36))*(ISNUMBER(SEARCH($AB$4,Dienstplan!$CQ$25:$DV$36)))))</f>
        <v/>
      </c>
      <c r="E151" s="472">
        <f>SUMPRODUCT((ISNUMBER(SEARCH($Y6,Dienstplan!$B$25:$B$36))*(ISNUMBER(SEARCH($AB$5,Dienstplan!$CQ$25:$DV$36)))))</f>
        <v/>
      </c>
      <c r="F151" s="472">
        <f>SUMPRODUCT((ISNUMBER(SEARCH($Y6,Dienstplan!$B$25:$B$36))*(ISNUMBER(SEARCH($AB$6,Dienstplan!$CQ$25:$DV$36)))))</f>
        <v/>
      </c>
      <c r="G151" s="472">
        <f>SUMPRODUCT((ISNUMBER(SEARCH($Y6,Dienstplan!$B$25:$B$36))*(ISNUMBER(SEARCH($AB$7,Dienstplan!$CQ$25:$DV$36)))))-H151</f>
        <v/>
      </c>
      <c r="H151" s="472">
        <f>SUMPRODUCT((ISNUMBER(SEARCH($Y6,Dienstplan!$B$25:$B$36))*(ISNUMBER(SEARCH($AB$8,Dienstplan!$CQ$25:$DV$36)))))</f>
        <v/>
      </c>
      <c r="I151" s="472">
        <f>SUMPRODUCT((ISNUMBER(SEARCH($Y6,Dienstplan!$B$25:$B$36))*(ISNUMBER(SEARCH($AB$9,Dienstplan!$CQ$25:$DV$36)))))</f>
        <v/>
      </c>
      <c r="J151" s="472">
        <f>SUMPRODUCT((ISNUMBER(SEARCH($Y6,Dienstplan!$B$25:$B$36))*(ISNUMBER(SEARCH($AB$10,Dienstplan!$CQ$25:$DV$36)))))</f>
        <v/>
      </c>
      <c r="K151" s="472">
        <f>SUMPRODUCT((ISNUMBER(SEARCH($Y6,Dienstplan!$B$25:$B$36))*(ISNUMBER(SEARCH($AB$11,Dienstplan!$CQ$25:$DV$36)))))-$Q151</f>
        <v/>
      </c>
      <c r="L151" s="472">
        <f>SUMPRODUCT((ISNUMBER(SEARCH($Y6,Dienstplan!$B$25:$B$36))*(ISNUMBER(SEARCH($AB$12,Dienstplan!$CQ$25:$DV$36)))))</f>
        <v/>
      </c>
      <c r="M151" s="472">
        <f>SUMPRODUCT((ISNUMBER(SEARCH($Y6,Dienstplan!$B$25:$B$36))*(ISNUMBER(SEARCH($AB$13,Dienstplan!$CQ$25:$DV$36)))))</f>
        <v/>
      </c>
      <c r="N151" s="472">
        <f>SUMPRODUCT((ISNUMBER(SEARCH($Y6,Dienstplan!$B$25:$B$36))*(ISNUMBER(SEARCH($AB$14,Dienstplan!$CQ$25:$DV$36)))))</f>
        <v/>
      </c>
      <c r="O151" s="472">
        <f>SUMPRODUCT((ISNUMBER(SEARCH($Y6,Dienstplan!$B$25:$B$36))*(ISNUMBER(SEARCH($AB$15,Dienstplan!$CQ$25:$DV$36)))))</f>
        <v/>
      </c>
      <c r="P151" s="472">
        <f>SUMPRODUCT((ISNUMBER(SEARCH($Y6,Dienstplan!$B$25:$B$36))*(ISNUMBER(SEARCH($AB$16,Dienstplan!$CQ$25:$DV$36)))))</f>
        <v/>
      </c>
      <c r="Q151" s="472">
        <f>SUMPRODUCT((ISNUMBER(SEARCH($Y6,Dienstplan!$B$25:$B$36))*(ISNUMBER(SEARCH($AB$16,Dienstplan!$CQ$25:$DV$36)))))</f>
        <v/>
      </c>
      <c r="R151" s="472">
        <f>SUMPRODUCT((ISNUMBER(SEARCH($Y6,Dienstplan!$B$25:$B$36))*(ISNUMBER(SEARCH($AB$18,Dienstplan!$CQ$25:$DV$36)))))</f>
        <v/>
      </c>
      <c r="S151" s="472">
        <f>SUMPRODUCT((ISNUMBER(SEARCH($Y6,Dienstplan!$B$25:$B$36))*(ISNUMBER(SEARCH($AB$19,Dienstplan!$CQ$25:$DV$36)))))</f>
        <v/>
      </c>
      <c r="T151" s="472">
        <f>SUM($F$146*$Z6)</f>
        <v/>
      </c>
      <c r="U151" s="472">
        <f>SUM($C151*Frueh_1+$D151*Spaet_1+$E151*Nacht_1+$F151*Normal_1+$I151*Sonderd_1-$J151*Scho_K+$K151*Scho_K+$L151*EH_Kurs+$M151*Koor_taet+$N151*Sekre_1+$O151*Scho_K+$R151*Scho_K+$P151*Scho_K+$Q151*Scho_K+G151*Scho_K+H151*Scho_K)</f>
        <v/>
      </c>
      <c r="V151" s="472">
        <f>SUM($U151-$T151)</f>
        <v/>
      </c>
      <c r="W151" s="472">
        <f>V151+W135</f>
        <v/>
      </c>
      <c r="X151" s="472" t="n"/>
      <c r="Y151" s="472" t="n"/>
      <c r="Z151" s="472" t="n"/>
      <c r="AA151" s="472" t="n"/>
      <c r="AB151" s="472" t="n"/>
      <c r="AC151" s="472" t="n"/>
      <c r="AD151" s="472" t="n"/>
      <c r="AE151" s="472" t="n"/>
      <c r="AF151" s="472" t="n"/>
      <c r="AG151" s="472" t="n"/>
      <c r="AH151" s="472" t="n"/>
      <c r="AI151" s="472" t="n"/>
      <c r="AJ151" s="472" t="n"/>
    </row>
    <row r="152">
      <c r="A152" s="472" t="n"/>
      <c r="B152" s="471">
        <f>B8</f>
        <v/>
      </c>
      <c r="C152" s="472">
        <f>SUMPRODUCT((ISNUMBER(SEARCH($Y7,Dienstplan!$B$25:$B$36))*(ISNUMBER(SEARCH($AB$3,Dienstplan!$CQ$25:$DV$36)))))-D152</f>
        <v/>
      </c>
      <c r="D152" s="472">
        <f>SUMPRODUCT((ISNUMBER(SEARCH($Y7,Dienstplan!$B$25:$B$36))*(ISNUMBER(SEARCH($AB$4,Dienstplan!$CQ$25:$DV$36)))))</f>
        <v/>
      </c>
      <c r="E152" s="472">
        <f>SUMPRODUCT((ISNUMBER(SEARCH($Y7,Dienstplan!$B$25:$B$36))*(ISNUMBER(SEARCH($AB$5,Dienstplan!$CQ$25:$DV$36)))))</f>
        <v/>
      </c>
      <c r="F152" s="472">
        <f>SUMPRODUCT((ISNUMBER(SEARCH($Y7,Dienstplan!$B$25:$B$36))*(ISNUMBER(SEARCH($AB$6,Dienstplan!$CQ$25:$DV$36)))))</f>
        <v/>
      </c>
      <c r="G152" s="472">
        <f>SUMPRODUCT((ISNUMBER(SEARCH($Y7,Dienstplan!$B$25:$B$36))*(ISNUMBER(SEARCH($AB$7,Dienstplan!$CQ$25:$DV$36)))))-H152</f>
        <v/>
      </c>
      <c r="H152" s="472">
        <f>SUMPRODUCT((ISNUMBER(SEARCH($Y7,Dienstplan!$B$25:$B$36))*(ISNUMBER(SEARCH($AB$8,Dienstplan!$CQ$25:$DV$36)))))</f>
        <v/>
      </c>
      <c r="I152" s="472">
        <f>SUMPRODUCT((ISNUMBER(SEARCH($Y7,Dienstplan!$B$25:$B$36))*(ISNUMBER(SEARCH($AB$9,Dienstplan!$CQ$25:$DV$36)))))</f>
        <v/>
      </c>
      <c r="J152" s="472">
        <f>SUMPRODUCT((ISNUMBER(SEARCH($Y7,Dienstplan!$B$25:$B$36))*(ISNUMBER(SEARCH($AB$10,Dienstplan!$CQ$25:$DV$36)))))</f>
        <v/>
      </c>
      <c r="K152" s="472">
        <f>SUMPRODUCT((ISNUMBER(SEARCH($Y7,Dienstplan!$B$25:$B$36))*(ISNUMBER(SEARCH($AB$11,Dienstplan!$CQ$25:$DV$36)))))-$Q152</f>
        <v/>
      </c>
      <c r="L152" s="472">
        <f>SUMPRODUCT((ISNUMBER(SEARCH($Y7,Dienstplan!$B$25:$B$36))*(ISNUMBER(SEARCH($AB$12,Dienstplan!$CQ$25:$DV$36)))))</f>
        <v/>
      </c>
      <c r="M152" s="472">
        <f>SUMPRODUCT((ISNUMBER(SEARCH($Y7,Dienstplan!$B$25:$B$36))*(ISNUMBER(SEARCH($AB$13,Dienstplan!$CQ$25:$DV$36)))))</f>
        <v/>
      </c>
      <c r="N152" s="472">
        <f>SUMPRODUCT((ISNUMBER(SEARCH($Y7,Dienstplan!$B$25:$B$36))*(ISNUMBER(SEARCH($AB$14,Dienstplan!$CQ$25:$DV$36)))))</f>
        <v/>
      </c>
      <c r="O152" s="472">
        <f>SUMPRODUCT((ISNUMBER(SEARCH($Y7,Dienstplan!$B$25:$B$36))*(ISNUMBER(SEARCH($AB$15,Dienstplan!$CQ$25:$DV$36)))))</f>
        <v/>
      </c>
      <c r="P152" s="472">
        <f>SUMPRODUCT((ISNUMBER(SEARCH($Y7,Dienstplan!$B$25:$B$36))*(ISNUMBER(SEARCH($AB$16,Dienstplan!$CQ$25:$DV$36)))))</f>
        <v/>
      </c>
      <c r="Q152" s="472">
        <f>SUMPRODUCT((ISNUMBER(SEARCH($Y7,Dienstplan!$B$25:$B$36))*(ISNUMBER(SEARCH($AB$16,Dienstplan!$CQ$25:$DV$36)))))</f>
        <v/>
      </c>
      <c r="R152" s="472">
        <f>SUMPRODUCT((ISNUMBER(SEARCH($Y7,Dienstplan!$B$25:$B$36))*(ISNUMBER(SEARCH($AB$18,Dienstplan!$CQ$25:$DV$36)))))</f>
        <v/>
      </c>
      <c r="S152" s="472">
        <f>SUMPRODUCT((ISNUMBER(SEARCH($Y7,Dienstplan!$B$25:$B$36))*(ISNUMBER(SEARCH($AB$19,Dienstplan!$CQ$25:$DV$36)))))</f>
        <v/>
      </c>
      <c r="T152" s="472">
        <f>SUM($F$146*$Z7)</f>
        <v/>
      </c>
      <c r="U152" s="472">
        <f>SUM($C152*Frueh_1+$D152*Spaet_1+$E152*Nacht_1+$F152*Normal_1+$I152*Sonderd_1-$J152*Krie_B+$K152*Krie_B+$L152*EH_Kurs+$M152*Koor_taet+$N152*Sekre_1+$O152*Krie_B+$R152*Krie_B+$P152*Krie_B+$Q152*Krie_B+G152*Krie_B+H152*Krie_B)</f>
        <v/>
      </c>
      <c r="V152" s="472">
        <f>SUM($U152-$T152)</f>
        <v/>
      </c>
      <c r="W152" s="472">
        <f>V152+W136</f>
        <v/>
      </c>
      <c r="X152" s="472" t="n"/>
      <c r="Y152" s="472" t="n"/>
      <c r="Z152" s="472" t="n"/>
      <c r="AA152" s="472" t="n"/>
      <c r="AB152" s="472" t="n"/>
      <c r="AC152" s="472" t="n"/>
      <c r="AD152" s="472" t="n"/>
      <c r="AE152" s="472" t="n"/>
      <c r="AF152" s="472" t="n"/>
      <c r="AG152" s="472" t="n"/>
      <c r="AH152" s="472" t="n"/>
      <c r="AI152" s="472" t="n"/>
      <c r="AJ152" s="472" t="n"/>
    </row>
    <row r="153">
      <c r="A153" s="472" t="n"/>
      <c r="B153" s="471">
        <f>B9</f>
        <v/>
      </c>
      <c r="C153" s="472">
        <f>SUMPRODUCT((ISNUMBER(SEARCH($Y8,Dienstplan!$B$25:$B$36))*(ISNUMBER(SEARCH($AB$3,Dienstplan!$CQ$25:$DV$36)))))-D153</f>
        <v/>
      </c>
      <c r="D153" s="472">
        <f>SUMPRODUCT((ISNUMBER(SEARCH($Y8,Dienstplan!$B$25:$B$36))*(ISNUMBER(SEARCH($AB$4,Dienstplan!$CQ$25:$DV$36)))))</f>
        <v/>
      </c>
      <c r="E153" s="472">
        <f>SUMPRODUCT((ISNUMBER(SEARCH($Y8,Dienstplan!$B$25:$B$36))*(ISNUMBER(SEARCH($AB$5,Dienstplan!$CQ$25:$DV$36)))))</f>
        <v/>
      </c>
      <c r="F153" s="472">
        <f>SUMPRODUCT((ISNUMBER(SEARCH($Y8,Dienstplan!$B$25:$B$36))*(ISNUMBER(SEARCH($AB$6,Dienstplan!$CQ$25:$DV$36)))))</f>
        <v/>
      </c>
      <c r="G153" s="472">
        <f>SUMPRODUCT((ISNUMBER(SEARCH($Y8,Dienstplan!$B$25:$B$36))*(ISNUMBER(SEARCH($AB$7,Dienstplan!$CQ$25:$DV$36)))))-H153</f>
        <v/>
      </c>
      <c r="H153" s="472">
        <f>SUMPRODUCT((ISNUMBER(SEARCH($Y8,Dienstplan!$B$25:$B$36))*(ISNUMBER(SEARCH($AB$8,Dienstplan!$CQ$25:$DV$36)))))</f>
        <v/>
      </c>
      <c r="I153" s="472">
        <f>SUMPRODUCT((ISNUMBER(SEARCH($Y8,Dienstplan!$B$25:$B$36))*(ISNUMBER(SEARCH($AB$9,Dienstplan!$CQ$25:$DV$36)))))</f>
        <v/>
      </c>
      <c r="J153" s="472">
        <f>SUMPRODUCT((ISNUMBER(SEARCH($Y8,Dienstplan!$B$25:$B$36))*(ISNUMBER(SEARCH($AB$10,Dienstplan!$CQ$25:$DV$36)))))</f>
        <v/>
      </c>
      <c r="K153" s="472">
        <f>SUMPRODUCT((ISNUMBER(SEARCH($Y8,Dienstplan!$B$25:$B$36))*(ISNUMBER(SEARCH($AB$11,Dienstplan!$CQ$25:$DV$36)))))-$Q153</f>
        <v/>
      </c>
      <c r="L153" s="472">
        <f>SUMPRODUCT((ISNUMBER(SEARCH($Y8,Dienstplan!$B$25:$B$36))*(ISNUMBER(SEARCH($AB$12,Dienstplan!$CQ$25:$DV$36)))))</f>
        <v/>
      </c>
      <c r="M153" s="472">
        <f>SUMPRODUCT((ISNUMBER(SEARCH($Y8,Dienstplan!$B$25:$B$36))*(ISNUMBER(SEARCH($AB$13,Dienstplan!$CQ$25:$DV$36)))))</f>
        <v/>
      </c>
      <c r="N153" s="472">
        <f>SUMPRODUCT((ISNUMBER(SEARCH($Y8,Dienstplan!$B$25:$B$36))*(ISNUMBER(SEARCH($AB$14,Dienstplan!$CQ$25:$DV$36)))))</f>
        <v/>
      </c>
      <c r="O153" s="472">
        <f>SUMPRODUCT((ISNUMBER(SEARCH($Y8,Dienstplan!$B$25:$B$36))*(ISNUMBER(SEARCH($AB$15,Dienstplan!$CQ$25:$DV$36)))))</f>
        <v/>
      </c>
      <c r="P153" s="472">
        <f>SUMPRODUCT((ISNUMBER(SEARCH($Y8,Dienstplan!$B$25:$B$36))*(ISNUMBER(SEARCH($AB$16,Dienstplan!$CQ$25:$DV$36)))))</f>
        <v/>
      </c>
      <c r="Q153" s="472">
        <f>SUMPRODUCT((ISNUMBER(SEARCH($Y8,Dienstplan!$B$25:$B$36))*(ISNUMBER(SEARCH($AB$16,Dienstplan!$CQ$25:$DV$36)))))</f>
        <v/>
      </c>
      <c r="R153" s="472">
        <f>SUMPRODUCT((ISNUMBER(SEARCH($Y8,Dienstplan!$B$25:$B$36))*(ISNUMBER(SEARCH($AB$18,Dienstplan!$CQ$25:$DV$36)))))</f>
        <v/>
      </c>
      <c r="S153" s="472">
        <f>SUMPRODUCT((ISNUMBER(SEARCH($Y8,Dienstplan!$B$25:$B$36))*(ISNUMBER(SEARCH($AB$19,Dienstplan!$CQ$25:$DV$36)))))</f>
        <v/>
      </c>
      <c r="T153" s="472">
        <f>SUM($F$146*$Z8)</f>
        <v/>
      </c>
      <c r="U153" s="472">
        <f>SUM($C153*Frueh_1+$D153*Spaet_1+$E153*Nacht_1+$F153*Normal_1+$I153*Sonderd_1-$J153*Muster+$K153*Muster+$L153*EH_Kurs+$M153*Koor_taet+$N153*Sekre_1+$O153*Muster+$P153*Muster+$Q153*Muster+$R153*Muster+G153*Muster+H153*Muster)</f>
        <v/>
      </c>
      <c r="V153" s="472">
        <f>SUM($U153-$T153)</f>
        <v/>
      </c>
      <c r="W153" s="472">
        <f>V153+W137</f>
        <v/>
      </c>
      <c r="X153" s="472" t="n"/>
      <c r="Y153" s="472" t="n"/>
      <c r="Z153" s="472" t="n"/>
      <c r="AA153" s="472" t="n"/>
      <c r="AB153" s="472" t="n"/>
      <c r="AC153" s="472" t="n"/>
      <c r="AD153" s="472" t="n"/>
      <c r="AE153" s="472" t="n"/>
      <c r="AF153" s="472" t="n"/>
      <c r="AG153" s="472" t="n"/>
      <c r="AH153" s="472" t="n"/>
      <c r="AI153" s="472" t="n"/>
      <c r="AJ153" s="472" t="n"/>
    </row>
    <row r="154">
      <c r="A154" s="472" t="n"/>
      <c r="B154" s="471">
        <f>B10</f>
        <v/>
      </c>
      <c r="C154" s="472">
        <f>SUMPRODUCT((ISNUMBER(SEARCH($Y9,Dienstplan!$B$25:$B$36))*(ISNUMBER(SEARCH($AB$3,Dienstplan!$CQ$25:$DV$36)))))-D154</f>
        <v/>
      </c>
      <c r="D154" s="472">
        <f>SUMPRODUCT((ISNUMBER(SEARCH($Y9,Dienstplan!$B$25:$B$36))*(ISNUMBER(SEARCH($AB$4,Dienstplan!$CQ$25:$DV$36)))))</f>
        <v/>
      </c>
      <c r="E154" s="472">
        <f>SUMPRODUCT((ISNUMBER(SEARCH($Y9,Dienstplan!$B$25:$B$36))*(ISNUMBER(SEARCH($AB$5,Dienstplan!$CQ$25:$DV$36)))))</f>
        <v/>
      </c>
      <c r="F154" s="472">
        <f>SUMPRODUCT((ISNUMBER(SEARCH($Y9,Dienstplan!$B$25:$B$36))*(ISNUMBER(SEARCH($AB$6,Dienstplan!$CQ$25:$DV$36)))))</f>
        <v/>
      </c>
      <c r="G154" s="472">
        <f>SUMPRODUCT((ISNUMBER(SEARCH($Y9,Dienstplan!$B$25:$B$36))*(ISNUMBER(SEARCH($AB$7,Dienstplan!$CQ$25:$DV$36)))))-H154</f>
        <v/>
      </c>
      <c r="H154" s="472">
        <f>SUMPRODUCT((ISNUMBER(SEARCH($Y9,Dienstplan!$B$25:$B$36))*(ISNUMBER(SEARCH($AB$8,Dienstplan!$CQ$25:$DV$36)))))</f>
        <v/>
      </c>
      <c r="I154" s="472">
        <f>SUMPRODUCT((ISNUMBER(SEARCH($Y9,Dienstplan!$B$25:$B$36))*(ISNUMBER(SEARCH($AB$9,Dienstplan!$CQ$25:$DV$36)))))</f>
        <v/>
      </c>
      <c r="J154" s="472">
        <f>SUMPRODUCT((ISNUMBER(SEARCH($Y9,Dienstplan!$B$25:$B$36))*(ISNUMBER(SEARCH($AB$10,Dienstplan!$CQ$25:$DV$36)))))</f>
        <v/>
      </c>
      <c r="K154" s="472">
        <f>SUMPRODUCT((ISNUMBER(SEARCH($Y9,Dienstplan!$B$25:$B$36))*(ISNUMBER(SEARCH($AB$11,Dienstplan!$CQ$25:$DV$36)))))-$Q154</f>
        <v/>
      </c>
      <c r="L154" s="472">
        <f>SUMPRODUCT((ISNUMBER(SEARCH($Y9,Dienstplan!$B$25:$B$36))*(ISNUMBER(SEARCH($AB$12,Dienstplan!$CQ$25:$DV$36)))))</f>
        <v/>
      </c>
      <c r="M154" s="472">
        <f>SUMPRODUCT((ISNUMBER(SEARCH($Y9,Dienstplan!$B$25:$B$36))*(ISNUMBER(SEARCH($AB$13,Dienstplan!$CQ$25:$DV$36)))))</f>
        <v/>
      </c>
      <c r="N154" s="472">
        <f>SUMPRODUCT((ISNUMBER(SEARCH($Y9,Dienstplan!$B$25:$B$36))*(ISNUMBER(SEARCH($AB$14,Dienstplan!$CQ$25:$DV$36)))))</f>
        <v/>
      </c>
      <c r="O154" s="472">
        <f>SUMPRODUCT((ISNUMBER(SEARCH($Y9,Dienstplan!$B$25:$B$36))*(ISNUMBER(SEARCH($AB$15,Dienstplan!$CQ$25:$DV$36)))))</f>
        <v/>
      </c>
      <c r="P154" s="472">
        <f>SUMPRODUCT((ISNUMBER(SEARCH($Y9,Dienstplan!$B$25:$B$36))*(ISNUMBER(SEARCH($AB$16,Dienstplan!$CQ$25:$DV$36)))))</f>
        <v/>
      </c>
      <c r="Q154" s="472">
        <f>SUMPRODUCT((ISNUMBER(SEARCH($Y9,Dienstplan!$B$25:$B$36))*(ISNUMBER(SEARCH($AB$16,Dienstplan!$CQ$25:$DV$36)))))</f>
        <v/>
      </c>
      <c r="R154" s="472">
        <f>SUMPRODUCT((ISNUMBER(SEARCH($Y9,Dienstplan!$B$25:$B$36))*(ISNUMBER(SEARCH($AB$18,Dienstplan!$CQ$25:$DV$36)))))</f>
        <v/>
      </c>
      <c r="S154" s="472">
        <f>SUMPRODUCT((ISNUMBER(SEARCH($Y9,Dienstplan!$B$25:$B$36))*(ISNUMBER(SEARCH($AB$19,Dienstplan!$CQ$25:$DV$36)))))</f>
        <v/>
      </c>
      <c r="T154" s="472">
        <f>SUM($F$146*$Z9)</f>
        <v/>
      </c>
      <c r="U154" s="472">
        <f>SUM($C154*Frueh_1+$D154*Spaet_1+$E154*Nacht_1+$F154*Normal_1+$I154*Sonderd_1-$J154*Muster+$K154*Muster+$L154*EH_Kurs+$M154*Koor_taet+$N154*Sekre_1+$O154*Muster+$P154*Muster+$Q154*Muster+$R154*Muster+G154*Muster+H154*Muster)</f>
        <v/>
      </c>
      <c r="V154" s="472">
        <f>SUM($U154-$T154)</f>
        <v/>
      </c>
      <c r="W154" s="472">
        <f>V154+W138</f>
        <v/>
      </c>
      <c r="X154" s="472" t="n"/>
      <c r="Y154" s="472" t="n"/>
      <c r="Z154" s="472" t="n"/>
      <c r="AA154" s="472" t="n"/>
      <c r="AB154" s="472" t="n"/>
      <c r="AC154" s="472" t="n"/>
      <c r="AD154" s="472" t="n"/>
      <c r="AE154" s="472" t="n"/>
      <c r="AF154" s="472" t="n"/>
      <c r="AG154" s="472" t="n"/>
      <c r="AH154" s="472" t="n"/>
      <c r="AI154" s="472" t="n"/>
      <c r="AJ154" s="472" t="n"/>
    </row>
    <row r="155">
      <c r="A155" s="472" t="n"/>
      <c r="B155" s="471">
        <f>B11</f>
        <v/>
      </c>
      <c r="C155" s="472">
        <f>SUMPRODUCT((ISNUMBER(SEARCH($Y10,Dienstplan!$B$25:$B$36))*(ISNUMBER(SEARCH($AB$3,Dienstplan!$CQ$25:$DV$36)))))-D155</f>
        <v/>
      </c>
      <c r="D155" s="472">
        <f>SUMPRODUCT((ISNUMBER(SEARCH($Y10,Dienstplan!$B$25:$B$36))*(ISNUMBER(SEARCH($AB$4,Dienstplan!$CQ$25:$DV$36)))))</f>
        <v/>
      </c>
      <c r="E155" s="472">
        <f>SUMPRODUCT((ISNUMBER(SEARCH($Y10,Dienstplan!$B$25:$B$36))*(ISNUMBER(SEARCH($AB$5,Dienstplan!$CQ$25:$DV$36)))))</f>
        <v/>
      </c>
      <c r="F155" s="472">
        <f>SUMPRODUCT((ISNUMBER(SEARCH($Y10,Dienstplan!$B$25:$B$36))*(ISNUMBER(SEARCH($AB$6,Dienstplan!$CQ$25:$DV$36)))))</f>
        <v/>
      </c>
      <c r="G155" s="472">
        <f>SUMPRODUCT((ISNUMBER(SEARCH($Y10,Dienstplan!$B$25:$B$36))*(ISNUMBER(SEARCH($AB$7,Dienstplan!$CQ$25:$DV$36)))))-H155</f>
        <v/>
      </c>
      <c r="H155" s="472">
        <f>SUMPRODUCT((ISNUMBER(SEARCH($Y10,Dienstplan!$B$25:$B$36))*(ISNUMBER(SEARCH($AB$8,Dienstplan!$CQ$25:$DV$36)))))</f>
        <v/>
      </c>
      <c r="I155" s="472">
        <f>SUMPRODUCT((ISNUMBER(SEARCH($Y10,Dienstplan!$B$25:$B$36))*(ISNUMBER(SEARCH($AB$9,Dienstplan!$CQ$25:$DV$36)))))</f>
        <v/>
      </c>
      <c r="J155" s="472">
        <f>SUMPRODUCT((ISNUMBER(SEARCH($Y10,Dienstplan!$B$25:$B$36))*(ISNUMBER(SEARCH($AB$10,Dienstplan!$CQ$25:$DV$36)))))</f>
        <v/>
      </c>
      <c r="K155" s="472">
        <f>SUMPRODUCT((ISNUMBER(SEARCH($Y10,Dienstplan!$B$25:$B$36))*(ISNUMBER(SEARCH($AB$11,Dienstplan!$CQ$25:$DV$36)))))-$Q155</f>
        <v/>
      </c>
      <c r="L155" s="472">
        <f>SUMPRODUCT((ISNUMBER(SEARCH($Y10,Dienstplan!$B$25:$B$36))*(ISNUMBER(SEARCH($AB$12,Dienstplan!$CQ$25:$DV$36)))))</f>
        <v/>
      </c>
      <c r="M155" s="472">
        <f>SUMPRODUCT((ISNUMBER(SEARCH($Y10,Dienstplan!$B$25:$B$36))*(ISNUMBER(SEARCH($AB$13,Dienstplan!$CQ$25:$DV$36)))))</f>
        <v/>
      </c>
      <c r="N155" s="472">
        <f>SUMPRODUCT((ISNUMBER(SEARCH($Y10,Dienstplan!$B$25:$B$36))*(ISNUMBER(SEARCH($AB$14,Dienstplan!$CQ$25:$DV$36)))))</f>
        <v/>
      </c>
      <c r="O155" s="472">
        <f>SUMPRODUCT((ISNUMBER(SEARCH($Y10,Dienstplan!$B$25:$B$36))*(ISNUMBER(SEARCH($AB$15,Dienstplan!$CQ$25:$DV$36)))))</f>
        <v/>
      </c>
      <c r="P155" s="472">
        <f>SUMPRODUCT((ISNUMBER(SEARCH($Y10,Dienstplan!$B$25:$B$36))*(ISNUMBER(SEARCH($AB$16,Dienstplan!$CQ$25:$DV$36)))))</f>
        <v/>
      </c>
      <c r="Q155" s="472">
        <f>SUMPRODUCT((ISNUMBER(SEARCH($Y10,Dienstplan!$B$25:$B$36))*(ISNUMBER(SEARCH($AB$16,Dienstplan!$CQ$25:$DV$36)))))</f>
        <v/>
      </c>
      <c r="R155" s="472">
        <f>SUMPRODUCT((ISNUMBER(SEARCH($Y10,Dienstplan!$B$25:$B$36))*(ISNUMBER(SEARCH($AB$18,Dienstplan!$CQ$25:$DV$36)))))</f>
        <v/>
      </c>
      <c r="S155" s="472">
        <f>SUMPRODUCT((ISNUMBER(SEARCH($Y10,Dienstplan!$B$25:$B$36))*(ISNUMBER(SEARCH($AB$19,Dienstplan!$CQ$25:$DV$36)))))</f>
        <v/>
      </c>
      <c r="T155" s="472">
        <f>SUM($F$146*$Z10)</f>
        <v/>
      </c>
      <c r="U155" s="472">
        <f>SUM($C155*Frueh_1+$D155*Spaet_1+$E155*Nacht_1+$F155*Normal_1+$I155*Sonderd_1-$J155*Krem_E+$K155*Krem_E+$L155*EH_Kurs+$M155*Koor_taet+$N155*Sekre_1+$O155*Krem_E+$R155*Krem_E+$P155*Krem_E+$Q155*Krem_E+G155*Krem_E+H155*Krem_E)</f>
        <v/>
      </c>
      <c r="V155" s="472">
        <f>SUM($U155-$T155)</f>
        <v/>
      </c>
      <c r="W155" s="472">
        <f>V155+W139</f>
        <v/>
      </c>
      <c r="X155" s="472" t="n"/>
      <c r="Y155" s="472" t="n"/>
      <c r="Z155" s="472" t="n"/>
      <c r="AA155" s="472" t="n"/>
      <c r="AB155" s="472" t="n"/>
      <c r="AC155" s="472" t="n"/>
      <c r="AD155" s="472" t="n"/>
      <c r="AE155" s="472" t="n"/>
      <c r="AF155" s="472" t="n"/>
      <c r="AG155" s="472" t="n"/>
      <c r="AH155" s="472" t="n"/>
      <c r="AI155" s="472" t="n"/>
      <c r="AJ155" s="472" t="n"/>
    </row>
    <row r="156">
      <c r="A156" s="472" t="n"/>
      <c r="B156" s="471">
        <f>B12</f>
        <v/>
      </c>
      <c r="C156" s="472">
        <f>SUMPRODUCT((ISNUMBER(SEARCH($Y11,Dienstplan!$B$25:$B$36))*(ISNUMBER(SEARCH($AB$3,Dienstplan!$CQ$25:$DV$36)))))-D156</f>
        <v/>
      </c>
      <c r="D156" s="472">
        <f>SUMPRODUCT((ISNUMBER(SEARCH($Y11,Dienstplan!$B$25:$B$36))*(ISNUMBER(SEARCH($AB$4,Dienstplan!$CQ$25:$DV$36)))))</f>
        <v/>
      </c>
      <c r="E156" s="472">
        <f>SUMPRODUCT((ISNUMBER(SEARCH($Y11,Dienstplan!$B$25:$B$36))*(ISNUMBER(SEARCH($AB$5,Dienstplan!$CQ$25:$DV$36)))))</f>
        <v/>
      </c>
      <c r="F156" s="472">
        <f>SUMPRODUCT((ISNUMBER(SEARCH($Y11,Dienstplan!$B$25:$B$36))*(ISNUMBER(SEARCH($AB$6,Dienstplan!$CQ$25:$DV$36)))))</f>
        <v/>
      </c>
      <c r="G156" s="472">
        <f>SUMPRODUCT((ISNUMBER(SEARCH($Y11,Dienstplan!$B$25:$B$36))*(ISNUMBER(SEARCH($AB$7,Dienstplan!$CQ$25:$DV$36)))))-H156</f>
        <v/>
      </c>
      <c r="H156" s="472">
        <f>SUMPRODUCT((ISNUMBER(SEARCH($Y11,Dienstplan!$B$25:$B$36))*(ISNUMBER(SEARCH($AB$8,Dienstplan!$CQ$25:$DV$36)))))</f>
        <v/>
      </c>
      <c r="I156" s="472">
        <f>SUMPRODUCT((ISNUMBER(SEARCH($Y11,Dienstplan!$B$25:$B$36))*(ISNUMBER(SEARCH($AB$9,Dienstplan!$CQ$25:$DV$36)))))</f>
        <v/>
      </c>
      <c r="J156" s="472">
        <f>SUMPRODUCT((ISNUMBER(SEARCH($Y11,Dienstplan!$B$25:$B$36))*(ISNUMBER(SEARCH($AB$10,Dienstplan!$CQ$25:$DV$36)))))</f>
        <v/>
      </c>
      <c r="K156" s="472">
        <f>SUMPRODUCT((ISNUMBER(SEARCH($Y11,Dienstplan!$B$25:$B$36))*(ISNUMBER(SEARCH($AB$11,Dienstplan!$CQ$25:$DV$36)))))-$Q156</f>
        <v/>
      </c>
      <c r="L156" s="472">
        <f>SUMPRODUCT((ISNUMBER(SEARCH($Y11,Dienstplan!$B$25:$B$36))*(ISNUMBER(SEARCH($AB$12,Dienstplan!$CQ$25:$DV$36)))))</f>
        <v/>
      </c>
      <c r="M156" s="472">
        <f>SUMPRODUCT((ISNUMBER(SEARCH($Y11,Dienstplan!$B$25:$B$36))*(ISNUMBER(SEARCH($AB$13,Dienstplan!$CQ$25:$DV$36)))))</f>
        <v/>
      </c>
      <c r="N156" s="472">
        <f>SUMPRODUCT((ISNUMBER(SEARCH($Y11,Dienstplan!$B$25:$B$36))*(ISNUMBER(SEARCH($AB$14,Dienstplan!$CQ$25:$DV$36)))))</f>
        <v/>
      </c>
      <c r="O156" s="472">
        <f>SUMPRODUCT((ISNUMBER(SEARCH($Y11,Dienstplan!$B$25:$B$36))*(ISNUMBER(SEARCH($AB$15,Dienstplan!$CQ$25:$DV$36)))))</f>
        <v/>
      </c>
      <c r="P156" s="472">
        <f>SUMPRODUCT((ISNUMBER(SEARCH($Y11,Dienstplan!$B$25:$B$36))*(ISNUMBER(SEARCH($AB$16,Dienstplan!$CQ$25:$DV$36)))))</f>
        <v/>
      </c>
      <c r="Q156" s="472">
        <f>SUMPRODUCT((ISNUMBER(SEARCH($Y11,Dienstplan!$B$25:$B$36))*(ISNUMBER(SEARCH($AB$16,Dienstplan!$CQ$25:$DV$36)))))</f>
        <v/>
      </c>
      <c r="R156" s="472">
        <f>SUMPRODUCT((ISNUMBER(SEARCH($Y11,Dienstplan!$B$25:$B$36))*(ISNUMBER(SEARCH($AB$18,Dienstplan!$CQ$25:$DV$36)))))</f>
        <v/>
      </c>
      <c r="S156" s="472">
        <f>SUMPRODUCT((ISNUMBER(SEARCH($Y11,Dienstplan!$B$25:$B$36))*(ISNUMBER(SEARCH($AB$19,Dienstplan!$CQ$25:$DV$36)))))</f>
        <v/>
      </c>
      <c r="T156" s="472">
        <f>SUM($F$146*$Z11)</f>
        <v/>
      </c>
      <c r="U156" s="472">
        <f>SUM($C156*Frueh_1+$D156*Spaet_1+$E156*Nacht_1+$F156*Normal_1+$I156*Sonderd_1-$J156*Put_W+$K156*Put_W+$L156*EH_Kurs+$M156*Koor_taet+$N156*Sekre_1+$O156*Put_W+$R156*Put_W+$P156*Put_W+$Q156*Put_W+G156*Put_W+H156*Put_W)</f>
        <v/>
      </c>
      <c r="V156" s="472">
        <f>SUM($U156-$T156)</f>
        <v/>
      </c>
      <c r="W156" s="472">
        <f>V156+W140</f>
        <v/>
      </c>
      <c r="X156" s="472" t="n"/>
      <c r="Y156" s="472" t="n"/>
      <c r="Z156" s="472" t="n"/>
      <c r="AA156" s="472" t="n"/>
      <c r="AB156" s="472" t="n"/>
      <c r="AC156" s="472" t="n"/>
      <c r="AD156" s="472" t="n"/>
      <c r="AE156" s="472" t="n"/>
      <c r="AF156" s="472" t="n"/>
      <c r="AG156" s="472" t="n"/>
      <c r="AH156" s="472" t="n"/>
      <c r="AI156" s="472" t="n"/>
      <c r="AJ156" s="472" t="n"/>
    </row>
    <row r="157">
      <c r="A157" s="472" t="n"/>
      <c r="B157" s="471">
        <f>B13</f>
        <v/>
      </c>
      <c r="C157" s="472">
        <f>SUMPRODUCT((ISNUMBER(SEARCH($Y12,Dienstplan!$B$25:$B$36))*(ISNUMBER(SEARCH($AB$3,Dienstplan!$CQ$25:$DV$36)))))-D157</f>
        <v/>
      </c>
      <c r="D157" s="472">
        <f>SUMPRODUCT((ISNUMBER(SEARCH($Y12,Dienstplan!$B$25:$B$36))*(ISNUMBER(SEARCH($AB$4,Dienstplan!$CQ$25:$DV$36)))))</f>
        <v/>
      </c>
      <c r="E157" s="472">
        <f>SUMPRODUCT((ISNUMBER(SEARCH($Y12,Dienstplan!$B$25:$B$36))*(ISNUMBER(SEARCH($AB$5,Dienstplan!$CQ$25:$DV$36)))))</f>
        <v/>
      </c>
      <c r="F157" s="472">
        <f>SUMPRODUCT((ISNUMBER(SEARCH($Y12,Dienstplan!$B$25:$B$36))*(ISNUMBER(SEARCH($AB$6,Dienstplan!$CQ$25:$DV$36)))))</f>
        <v/>
      </c>
      <c r="G157" s="472">
        <f>SUMPRODUCT((ISNUMBER(SEARCH($Y12,Dienstplan!$B$25:$B$36))*(ISNUMBER(SEARCH($AB$7,Dienstplan!$CQ$25:$DV$36)))))-H157</f>
        <v/>
      </c>
      <c r="H157" s="472">
        <f>SUMPRODUCT((ISNUMBER(SEARCH($Y12,Dienstplan!$B$25:$B$36))*(ISNUMBER(SEARCH($AB$8,Dienstplan!$CQ$25:$DV$36)))))</f>
        <v/>
      </c>
      <c r="I157" s="472">
        <f>SUMPRODUCT((ISNUMBER(SEARCH($Y12,Dienstplan!$B$25:$B$36))*(ISNUMBER(SEARCH($AB$9,Dienstplan!$CQ$25:$DV$36)))))</f>
        <v/>
      </c>
      <c r="J157" s="472">
        <f>SUMPRODUCT((ISNUMBER(SEARCH($Y12,Dienstplan!$B$25:$B$36))*(ISNUMBER(SEARCH($AB$10,Dienstplan!$CQ$25:$DV$36)))))</f>
        <v/>
      </c>
      <c r="K157" s="472">
        <f>SUMPRODUCT((ISNUMBER(SEARCH($Y12,Dienstplan!$B$25:$B$36))*(ISNUMBER(SEARCH($AB$11,Dienstplan!$CQ$25:$DV$36)))))-$Q157</f>
        <v/>
      </c>
      <c r="L157" s="472">
        <f>SUMPRODUCT((ISNUMBER(SEARCH($Y12,Dienstplan!$B$25:$B$36))*(ISNUMBER(SEARCH($AB$12,Dienstplan!$CQ$25:$DV$36)))))</f>
        <v/>
      </c>
      <c r="M157" s="472">
        <f>SUMPRODUCT((ISNUMBER(SEARCH($Y12,Dienstplan!$B$25:$B$36))*(ISNUMBER(SEARCH($AB$13,Dienstplan!$CQ$25:$DV$36)))))</f>
        <v/>
      </c>
      <c r="N157" s="472">
        <f>SUMPRODUCT((ISNUMBER(SEARCH($Y12,Dienstplan!$B$25:$B$36))*(ISNUMBER(SEARCH($AB$14,Dienstplan!$CQ$25:$DV$36)))))</f>
        <v/>
      </c>
      <c r="O157" s="472">
        <f>SUMPRODUCT((ISNUMBER(SEARCH($Y12,Dienstplan!$B$25:$B$36))*(ISNUMBER(SEARCH($AB$15,Dienstplan!$CQ$25:$DV$36)))))</f>
        <v/>
      </c>
      <c r="P157" s="472">
        <f>SUMPRODUCT((ISNUMBER(SEARCH($Y12,Dienstplan!$B$25:$B$36))*(ISNUMBER(SEARCH($AB$16,Dienstplan!$CQ$25:$DV$36)))))</f>
        <v/>
      </c>
      <c r="Q157" s="472">
        <f>SUMPRODUCT((ISNUMBER(SEARCH($Y12,Dienstplan!$B$25:$B$36))*(ISNUMBER(SEARCH($AB$16,Dienstplan!$CQ$25:$DV$36)))))</f>
        <v/>
      </c>
      <c r="R157" s="472">
        <f>SUMPRODUCT((ISNUMBER(SEARCH($Y12,Dienstplan!$B$25:$B$36))*(ISNUMBER(SEARCH($AB$18,Dienstplan!$CQ$25:$DV$36)))))</f>
        <v/>
      </c>
      <c r="S157" s="472">
        <f>SUMPRODUCT((ISNUMBER(SEARCH($Y12,Dienstplan!$B$25:$B$36))*(ISNUMBER(SEARCH($AB$19,Dienstplan!$CQ$25:$DV$36)))))</f>
        <v/>
      </c>
      <c r="T157" s="472">
        <f>SUM($F$146*$Z12)</f>
        <v/>
      </c>
      <c r="U157" s="472">
        <f>SUM($C157*Frueh_1+$D157*Spaet_1+$E157*Nacht_1+$F157*Normal_1+$I157*Sonderd_1-$J157*Radi_L+$K157*Radi_L+$L157*EH_Kurs+$M157*Koor_taet+$N157*Sekre_1+$O157*Radi_L+$R157*Radi_L+$P157*Radi_L+$Q157*Radi_L+G157*Radi_L+H157*Radi_L)</f>
        <v/>
      </c>
      <c r="V157" s="472">
        <f>SUM($U157-$T157)</f>
        <v/>
      </c>
      <c r="W157" s="472">
        <f>V157+W141</f>
        <v/>
      </c>
      <c r="X157" s="472" t="n"/>
      <c r="Y157" s="472" t="n"/>
      <c r="Z157" s="472" t="n"/>
      <c r="AA157" s="472" t="n"/>
      <c r="AB157" s="472" t="n"/>
      <c r="AC157" s="472" t="n"/>
      <c r="AD157" s="472" t="n"/>
      <c r="AE157" s="472" t="n"/>
      <c r="AF157" s="472" t="n"/>
      <c r="AG157" s="472" t="n"/>
      <c r="AH157" s="472" t="n"/>
      <c r="AI157" s="472" t="n"/>
      <c r="AJ157" s="472" t="n"/>
    </row>
    <row r="158">
      <c r="A158" s="472" t="n"/>
      <c r="B158" s="471">
        <f>B14</f>
        <v/>
      </c>
      <c r="C158" s="472">
        <f>SUMPRODUCT((ISNUMBER(SEARCH($Y13,Dienstplan!$B$25:$B$36))*(ISNUMBER(SEARCH($AB$3,Dienstplan!$CQ$25:$DV$36)))))-D158</f>
        <v/>
      </c>
      <c r="D158" s="472">
        <f>SUMPRODUCT((ISNUMBER(SEARCH($Y13,Dienstplan!$B$25:$B$36))*(ISNUMBER(SEARCH($AB$4,Dienstplan!$CQ$25:$DV$36)))))</f>
        <v/>
      </c>
      <c r="E158" s="472">
        <f>SUMPRODUCT((ISNUMBER(SEARCH($Y13,Dienstplan!$B$25:$B$36))*(ISNUMBER(SEARCH($AB$5,Dienstplan!$CQ$25:$DV$36)))))</f>
        <v/>
      </c>
      <c r="F158" s="472">
        <f>SUMPRODUCT((ISNUMBER(SEARCH($Y13,Dienstplan!$B$25:$B$36))*(ISNUMBER(SEARCH($AB$6,Dienstplan!$CQ$25:$DV$36)))))</f>
        <v/>
      </c>
      <c r="G158" s="472">
        <f>SUMPRODUCT((ISNUMBER(SEARCH($Y13,Dienstplan!$B$25:$B$36))*(ISNUMBER(SEARCH($AB$7,Dienstplan!$CQ$25:$DV$36)))))-H158</f>
        <v/>
      </c>
      <c r="H158" s="472">
        <f>SUMPRODUCT((ISNUMBER(SEARCH($Y13,Dienstplan!$B$25:$B$36))*(ISNUMBER(SEARCH($AB$8,Dienstplan!$CQ$25:$DV$36)))))</f>
        <v/>
      </c>
      <c r="I158" s="472">
        <f>SUMPRODUCT((ISNUMBER(SEARCH($Y13,Dienstplan!$B$25:$B$36))*(ISNUMBER(SEARCH($AB$9,Dienstplan!$CQ$25:$DV$36)))))</f>
        <v/>
      </c>
      <c r="J158" s="472">
        <f>SUMPRODUCT((ISNUMBER(SEARCH($Y13,Dienstplan!$B$25:$B$36))*(ISNUMBER(SEARCH($AB$10,Dienstplan!$CQ$25:$DV$36)))))</f>
        <v/>
      </c>
      <c r="K158" s="472">
        <f>SUMPRODUCT((ISNUMBER(SEARCH($Y13,Dienstplan!$B$25:$B$36))*(ISNUMBER(SEARCH($AB$11,Dienstplan!$CQ$25:$DV$36)))))-$Q158</f>
        <v/>
      </c>
      <c r="L158" s="472">
        <f>SUMPRODUCT((ISNUMBER(SEARCH($Y13,Dienstplan!$B$25:$B$36))*(ISNUMBER(SEARCH($AB$12,Dienstplan!$CQ$25:$DV$36)))))</f>
        <v/>
      </c>
      <c r="M158" s="472">
        <f>SUMPRODUCT((ISNUMBER(SEARCH($Y13,Dienstplan!$B$25:$B$36))*(ISNUMBER(SEARCH($AB$13,Dienstplan!$CQ$25:$DV$36)))))</f>
        <v/>
      </c>
      <c r="N158" s="472">
        <f>SUMPRODUCT((ISNUMBER(SEARCH($Y13,Dienstplan!$B$25:$B$36))*(ISNUMBER(SEARCH($AB$14,Dienstplan!$CQ$25:$DV$36)))))</f>
        <v/>
      </c>
      <c r="O158" s="472">
        <f>SUMPRODUCT((ISNUMBER(SEARCH($Y13,Dienstplan!$B$25:$B$36))*(ISNUMBER(SEARCH($AB$15,Dienstplan!$CQ$25:$DV$36)))))</f>
        <v/>
      </c>
      <c r="P158" s="472">
        <f>SUMPRODUCT((ISNUMBER(SEARCH($Y13,Dienstplan!$B$25:$B$36))*(ISNUMBER(SEARCH($AB$16,Dienstplan!$CQ$25:$DV$36)))))</f>
        <v/>
      </c>
      <c r="Q158" s="472">
        <f>SUMPRODUCT((ISNUMBER(SEARCH($Y13,Dienstplan!$B$25:$B$36))*(ISNUMBER(SEARCH($AB$16,Dienstplan!$CQ$25:$DV$36)))))</f>
        <v/>
      </c>
      <c r="R158" s="472">
        <f>SUMPRODUCT((ISNUMBER(SEARCH($Y13,Dienstplan!$B$25:$B$36))*(ISNUMBER(SEARCH($AB$18,Dienstplan!$CQ$25:$DV$36)))))</f>
        <v/>
      </c>
      <c r="S158" s="472">
        <f>SUMPRODUCT((ISNUMBER(SEARCH($Y13,Dienstplan!$B$25:$B$36))*(ISNUMBER(SEARCH($AB$19,Dienstplan!$CQ$25:$DV$36)))))</f>
        <v/>
      </c>
      <c r="T158" s="472">
        <f>SUM($F$146*$Z13)</f>
        <v/>
      </c>
      <c r="U158" s="472">
        <f>SUM($C158*Frueh_1+$D158*Spaet_1+$E158*Nacht_1+$F158*Normal_1+$I158*Sonderd_1-$J158*Fortenb+$K158*Fortenb+$L158*EH_Kurs+$M158*Koor_taet+$N158*Sekre_1+$O158*Fortenb+$R158*Fortenb+$P158*Fortenb+$Q158*Fortenb+G158*Fortenb+H158*Fortenb)</f>
        <v/>
      </c>
      <c r="V158" s="472">
        <f>SUM($U158-$T158)</f>
        <v/>
      </c>
      <c r="W158" s="472">
        <f>V158+W142</f>
        <v/>
      </c>
      <c r="X158" s="472" t="n"/>
      <c r="Y158" s="472" t="n"/>
      <c r="Z158" s="472" t="n"/>
      <c r="AA158" s="472" t="n"/>
      <c r="AB158" s="472" t="n"/>
      <c r="AC158" s="472" t="n"/>
      <c r="AD158" s="472" t="n"/>
      <c r="AE158" s="472" t="n"/>
      <c r="AF158" s="472" t="n"/>
      <c r="AG158" s="472" t="n"/>
      <c r="AH158" s="472" t="n"/>
      <c r="AI158" s="472" t="n"/>
      <c r="AJ158" s="472" t="n"/>
    </row>
    <row r="159">
      <c r="A159" s="472" t="n"/>
      <c r="B159" s="471" t="n"/>
      <c r="C159" s="472" t="n"/>
      <c r="D159" s="472" t="n"/>
      <c r="E159" s="472" t="n"/>
      <c r="F159" s="472" t="n"/>
      <c r="G159" s="472" t="n"/>
      <c r="H159" s="472" t="n"/>
      <c r="I159" s="472" t="n"/>
      <c r="J159" s="472" t="n"/>
      <c r="K159" s="472" t="n"/>
      <c r="L159" s="472" t="n"/>
      <c r="M159" s="472" t="n"/>
      <c r="N159" s="472" t="n"/>
      <c r="O159" s="472" t="n"/>
      <c r="P159" s="472" t="n"/>
      <c r="Q159" s="472" t="n"/>
      <c r="R159" s="472" t="n"/>
      <c r="S159" s="472" t="n"/>
      <c r="T159" s="472" t="n"/>
      <c r="U159" s="472" t="n"/>
      <c r="V159" s="472" t="n"/>
      <c r="W159" s="472" t="n"/>
      <c r="X159" s="472" t="n"/>
      <c r="Y159" s="472" t="n"/>
      <c r="Z159" s="472" t="n"/>
      <c r="AA159" s="472" t="n"/>
      <c r="AB159" s="472" t="n"/>
      <c r="AC159" s="472" t="n"/>
      <c r="AD159" s="472" t="n"/>
      <c r="AE159" s="472" t="n"/>
      <c r="AF159" s="472" t="n"/>
      <c r="AG159" s="472" t="n"/>
      <c r="AH159" s="472" t="n"/>
      <c r="AI159" s="472" t="n"/>
      <c r="AJ159" s="472" t="n"/>
    </row>
    <row r="160">
      <c r="A160" s="483" t="n"/>
      <c r="B160" s="483" t="inlineStr">
        <is>
          <t>Summe</t>
        </is>
      </c>
      <c r="C160" s="483">
        <f>SUM(C148:C159)</f>
        <v/>
      </c>
      <c r="D160" s="483">
        <f>SUM(D148:D159)</f>
        <v/>
      </c>
      <c r="E160" s="483">
        <f>SUM(E148:E159)</f>
        <v/>
      </c>
      <c r="F160" s="483">
        <f>SUM(F148:F159)</f>
        <v/>
      </c>
      <c r="G160" s="483">
        <f>SUM(G148:G159)</f>
        <v/>
      </c>
      <c r="H160" s="483">
        <f>SUM(H148:H159)</f>
        <v/>
      </c>
      <c r="I160" s="483">
        <f>SUM(I148:I159)</f>
        <v/>
      </c>
      <c r="J160" s="483">
        <f>SUM(J148:J159)</f>
        <v/>
      </c>
      <c r="K160" s="483">
        <f>SUM(K148:K159)</f>
        <v/>
      </c>
      <c r="L160" s="483">
        <f>SUM(L148:L159)</f>
        <v/>
      </c>
      <c r="M160" s="483">
        <f>SUM(M148:M159)</f>
        <v/>
      </c>
      <c r="N160" s="483">
        <f>SUM(N148:N159)</f>
        <v/>
      </c>
      <c r="O160" s="483">
        <f>SUM(O148:O159)</f>
        <v/>
      </c>
      <c r="P160" s="483">
        <f>SUM(P148:P159)</f>
        <v/>
      </c>
      <c r="Q160" s="483">
        <f>SUM(Q148:Q159)</f>
        <v/>
      </c>
      <c r="R160" s="483">
        <f>SUM(R148:R159)</f>
        <v/>
      </c>
      <c r="S160" s="483">
        <f>SUM(S148:S159)</f>
        <v/>
      </c>
      <c r="T160" s="483">
        <f>SUM(T148:T156)</f>
        <v/>
      </c>
      <c r="U160" s="483">
        <f>SUM(U148:U156)</f>
        <v/>
      </c>
      <c r="V160" s="483" t="n"/>
      <c r="W160" s="483" t="n"/>
      <c r="X160" s="483" t="n"/>
      <c r="Y160" s="483" t="n"/>
      <c r="Z160" s="483" t="n"/>
      <c r="AA160" s="483" t="n"/>
      <c r="AB160" s="483" t="n"/>
      <c r="AC160" s="483" t="n"/>
      <c r="AD160" s="483" t="n"/>
      <c r="AE160" s="483" t="n"/>
      <c r="AF160" s="483" t="n"/>
      <c r="AG160" s="483" t="n"/>
      <c r="AH160" s="483" t="n"/>
      <c r="AI160" s="483" t="n"/>
      <c r="AJ160" s="483" t="n"/>
    </row>
    <row r="161">
      <c r="A161" s="11" t="n"/>
      <c r="B161" s="12" t="n"/>
      <c r="C161" s="1" t="n"/>
      <c r="D161" s="1" t="n"/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  <c r="O161" s="1" t="n"/>
      <c r="P161" s="1" t="n"/>
      <c r="Q161" s="1" t="n"/>
      <c r="R161" s="1" t="n"/>
      <c r="S161" s="12" t="n"/>
      <c r="T161" s="1" t="n"/>
      <c r="U161" s="1" t="n"/>
      <c r="V161" s="12" t="n"/>
      <c r="W161" s="17" t="n"/>
    </row>
    <row r="162">
      <c r="A162" s="475" t="n"/>
      <c r="B162" s="476" t="inlineStr">
        <is>
          <t>November</t>
        </is>
      </c>
      <c r="C162" s="475" t="n"/>
      <c r="D162" s="477" t="inlineStr">
        <is>
          <t>Arbeitstage</t>
        </is>
      </c>
      <c r="E162" s="475" t="n"/>
      <c r="F162" s="478" t="n">
        <v>21</v>
      </c>
      <c r="G162" s="479" t="n"/>
      <c r="H162" s="479" t="n"/>
      <c r="I162" s="477" t="inlineStr">
        <is>
          <t>Samstage</t>
        </is>
      </c>
      <c r="J162" s="475" t="n"/>
      <c r="K162" s="478" t="n">
        <v>4</v>
      </c>
      <c r="L162" s="475" t="n"/>
      <c r="M162" s="475" t="n"/>
      <c r="N162" s="475" t="n"/>
      <c r="O162" s="475" t="n"/>
      <c r="P162" s="475" t="n"/>
      <c r="Q162" s="475" t="n"/>
      <c r="R162" s="475" t="n"/>
      <c r="S162" s="475" t="n"/>
      <c r="T162" s="475" t="n"/>
      <c r="U162" s="475" t="n"/>
      <c r="V162" s="475" t="n"/>
      <c r="W162" s="475" t="n"/>
      <c r="X162" s="475" t="n"/>
      <c r="Y162" s="475" t="n"/>
      <c r="Z162" s="475" t="n"/>
      <c r="AA162" s="475" t="n"/>
      <c r="AB162" s="475" t="n"/>
      <c r="AC162" s="475" t="n"/>
      <c r="AD162" s="475" t="n"/>
      <c r="AE162" s="475" t="n"/>
      <c r="AF162" s="475" t="n"/>
      <c r="AG162" s="475" t="n"/>
      <c r="AH162" s="475" t="n"/>
      <c r="AI162" s="475" t="n"/>
      <c r="AJ162" s="475" t="n"/>
    </row>
    <row r="163">
      <c r="A163" s="480" t="n"/>
      <c r="B163" s="480" t="n"/>
      <c r="C163" s="480">
        <f>Jahr!C3</f>
        <v/>
      </c>
      <c r="D163" s="480">
        <f>Jahr!D3</f>
        <v/>
      </c>
      <c r="E163" s="480">
        <f>Jahr!E3</f>
        <v/>
      </c>
      <c r="F163" s="480">
        <f>Jahr!F3</f>
        <v/>
      </c>
      <c r="G163" s="480">
        <f>Jahr!G3</f>
        <v/>
      </c>
      <c r="H163" s="480">
        <f>Jahr!H3</f>
        <v/>
      </c>
      <c r="I163" s="480">
        <f>Jahr!I3</f>
        <v/>
      </c>
      <c r="J163" s="480">
        <f>Jahr!J3</f>
        <v/>
      </c>
      <c r="K163" s="480">
        <f>Jahr!K3</f>
        <v/>
      </c>
      <c r="L163" s="480">
        <f>Jahr!L3</f>
        <v/>
      </c>
      <c r="M163" s="480">
        <f>Jahr!M3</f>
        <v/>
      </c>
      <c r="N163" s="480">
        <f>Jahr!N3</f>
        <v/>
      </c>
      <c r="O163" s="480">
        <f>Jahr!O3</f>
        <v/>
      </c>
      <c r="P163" s="480">
        <f>Jahr!P3</f>
        <v/>
      </c>
      <c r="Q163" s="480">
        <f>Jahr!Q3</f>
        <v/>
      </c>
      <c r="R163" s="480">
        <f>Jahr!R3</f>
        <v/>
      </c>
      <c r="S163" s="480">
        <f>Jahr!S3</f>
        <v/>
      </c>
      <c r="T163" s="480" t="inlineStr">
        <is>
          <t>Soll AZ</t>
        </is>
      </c>
      <c r="U163" s="480" t="inlineStr">
        <is>
          <t>Ist AZ</t>
        </is>
      </c>
      <c r="V163" s="480" t="inlineStr">
        <is>
          <t>Differenz</t>
        </is>
      </c>
      <c r="W163" s="480" t="inlineStr">
        <is>
          <t>Gesamt</t>
        </is>
      </c>
      <c r="X163" s="480" t="n"/>
      <c r="Y163" s="480" t="n"/>
      <c r="Z163" s="480" t="n"/>
      <c r="AA163" s="480" t="n"/>
      <c r="AB163" s="480" t="n"/>
      <c r="AC163" s="480" t="n"/>
      <c r="AD163" s="480" t="n"/>
      <c r="AE163" s="480" t="n"/>
      <c r="AF163" s="480" t="n"/>
      <c r="AG163" s="480" t="n"/>
      <c r="AH163" s="480" t="n"/>
      <c r="AI163" s="480" t="n"/>
      <c r="AJ163" s="480" t="n"/>
    </row>
    <row r="164">
      <c r="A164" s="472" t="n"/>
      <c r="B164" s="471">
        <f>B4</f>
        <v/>
      </c>
      <c r="C164" s="472">
        <f>SUMPRODUCT((ISNUMBER(SEARCH($Y3,Dienstplan!$B$25:$B$36))*(ISNUMBER(SEARCH($AB$3,Dienstplan!$DV$25:$EY$36)))))-D164</f>
        <v/>
      </c>
      <c r="D164" s="472">
        <f>SUMPRODUCT((ISNUMBER(SEARCH($Y3,Dienstplan!$B$25:$B$36))*(ISNUMBER(SEARCH($AB$4,Dienstplan!$DV$25:$EY$36)))))</f>
        <v/>
      </c>
      <c r="E164" s="472">
        <f>SUMPRODUCT((ISNUMBER(SEARCH($Y3,Dienstplan!$B$25:$B$36))*(ISNUMBER(SEARCH($AB$5,Dienstplan!$DV$25:$EY$36)))))</f>
        <v/>
      </c>
      <c r="F164" s="472">
        <f>SUMPRODUCT((ISNUMBER(SEARCH($Y3,Dienstplan!$B$25:$B$36))*(ISNUMBER(SEARCH($AB$6,Dienstplan!$DV$25:$EY$36)))))</f>
        <v/>
      </c>
      <c r="G164" s="472">
        <f>SUMPRODUCT((ISNUMBER(SEARCH($Y3,Dienstplan!$B$25:$B$36))*(ISNUMBER(SEARCH($AB$7,Dienstplan!$DV$25:$EY$36)))))-H164</f>
        <v/>
      </c>
      <c r="H164" s="472">
        <f>SUMPRODUCT((ISNUMBER(SEARCH($Y3,Dienstplan!$B$25:$B$36))*(ISNUMBER(SEARCH($AB$8,Dienstplan!$DV$25:$EY$36)))))</f>
        <v/>
      </c>
      <c r="I164" s="472">
        <f>SUMPRODUCT((ISNUMBER(SEARCH($Y3,Dienstplan!$B$25:$B$36))*(ISNUMBER(SEARCH($AB$9,Dienstplan!$DV$25:$EY$36)))))</f>
        <v/>
      </c>
      <c r="J164" s="472">
        <f>SUMPRODUCT((ISNUMBER(SEARCH($Y3,Dienstplan!$B$25:$B$36))*(ISNUMBER(SEARCH($AB$10,Dienstplan!$DV$25:$EY$36)))))</f>
        <v/>
      </c>
      <c r="K164" s="472">
        <f>SUMPRODUCT((ISNUMBER(SEARCH($Y3,Dienstplan!$B$25:$B$36))*(ISNUMBER(SEARCH($AB$11,Dienstplan!$DV$25:$EY$36)))))-$Q164</f>
        <v/>
      </c>
      <c r="L164" s="472">
        <f>SUMPRODUCT((ISNUMBER(SEARCH($Y3,Dienstplan!$B$25:$B$36))*(ISNUMBER(SEARCH($AB$12,Dienstplan!$DV$25:$EY$36)))))</f>
        <v/>
      </c>
      <c r="M164" s="472">
        <f>SUMPRODUCT((ISNUMBER(SEARCH($Y3,Dienstplan!$B$25:$B$36))*(ISNUMBER(SEARCH($AB$13,Dienstplan!$DV$25:$EY$36)))))</f>
        <v/>
      </c>
      <c r="N164" s="472">
        <f>SUMPRODUCT((ISNUMBER(SEARCH($Y3,Dienstplan!$B$25:$B$36))*(ISNUMBER(SEARCH($AB$14,Dienstplan!$DV$25:$EY$36)))))</f>
        <v/>
      </c>
      <c r="O164" s="472">
        <f>SUMPRODUCT((ISNUMBER(SEARCH($Y3,Dienstplan!$B$25:$B$36))*(ISNUMBER(SEARCH($AB$15,Dienstplan!$DV$25:$EY$36)))))</f>
        <v/>
      </c>
      <c r="P164" s="472">
        <f>SUMPRODUCT((ISNUMBER(SEARCH($Y3,Dienstplan!$B$25:$B$36))*(ISNUMBER(SEARCH($AB$16,Dienstplan!$DV$25:$EY$36)))))</f>
        <v/>
      </c>
      <c r="Q164" s="472">
        <f>SUMPRODUCT((ISNUMBER(SEARCH($Y3,Dienstplan!$B$25:$B$36))*(ISNUMBER(SEARCH($AB$17,Dienstplan!$DV$25:$EY$36)))))</f>
        <v/>
      </c>
      <c r="R164" s="472">
        <f>SUMPRODUCT((ISNUMBER(SEARCH($Y3,Dienstplan!$B$25:$B$36))*(ISNUMBER(SEARCH($AB$18,Dienstplan!$DV$25:$EY$36)))))</f>
        <v/>
      </c>
      <c r="S164" s="472">
        <f>SUMPRODUCT((ISNUMBER(SEARCH($Y3,Dienstplan!$B$25:$B$36))*(ISNUMBER(SEARCH($AB$19,Dienstplan!$DV$25:$EY$36)))))</f>
        <v/>
      </c>
      <c r="T164" s="472">
        <f>SUM($F$162*$Z3)</f>
        <v/>
      </c>
      <c r="U164" s="472">
        <f>SUM($C164*Frueh_1+$D164*Spaet_1+$E164*Nacht_1+$F164*Normal_1+$I164*Sonderd_1-$J164*Velten+$K164*Velten+$L164*EH_Kurs+$M164*Koor_taet+$N164*Sekre_1+$O164*Velten+$R164*Velten+$P164*Velten+$Q164*Velten+G164*Velt_M+H164*Velt_M)</f>
        <v/>
      </c>
      <c r="V164" s="472">
        <f>SUM($U164-$T164)</f>
        <v/>
      </c>
      <c r="W164" s="472">
        <f>V164+W148</f>
        <v/>
      </c>
      <c r="X164" s="472" t="n"/>
      <c r="Y164" s="472" t="n"/>
      <c r="Z164" s="472" t="n"/>
      <c r="AA164" s="472" t="n"/>
      <c r="AB164" s="472" t="n"/>
      <c r="AC164" s="472" t="n"/>
      <c r="AD164" s="472" t="n"/>
      <c r="AE164" s="472" t="n"/>
      <c r="AF164" s="472" t="n"/>
      <c r="AG164" s="472" t="n"/>
      <c r="AH164" s="472" t="n"/>
      <c r="AI164" s="472" t="n"/>
      <c r="AJ164" s="472" t="n"/>
    </row>
    <row r="165">
      <c r="A165" s="472" t="n"/>
      <c r="B165" s="471">
        <f>B5</f>
        <v/>
      </c>
      <c r="C165" s="472">
        <f>SUMPRODUCT((ISNUMBER(SEARCH($Y4,Dienstplan!$B$25:$B$36))*(ISNUMBER(SEARCH($AB$3,Dienstplan!$DV$25:$EY$36)))))-D165</f>
        <v/>
      </c>
      <c r="D165" s="472">
        <f>SUMPRODUCT((ISNUMBER(SEARCH($Y4,Dienstplan!$B$25:$B$36))*(ISNUMBER(SEARCH($AB$4,Dienstplan!$DV$25:$EY$36)))))</f>
        <v/>
      </c>
      <c r="E165" s="472">
        <f>SUMPRODUCT((ISNUMBER(SEARCH($Y4,Dienstplan!$B$25:$B$36))*(ISNUMBER(SEARCH($AB$5,Dienstplan!$DV$25:$EY$36)))))</f>
        <v/>
      </c>
      <c r="F165" s="472">
        <f>SUMPRODUCT((ISNUMBER(SEARCH($Y4,Dienstplan!$B$25:$B$36))*(ISNUMBER(SEARCH($AB$6,Dienstplan!$DV$25:$EY$36)))))</f>
        <v/>
      </c>
      <c r="G165" s="472">
        <f>SUMPRODUCT((ISNUMBER(SEARCH($Y4,Dienstplan!$B$25:$B$36))*(ISNUMBER(SEARCH($AB$7,Dienstplan!$DV$25:$EY$36)))))-H165</f>
        <v/>
      </c>
      <c r="H165" s="472">
        <f>SUMPRODUCT((ISNUMBER(SEARCH($Y4,Dienstplan!$B$25:$B$36))*(ISNUMBER(SEARCH($AB$8,Dienstplan!$DV$25:$EY$36)))))</f>
        <v/>
      </c>
      <c r="I165" s="472">
        <f>SUMPRODUCT((ISNUMBER(SEARCH($Y4,Dienstplan!$B$25:$B$36))*(ISNUMBER(SEARCH($AB$9,Dienstplan!$DV$25:$EY$36)))))</f>
        <v/>
      </c>
      <c r="J165" s="472">
        <f>SUMPRODUCT((ISNUMBER(SEARCH($Y4,Dienstplan!$B$25:$B$36))*(ISNUMBER(SEARCH($AB$10,Dienstplan!$DV$25:$EY$36)))))</f>
        <v/>
      </c>
      <c r="K165" s="472">
        <f>SUMPRODUCT((ISNUMBER(SEARCH($Y4,Dienstplan!$B$25:$B$36))*(ISNUMBER(SEARCH($AB$11,Dienstplan!$DV$25:$EY$36)))))-$Q165</f>
        <v/>
      </c>
      <c r="L165" s="472">
        <f>SUMPRODUCT((ISNUMBER(SEARCH($Y4,Dienstplan!$B$25:$B$36))*(ISNUMBER(SEARCH($AB$12,Dienstplan!$DV$25:$EY$36)))))</f>
        <v/>
      </c>
      <c r="M165" s="472">
        <f>SUMPRODUCT((ISNUMBER(SEARCH($Y4,Dienstplan!$B$25:$B$36))*(ISNUMBER(SEARCH($AB$13,Dienstplan!$DV$25:$EY$36)))))</f>
        <v/>
      </c>
      <c r="N165" s="472">
        <f>SUMPRODUCT((ISNUMBER(SEARCH($Y4,Dienstplan!$B$25:$B$36))*(ISNUMBER(SEARCH($AB$14,Dienstplan!$DV$25:$EY$36)))))</f>
        <v/>
      </c>
      <c r="O165" s="472">
        <f>SUMPRODUCT((ISNUMBER(SEARCH($Y4,Dienstplan!$B$25:$B$36))*(ISNUMBER(SEARCH($AB$15,Dienstplan!$DV$25:$EY$36)))))</f>
        <v/>
      </c>
      <c r="P165" s="472">
        <f>SUMPRODUCT((ISNUMBER(SEARCH($Y4,Dienstplan!$B$25:$B$36))*(ISNUMBER(SEARCH($AB$16,Dienstplan!$DV$25:$EY$36)))))</f>
        <v/>
      </c>
      <c r="Q165" s="472">
        <f>SUMPRODUCT((ISNUMBER(SEARCH($Y4,Dienstplan!$B$25:$B$36))*(ISNUMBER(SEARCH($AB$17,Dienstplan!$DV$25:$EY$36)))))</f>
        <v/>
      </c>
      <c r="R165" s="472">
        <f>SUMPRODUCT((ISNUMBER(SEARCH($Y4,Dienstplan!$B$25:$B$36))*(ISNUMBER(SEARCH($AB$18,Dienstplan!$DV$25:$EY$36)))))</f>
        <v/>
      </c>
      <c r="S165" s="472">
        <f>SUMPRODUCT((ISNUMBER(SEARCH($Y4,Dienstplan!$B$25:$B$36))*(ISNUMBER(SEARCH($AB$19,Dienstplan!$DV$25:$EY$36)))))</f>
        <v/>
      </c>
      <c r="T165" s="472">
        <f>SUM($F$162*$Z4)</f>
        <v/>
      </c>
      <c r="U165" s="472">
        <f>SUM($C165*Frueh_1+$D165*Spaet_1+$E165*Nacht_1+$F165*Normal_1+$I165*Sonderd_1-$J165*Brue_H+$K165*Brue_H+$L165*EH_Kurs+$M165*Koor_taet+$N165*Sekre_1+$O165*Brue_H+$R165*Brue_H+$P165*Brue_H+$Q165*Brue_H+G165*Brue_H+H165*Brue_H)</f>
        <v/>
      </c>
      <c r="V165" s="472">
        <f>SUM($U165-$T165)</f>
        <v/>
      </c>
      <c r="W165" s="472">
        <f>V165+W149</f>
        <v/>
      </c>
      <c r="X165" s="472" t="n"/>
      <c r="Y165" s="472" t="n"/>
      <c r="Z165" s="472" t="n"/>
      <c r="AA165" s="472" t="n"/>
      <c r="AB165" s="472" t="n"/>
      <c r="AC165" s="472" t="n"/>
      <c r="AD165" s="472" t="n"/>
      <c r="AE165" s="472" t="n"/>
      <c r="AF165" s="472" t="n"/>
      <c r="AG165" s="472" t="n"/>
      <c r="AH165" s="472" t="n"/>
      <c r="AI165" s="472" t="n"/>
      <c r="AJ165" s="472" t="n"/>
    </row>
    <row r="166">
      <c r="A166" s="472" t="n"/>
      <c r="B166" s="471">
        <f>B6</f>
        <v/>
      </c>
      <c r="C166" s="472">
        <f>SUMPRODUCT((ISNUMBER(SEARCH($Y5,Dienstplan!$B$25:$B$36))*(ISNUMBER(SEARCH($AB$3,Dienstplan!$DV$25:$EY$36)))))-D166</f>
        <v/>
      </c>
      <c r="D166" s="472">
        <f>SUMPRODUCT((ISNUMBER(SEARCH($Y5,Dienstplan!$B$25:$B$36))*(ISNUMBER(SEARCH($AB$4,Dienstplan!$DV$25:$EY$36)))))</f>
        <v/>
      </c>
      <c r="E166" s="472">
        <f>SUMPRODUCT((ISNUMBER(SEARCH($Y5,Dienstplan!$B$25:$B$36))*(ISNUMBER(SEARCH($AB$5,Dienstplan!$DV$25:$EY$36)))))</f>
        <v/>
      </c>
      <c r="F166" s="472">
        <f>SUMPRODUCT((ISNUMBER(SEARCH($Y5,Dienstplan!$B$25:$B$36))*(ISNUMBER(SEARCH($AB$6,Dienstplan!$DV$25:$EY$36)))))</f>
        <v/>
      </c>
      <c r="G166" s="472">
        <f>SUMPRODUCT((ISNUMBER(SEARCH($Y5,Dienstplan!$B$25:$B$36))*(ISNUMBER(SEARCH($AB$7,Dienstplan!$DV$25:$EY$36)))))-H166</f>
        <v/>
      </c>
      <c r="H166" s="472">
        <f>SUMPRODUCT((ISNUMBER(SEARCH($Y5,Dienstplan!$B$25:$B$36))*(ISNUMBER(SEARCH($AB$8,Dienstplan!$DV$25:$EY$36)))))</f>
        <v/>
      </c>
      <c r="I166" s="472">
        <f>SUMPRODUCT((ISNUMBER(SEARCH($Y5,Dienstplan!$B$25:$B$36))*(ISNUMBER(SEARCH($AB$9,Dienstplan!$DV$25:$EY$36)))))</f>
        <v/>
      </c>
      <c r="J166" s="472">
        <f>SUMPRODUCT((ISNUMBER(SEARCH($Y5,Dienstplan!$B$25:$B$36))*(ISNUMBER(SEARCH($AB$10,Dienstplan!$DV$25:$EY$36)))))</f>
        <v/>
      </c>
      <c r="K166" s="472">
        <f>SUMPRODUCT((ISNUMBER(SEARCH($Y5,Dienstplan!$B$25:$B$36))*(ISNUMBER(SEARCH($AB$11,Dienstplan!$DV$25:$EY$36)))))-$Q166</f>
        <v/>
      </c>
      <c r="L166" s="472">
        <f>SUMPRODUCT((ISNUMBER(SEARCH($Y5,Dienstplan!$B$25:$B$36))*(ISNUMBER(SEARCH($AB$12,Dienstplan!$DV$25:$EY$36)))))</f>
        <v/>
      </c>
      <c r="M166" s="472">
        <f>SUMPRODUCT((ISNUMBER(SEARCH($Y5,Dienstplan!$B$25:$B$36))*(ISNUMBER(SEARCH($AB$13,Dienstplan!$DV$25:$EY$36)))))</f>
        <v/>
      </c>
      <c r="N166" s="472">
        <f>SUMPRODUCT((ISNUMBER(SEARCH($Y5,Dienstplan!$B$25:$B$36))*(ISNUMBER(SEARCH($AB$14,Dienstplan!$DV$25:$EY$36)))))</f>
        <v/>
      </c>
      <c r="O166" s="472">
        <f>SUMPRODUCT((ISNUMBER(SEARCH($Y5,Dienstplan!$B$25:$B$36))*(ISNUMBER(SEARCH($AB$15,Dienstplan!$DV$25:$EY$36)))))</f>
        <v/>
      </c>
      <c r="P166" s="472">
        <f>SUMPRODUCT((ISNUMBER(SEARCH($Y5,Dienstplan!$B$25:$B$36))*(ISNUMBER(SEARCH($AB$16,Dienstplan!$DV$25:$EY$36)))))</f>
        <v/>
      </c>
      <c r="Q166" s="472">
        <f>SUMPRODUCT((ISNUMBER(SEARCH($Y5,Dienstplan!$B$25:$B$36))*(ISNUMBER(SEARCH($AB$17,Dienstplan!$DV$25:$EY$36)))))</f>
        <v/>
      </c>
      <c r="R166" s="472">
        <f>SUMPRODUCT((ISNUMBER(SEARCH($Y5,Dienstplan!$B$25:$B$36))*(ISNUMBER(SEARCH($AB$18,Dienstplan!$DV$25:$EY$36)))))</f>
        <v/>
      </c>
      <c r="S166" s="472">
        <f>SUMPRODUCT((ISNUMBER(SEARCH($Y5,Dienstplan!$B$25:$B$36))*(ISNUMBER(SEARCH($AB$19,Dienstplan!$DV$25:$EY$36)))))</f>
        <v/>
      </c>
      <c r="T166" s="472">
        <f>SUM($F$162*$Z5)</f>
        <v/>
      </c>
      <c r="U166" s="472">
        <f>SUM($C166*Frueh_1+$D166*Spaet_1+$E166*Nacht_1+$F166*Normal_1+$I166*Sonderd_1-$J166*Rath_M+$K166*Rath_M+$L166*EH_Kurs+$M166*Koor_taet+$N166*Sekre_1+$O166*Rath_M+$R166*Rath_M+$P166*Rath_M+$Q166*Rath_M+G166*Rath_M+H166*Rath_M)</f>
        <v/>
      </c>
      <c r="V166" s="472">
        <f>SUM($U166-$T166)</f>
        <v/>
      </c>
      <c r="W166" s="472">
        <f>V166+W150</f>
        <v/>
      </c>
      <c r="X166" s="472" t="n"/>
      <c r="Y166" s="472" t="n"/>
      <c r="Z166" s="472" t="n"/>
      <c r="AA166" s="472" t="n"/>
      <c r="AB166" s="472" t="n"/>
      <c r="AC166" s="472" t="n"/>
      <c r="AD166" s="472" t="n"/>
      <c r="AE166" s="472" t="n"/>
      <c r="AF166" s="472" t="n"/>
      <c r="AG166" s="472" t="n"/>
      <c r="AH166" s="472" t="n"/>
      <c r="AI166" s="472" t="n"/>
      <c r="AJ166" s="472" t="n"/>
    </row>
    <row r="167">
      <c r="A167" s="472" t="n"/>
      <c r="B167" s="471">
        <f>B7</f>
        <v/>
      </c>
      <c r="C167" s="472">
        <f>SUMPRODUCT((ISNUMBER(SEARCH($Y6,Dienstplan!$B$25:$B$36))*(ISNUMBER(SEARCH($AB$3,Dienstplan!$DV$25:$EY$36)))))-D167</f>
        <v/>
      </c>
      <c r="D167" s="472">
        <f>SUMPRODUCT((ISNUMBER(SEARCH($Y6,Dienstplan!$B$25:$B$36))*(ISNUMBER(SEARCH($AB$4,Dienstplan!$DV$25:$EY$36)))))</f>
        <v/>
      </c>
      <c r="E167" s="472">
        <f>SUMPRODUCT((ISNUMBER(SEARCH($Y6,Dienstplan!$B$25:$B$36))*(ISNUMBER(SEARCH($AB$5,Dienstplan!$DV$25:$EY$36)))))</f>
        <v/>
      </c>
      <c r="F167" s="472">
        <f>SUMPRODUCT((ISNUMBER(SEARCH($Y6,Dienstplan!$B$25:$B$36))*(ISNUMBER(SEARCH($AB$6,Dienstplan!$DV$25:$EY$36)))))</f>
        <v/>
      </c>
      <c r="G167" s="472">
        <f>SUMPRODUCT((ISNUMBER(SEARCH($Y6,Dienstplan!$B$25:$B$36))*(ISNUMBER(SEARCH($AB$7,Dienstplan!$DV$25:$EY$36)))))-H167</f>
        <v/>
      </c>
      <c r="H167" s="472">
        <f>SUMPRODUCT((ISNUMBER(SEARCH($Y6,Dienstplan!$B$25:$B$36))*(ISNUMBER(SEARCH($AB$8,Dienstplan!$DV$25:$EY$36)))))</f>
        <v/>
      </c>
      <c r="I167" s="472">
        <f>SUMPRODUCT((ISNUMBER(SEARCH($Y6,Dienstplan!$B$25:$B$36))*(ISNUMBER(SEARCH($AB$9,Dienstplan!$DV$25:$EY$36)))))</f>
        <v/>
      </c>
      <c r="J167" s="472">
        <f>SUMPRODUCT((ISNUMBER(SEARCH($Y6,Dienstplan!$B$25:$B$36))*(ISNUMBER(SEARCH($AB$10,Dienstplan!$DV$25:$EY$36)))))</f>
        <v/>
      </c>
      <c r="K167" s="472">
        <f>SUMPRODUCT((ISNUMBER(SEARCH($Y6,Dienstplan!$B$25:$B$36))*(ISNUMBER(SEARCH($AB$11,Dienstplan!$DV$25:$EY$36)))))-$Q167</f>
        <v/>
      </c>
      <c r="L167" s="472">
        <f>SUMPRODUCT((ISNUMBER(SEARCH($Y6,Dienstplan!$B$25:$B$36))*(ISNUMBER(SEARCH($AB$12,Dienstplan!$DV$25:$EY$36)))))</f>
        <v/>
      </c>
      <c r="M167" s="472">
        <f>SUMPRODUCT((ISNUMBER(SEARCH($Y6,Dienstplan!$B$25:$B$36))*(ISNUMBER(SEARCH($AB$13,Dienstplan!$DV$25:$EY$36)))))</f>
        <v/>
      </c>
      <c r="N167" s="472">
        <f>SUMPRODUCT((ISNUMBER(SEARCH($Y6,Dienstplan!$B$25:$B$36))*(ISNUMBER(SEARCH($AB$14,Dienstplan!$DV$25:$EY$36)))))</f>
        <v/>
      </c>
      <c r="O167" s="472">
        <f>SUMPRODUCT((ISNUMBER(SEARCH($Y6,Dienstplan!$B$25:$B$36))*(ISNUMBER(SEARCH($AB$15,Dienstplan!$DV$25:$EY$36)))))</f>
        <v/>
      </c>
      <c r="P167" s="472">
        <f>SUMPRODUCT((ISNUMBER(SEARCH($Y6,Dienstplan!$B$25:$B$36))*(ISNUMBER(SEARCH($AB$16,Dienstplan!$DV$25:$EY$36)))))</f>
        <v/>
      </c>
      <c r="Q167" s="472">
        <f>SUMPRODUCT((ISNUMBER(SEARCH($Y6,Dienstplan!$B$25:$B$36))*(ISNUMBER(SEARCH($AB$17,Dienstplan!$DV$25:$EY$36)))))</f>
        <v/>
      </c>
      <c r="R167" s="472">
        <f>SUMPRODUCT((ISNUMBER(SEARCH($Y6,Dienstplan!$B$25:$B$36))*(ISNUMBER(SEARCH($AB$18,Dienstplan!$DV$25:$EY$36)))))</f>
        <v/>
      </c>
      <c r="S167" s="472">
        <f>SUMPRODUCT((ISNUMBER(SEARCH($Y6,Dienstplan!$B$25:$B$36))*(ISNUMBER(SEARCH($AB$19,Dienstplan!$DV$25:$EY$36)))))</f>
        <v/>
      </c>
      <c r="T167" s="472">
        <f>SUM($F$162*$Z6)</f>
        <v/>
      </c>
      <c r="U167" s="472">
        <f>SUM($C167*Frueh_1+$D167*Spaet_1+$E167*Nacht_1+$F167*Normal_1+$I167*Sonderd_1-$J167*Scho_K+$K167*Scho_K+$L167*EH_Kurs+$M167*Koor_taet+$N167*Sekre_1+$O167*Scho_K+$R167*Scho_K+$P167*Scho_K+$Q167*Scho_K+G167*Scho_K+H167*Scho_K)</f>
        <v/>
      </c>
      <c r="V167" s="472">
        <f>SUM($U167-$T167)</f>
        <v/>
      </c>
      <c r="W167" s="472">
        <f>V167+W151</f>
        <v/>
      </c>
      <c r="X167" s="472" t="n"/>
      <c r="Y167" s="472" t="n"/>
      <c r="Z167" s="472" t="n"/>
      <c r="AA167" s="472" t="n"/>
      <c r="AB167" s="472" t="n"/>
      <c r="AC167" s="472" t="n"/>
      <c r="AD167" s="472" t="n"/>
      <c r="AE167" s="472" t="n"/>
      <c r="AF167" s="472" t="n"/>
      <c r="AG167" s="472" t="n"/>
      <c r="AH167" s="472" t="n"/>
      <c r="AI167" s="472" t="n"/>
      <c r="AJ167" s="472" t="n"/>
    </row>
    <row r="168">
      <c r="A168" s="472" t="n"/>
      <c r="B168" s="471">
        <f>B8</f>
        <v/>
      </c>
      <c r="C168" s="472">
        <f>SUMPRODUCT((ISNUMBER(SEARCH($Y7,Dienstplan!$B$25:$B$36))*(ISNUMBER(SEARCH($AB$3,Dienstplan!$DV$25:$EY$36)))))-D168</f>
        <v/>
      </c>
      <c r="D168" s="472">
        <f>SUMPRODUCT((ISNUMBER(SEARCH($Y7,Dienstplan!$B$25:$B$36))*(ISNUMBER(SEARCH($AB$4,Dienstplan!$DV$25:$EY$36)))))</f>
        <v/>
      </c>
      <c r="E168" s="472">
        <f>SUMPRODUCT((ISNUMBER(SEARCH($Y7,Dienstplan!$B$25:$B$36))*(ISNUMBER(SEARCH($AB$5,Dienstplan!$DV$25:$EY$36)))))</f>
        <v/>
      </c>
      <c r="F168" s="472">
        <f>SUMPRODUCT((ISNUMBER(SEARCH($Y7,Dienstplan!$B$25:$B$36))*(ISNUMBER(SEARCH($AB$6,Dienstplan!$DV$25:$EY$36)))))</f>
        <v/>
      </c>
      <c r="G168" s="472">
        <f>SUMPRODUCT((ISNUMBER(SEARCH($Y7,Dienstplan!$B$25:$B$36))*(ISNUMBER(SEARCH($AB$7,Dienstplan!$DV$25:$EY$36)))))-H168</f>
        <v/>
      </c>
      <c r="H168" s="472">
        <f>SUMPRODUCT((ISNUMBER(SEARCH($Y7,Dienstplan!$B$25:$B$36))*(ISNUMBER(SEARCH($AB$8,Dienstplan!$DV$25:$EY$36)))))</f>
        <v/>
      </c>
      <c r="I168" s="472">
        <f>SUMPRODUCT((ISNUMBER(SEARCH($Y7,Dienstplan!$B$25:$B$36))*(ISNUMBER(SEARCH($AB$9,Dienstplan!$DV$25:$EY$36)))))</f>
        <v/>
      </c>
      <c r="J168" s="472">
        <f>SUMPRODUCT((ISNUMBER(SEARCH($Y7,Dienstplan!$B$25:$B$36))*(ISNUMBER(SEARCH($AB$10,Dienstplan!$DV$25:$EY$36)))))</f>
        <v/>
      </c>
      <c r="K168" s="472">
        <f>SUMPRODUCT((ISNUMBER(SEARCH($Y7,Dienstplan!$B$25:$B$36))*(ISNUMBER(SEARCH($AB$11,Dienstplan!$DV$25:$EY$36)))))-$Q168</f>
        <v/>
      </c>
      <c r="L168" s="472">
        <f>SUMPRODUCT((ISNUMBER(SEARCH($Y7,Dienstplan!$B$25:$B$36))*(ISNUMBER(SEARCH($AB$12,Dienstplan!$DV$25:$EY$36)))))</f>
        <v/>
      </c>
      <c r="M168" s="472">
        <f>SUMPRODUCT((ISNUMBER(SEARCH($Y7,Dienstplan!$B$25:$B$36))*(ISNUMBER(SEARCH($AB$13,Dienstplan!$DV$25:$EY$36)))))</f>
        <v/>
      </c>
      <c r="N168" s="472">
        <f>SUMPRODUCT((ISNUMBER(SEARCH($Y7,Dienstplan!$B$25:$B$36))*(ISNUMBER(SEARCH($AB$14,Dienstplan!$DV$25:$EY$36)))))</f>
        <v/>
      </c>
      <c r="O168" s="472">
        <f>SUMPRODUCT((ISNUMBER(SEARCH($Y7,Dienstplan!$B$25:$B$36))*(ISNUMBER(SEARCH($AB$15,Dienstplan!$DV$25:$EY$36)))))</f>
        <v/>
      </c>
      <c r="P168" s="472">
        <f>SUMPRODUCT((ISNUMBER(SEARCH($Y7,Dienstplan!$B$25:$B$36))*(ISNUMBER(SEARCH($AB$16,Dienstplan!$DV$25:$EY$36)))))</f>
        <v/>
      </c>
      <c r="Q168" s="472">
        <f>SUMPRODUCT((ISNUMBER(SEARCH($Y7,Dienstplan!$B$25:$B$36))*(ISNUMBER(SEARCH($AB$17,Dienstplan!$DV$25:$EY$36)))))</f>
        <v/>
      </c>
      <c r="R168" s="472">
        <f>SUMPRODUCT((ISNUMBER(SEARCH($Y7,Dienstplan!$B$25:$B$36))*(ISNUMBER(SEARCH($AB$18,Dienstplan!$DV$25:$EY$36)))))</f>
        <v/>
      </c>
      <c r="S168" s="472">
        <f>SUMPRODUCT((ISNUMBER(SEARCH($Y7,Dienstplan!$B$25:$B$36))*(ISNUMBER(SEARCH($AB$19,Dienstplan!$DV$25:$EY$36)))))</f>
        <v/>
      </c>
      <c r="T168" s="472">
        <f>SUM($F$162*$Z7)</f>
        <v/>
      </c>
      <c r="U168" s="472">
        <f>SUM($C168*Frueh_1+$D168*Spaet_1+$E168*Nacht_1+$F168*Normal_1+$I168*Sonderd_1-$J168*Krie_B+$K168*Krie_B+$L168*EH_Kurs+$M168*Koor_taet+$N168*Sekre_1+$O168*Krie_B+$R168*Krie_B+$P168*Krie_B+$Q168*Krie_B+G168*Krie_B+H168*Krie_B)</f>
        <v/>
      </c>
      <c r="V168" s="472">
        <f>SUM($U168-$T168)</f>
        <v/>
      </c>
      <c r="W168" s="472">
        <f>V168+W152</f>
        <v/>
      </c>
      <c r="X168" s="472" t="n"/>
      <c r="Y168" s="472" t="n"/>
      <c r="Z168" s="472" t="n"/>
      <c r="AA168" s="472" t="n"/>
      <c r="AB168" s="472" t="n"/>
      <c r="AC168" s="472" t="n"/>
      <c r="AD168" s="472" t="n"/>
      <c r="AE168" s="472" t="n"/>
      <c r="AF168" s="472" t="n"/>
      <c r="AG168" s="472" t="n"/>
      <c r="AH168" s="472" t="n"/>
      <c r="AI168" s="472" t="n"/>
      <c r="AJ168" s="472" t="n"/>
    </row>
    <row r="169">
      <c r="A169" s="472" t="n"/>
      <c r="B169" s="471">
        <f>B9</f>
        <v/>
      </c>
      <c r="C169" s="472">
        <f>SUMPRODUCT((ISNUMBER(SEARCH($Y8,Dienstplan!$B$25:$B$36))*(ISNUMBER(SEARCH($AB$3,Dienstplan!$DV$25:$EY$36)))))-D169</f>
        <v/>
      </c>
      <c r="D169" s="472">
        <f>SUMPRODUCT((ISNUMBER(SEARCH($Y8,Dienstplan!$B$25:$B$36))*(ISNUMBER(SEARCH($AB$4,Dienstplan!$DV$25:$EY$36)))))</f>
        <v/>
      </c>
      <c r="E169" s="472">
        <f>SUMPRODUCT((ISNUMBER(SEARCH($Y8,Dienstplan!$B$25:$B$36))*(ISNUMBER(SEARCH($AB$5,Dienstplan!$DV$25:$EY$36)))))</f>
        <v/>
      </c>
      <c r="F169" s="472">
        <f>SUMPRODUCT((ISNUMBER(SEARCH($Y8,Dienstplan!$B$25:$B$36))*(ISNUMBER(SEARCH($AB$6,Dienstplan!$DV$25:$EY$36)))))</f>
        <v/>
      </c>
      <c r="G169" s="472">
        <f>SUMPRODUCT((ISNUMBER(SEARCH($Y8,Dienstplan!$B$25:$B$36))*(ISNUMBER(SEARCH($AB$7,Dienstplan!$DV$25:$EY$36)))))-H169</f>
        <v/>
      </c>
      <c r="H169" s="472">
        <f>SUMPRODUCT((ISNUMBER(SEARCH($Y8,Dienstplan!$B$25:$B$36))*(ISNUMBER(SEARCH($AB$8,Dienstplan!$DV$25:$EY$36)))))</f>
        <v/>
      </c>
      <c r="I169" s="472">
        <f>SUMPRODUCT((ISNUMBER(SEARCH($Y8,Dienstplan!$B$25:$B$36))*(ISNUMBER(SEARCH($AB$9,Dienstplan!$DV$25:$EY$36)))))</f>
        <v/>
      </c>
      <c r="J169" s="472">
        <f>SUMPRODUCT((ISNUMBER(SEARCH($Y8,Dienstplan!$B$25:$B$36))*(ISNUMBER(SEARCH($AB$10,Dienstplan!$DV$25:$EY$36)))))</f>
        <v/>
      </c>
      <c r="K169" s="472">
        <f>SUMPRODUCT((ISNUMBER(SEARCH($Y8,Dienstplan!$B$25:$B$36))*(ISNUMBER(SEARCH($AB$11,Dienstplan!$DV$25:$EY$36)))))-$Q169</f>
        <v/>
      </c>
      <c r="L169" s="472">
        <f>SUMPRODUCT((ISNUMBER(SEARCH($Y8,Dienstplan!$B$25:$B$36))*(ISNUMBER(SEARCH($AB$12,Dienstplan!$DV$25:$EY$36)))))</f>
        <v/>
      </c>
      <c r="M169" s="472">
        <f>SUMPRODUCT((ISNUMBER(SEARCH($Y8,Dienstplan!$B$25:$B$36))*(ISNUMBER(SEARCH($AB$13,Dienstplan!$DV$25:$EY$36)))))</f>
        <v/>
      </c>
      <c r="N169" s="472">
        <f>SUMPRODUCT((ISNUMBER(SEARCH($Y8,Dienstplan!$B$25:$B$36))*(ISNUMBER(SEARCH($AB$14,Dienstplan!$DV$25:$EY$36)))))</f>
        <v/>
      </c>
      <c r="O169" s="472">
        <f>SUMPRODUCT((ISNUMBER(SEARCH($Y8,Dienstplan!$B$25:$B$36))*(ISNUMBER(SEARCH($AB$15,Dienstplan!$DV$25:$EY$36)))))</f>
        <v/>
      </c>
      <c r="P169" s="472">
        <f>SUMPRODUCT((ISNUMBER(SEARCH($Y8,Dienstplan!$B$25:$B$36))*(ISNUMBER(SEARCH($AB$16,Dienstplan!$DV$25:$EY$36)))))</f>
        <v/>
      </c>
      <c r="Q169" s="472">
        <f>SUMPRODUCT((ISNUMBER(SEARCH($Y8,Dienstplan!$B$25:$B$36))*(ISNUMBER(SEARCH($AB$17,Dienstplan!$DV$25:$EY$36)))))</f>
        <v/>
      </c>
      <c r="R169" s="472">
        <f>SUMPRODUCT((ISNUMBER(SEARCH($Y8,Dienstplan!$B$25:$B$36))*(ISNUMBER(SEARCH($AB$18,Dienstplan!$DV$25:$EY$36)))))</f>
        <v/>
      </c>
      <c r="S169" s="472">
        <f>SUMPRODUCT((ISNUMBER(SEARCH($Y8,Dienstplan!$B$25:$B$36))*(ISNUMBER(SEARCH($AB$19,Dienstplan!$DV$25:$EY$36)))))</f>
        <v/>
      </c>
      <c r="T169" s="472">
        <f>SUM($F$162*$Z8)</f>
        <v/>
      </c>
      <c r="U169" s="472">
        <f>SUM($C169*Frueh_1+$D169*Spaet_1+$E169*Nacht_1+$F169*Normal_1+$I169*Sonderd_1-$J169*Muster+$K169*Muster+$L169*EH_Kurs+$M169*Koor_taet+$N169*Sekre_1+$O169*Muster+$P169*Muster+$Q169*Muster+$R169*Muster+G169*Muster+H169*Muster)</f>
        <v/>
      </c>
      <c r="V169" s="472">
        <f>SUM($U169-$T169)</f>
        <v/>
      </c>
      <c r="W169" s="472">
        <f>V169+W153</f>
        <v/>
      </c>
      <c r="X169" s="472" t="n"/>
      <c r="Y169" s="472" t="n"/>
      <c r="Z169" s="472" t="n"/>
      <c r="AA169" s="472" t="n"/>
      <c r="AB169" s="472" t="n"/>
      <c r="AC169" s="472" t="n"/>
      <c r="AD169" s="472" t="n"/>
      <c r="AE169" s="472" t="n"/>
      <c r="AF169" s="472" t="n"/>
      <c r="AG169" s="472" t="n"/>
      <c r="AH169" s="472" t="n"/>
      <c r="AI169" s="472" t="n"/>
      <c r="AJ169" s="472" t="n"/>
    </row>
    <row r="170">
      <c r="A170" s="472" t="n"/>
      <c r="B170" s="471">
        <f>B10</f>
        <v/>
      </c>
      <c r="C170" s="472">
        <f>SUMPRODUCT((ISNUMBER(SEARCH($Y9,Dienstplan!$B$25:$B$36))*(ISNUMBER(SEARCH($AB$3,Dienstplan!$DV$25:$EY$36)))))-D170</f>
        <v/>
      </c>
      <c r="D170" s="472">
        <f>SUMPRODUCT((ISNUMBER(SEARCH($Y9,Dienstplan!$B$25:$B$36))*(ISNUMBER(SEARCH($AB$4,Dienstplan!$DV$25:$EY$36)))))</f>
        <v/>
      </c>
      <c r="E170" s="472">
        <f>SUMPRODUCT((ISNUMBER(SEARCH($Y9,Dienstplan!$B$25:$B$36))*(ISNUMBER(SEARCH($AB$5,Dienstplan!$DV$25:$EY$36)))))</f>
        <v/>
      </c>
      <c r="F170" s="472">
        <f>SUMPRODUCT((ISNUMBER(SEARCH($Y9,Dienstplan!$B$25:$B$36))*(ISNUMBER(SEARCH($AB$6,Dienstplan!$DV$25:$EY$36)))))</f>
        <v/>
      </c>
      <c r="G170" s="472">
        <f>SUMPRODUCT((ISNUMBER(SEARCH($Y9,Dienstplan!$B$25:$B$36))*(ISNUMBER(SEARCH($AB$7,Dienstplan!$DV$25:$EY$36)))))-H170</f>
        <v/>
      </c>
      <c r="H170" s="472">
        <f>SUMPRODUCT((ISNUMBER(SEARCH($Y9,Dienstplan!$B$25:$B$36))*(ISNUMBER(SEARCH($AB$8,Dienstplan!$DV$25:$EY$36)))))</f>
        <v/>
      </c>
      <c r="I170" s="472">
        <f>SUMPRODUCT((ISNUMBER(SEARCH($Y9,Dienstplan!$B$25:$B$36))*(ISNUMBER(SEARCH($AB$9,Dienstplan!$DV$25:$EY$36)))))</f>
        <v/>
      </c>
      <c r="J170" s="472">
        <f>SUMPRODUCT((ISNUMBER(SEARCH($Y9,Dienstplan!$B$25:$B$36))*(ISNUMBER(SEARCH($AB$10,Dienstplan!$DV$25:$EY$36)))))</f>
        <v/>
      </c>
      <c r="K170" s="472">
        <f>SUMPRODUCT((ISNUMBER(SEARCH($Y9,Dienstplan!$B$25:$B$36))*(ISNUMBER(SEARCH($AB$11,Dienstplan!$DV$25:$EY$36)))))-$Q170</f>
        <v/>
      </c>
      <c r="L170" s="472">
        <f>SUMPRODUCT((ISNUMBER(SEARCH($Y9,Dienstplan!$B$25:$B$36))*(ISNUMBER(SEARCH($AB$12,Dienstplan!$DV$25:$EY$36)))))</f>
        <v/>
      </c>
      <c r="M170" s="472">
        <f>SUMPRODUCT((ISNUMBER(SEARCH($Y9,Dienstplan!$B$25:$B$36))*(ISNUMBER(SEARCH($AB$13,Dienstplan!$DV$25:$EY$36)))))</f>
        <v/>
      </c>
      <c r="N170" s="472">
        <f>SUMPRODUCT((ISNUMBER(SEARCH($Y9,Dienstplan!$B$25:$B$36))*(ISNUMBER(SEARCH($AB$14,Dienstplan!$DV$25:$EY$36)))))</f>
        <v/>
      </c>
      <c r="O170" s="472">
        <f>SUMPRODUCT((ISNUMBER(SEARCH($Y9,Dienstplan!$B$25:$B$36))*(ISNUMBER(SEARCH($AB$15,Dienstplan!$DV$25:$EY$36)))))</f>
        <v/>
      </c>
      <c r="P170" s="472">
        <f>SUMPRODUCT((ISNUMBER(SEARCH($Y9,Dienstplan!$B$25:$B$36))*(ISNUMBER(SEARCH($AB$16,Dienstplan!$DV$25:$EY$36)))))</f>
        <v/>
      </c>
      <c r="Q170" s="472">
        <f>SUMPRODUCT((ISNUMBER(SEARCH($Y9,Dienstplan!$B$25:$B$36))*(ISNUMBER(SEARCH($AB$17,Dienstplan!$DV$25:$EY$36)))))</f>
        <v/>
      </c>
      <c r="R170" s="472">
        <f>SUMPRODUCT((ISNUMBER(SEARCH($Y9,Dienstplan!$B$25:$B$36))*(ISNUMBER(SEARCH($AB$18,Dienstplan!$DV$25:$EY$36)))))</f>
        <v/>
      </c>
      <c r="S170" s="472">
        <f>SUMPRODUCT((ISNUMBER(SEARCH($Y9,Dienstplan!$B$25:$B$36))*(ISNUMBER(SEARCH($AB$19,Dienstplan!$DV$25:$EY$36)))))</f>
        <v/>
      </c>
      <c r="T170" s="472">
        <f>SUM($F$162*$Z9)</f>
        <v/>
      </c>
      <c r="U170" s="472">
        <f>SUM($C170*Frueh_1+$D170*Spaet_1+$E170*Nacht_1+$F170*Normal_1+$I170*Sonderd_1-$J170*Muster+$K170*Muster+$L170*EH_Kurs+$M170*Koor_taet+$N170*Sekre_1+$O170*Muster+$P170*Muster+$Q170*Muster+$R170*Muster+G170*Muster+H170*Muster)</f>
        <v/>
      </c>
      <c r="V170" s="472">
        <f>SUM($U170-$T170)</f>
        <v/>
      </c>
      <c r="W170" s="472">
        <f>V170+W154</f>
        <v/>
      </c>
      <c r="X170" s="472" t="n"/>
      <c r="Y170" s="472" t="n"/>
      <c r="Z170" s="472" t="n"/>
      <c r="AA170" s="472" t="n"/>
      <c r="AB170" s="472" t="n"/>
      <c r="AC170" s="472" t="n"/>
      <c r="AD170" s="472" t="n"/>
      <c r="AE170" s="472" t="n"/>
      <c r="AF170" s="472" t="n"/>
      <c r="AG170" s="472" t="n"/>
      <c r="AH170" s="472" t="n"/>
      <c r="AI170" s="472" t="n"/>
      <c r="AJ170" s="472" t="n"/>
    </row>
    <row r="171">
      <c r="A171" s="472" t="n"/>
      <c r="B171" s="471">
        <f>B11</f>
        <v/>
      </c>
      <c r="C171" s="472">
        <f>SUMPRODUCT((ISNUMBER(SEARCH($Y10,Dienstplan!$B$25:$B$36))*(ISNUMBER(SEARCH($AB$3,Dienstplan!$DV$25:$EY$36)))))-D171</f>
        <v/>
      </c>
      <c r="D171" s="472">
        <f>SUMPRODUCT((ISNUMBER(SEARCH($Y10,Dienstplan!$B$25:$B$36))*(ISNUMBER(SEARCH($AB$4,Dienstplan!$DV$25:$EY$36)))))</f>
        <v/>
      </c>
      <c r="E171" s="472">
        <f>SUMPRODUCT((ISNUMBER(SEARCH($Y10,Dienstplan!$B$25:$B$36))*(ISNUMBER(SEARCH($AB$5,Dienstplan!$DV$25:$EY$36)))))</f>
        <v/>
      </c>
      <c r="F171" s="472">
        <f>SUMPRODUCT((ISNUMBER(SEARCH($Y10,Dienstplan!$B$25:$B$36))*(ISNUMBER(SEARCH($AB$6,Dienstplan!$DV$25:$EY$36)))))</f>
        <v/>
      </c>
      <c r="G171" s="472">
        <f>SUMPRODUCT((ISNUMBER(SEARCH($Y10,Dienstplan!$B$25:$B$36))*(ISNUMBER(SEARCH($AB$7,Dienstplan!$DV$25:$EY$36)))))-H171</f>
        <v/>
      </c>
      <c r="H171" s="472">
        <f>SUMPRODUCT((ISNUMBER(SEARCH($Y10,Dienstplan!$B$25:$B$36))*(ISNUMBER(SEARCH($AB$8,Dienstplan!$DV$25:$EY$36)))))</f>
        <v/>
      </c>
      <c r="I171" s="472">
        <f>SUMPRODUCT((ISNUMBER(SEARCH($Y10,Dienstplan!$B$25:$B$36))*(ISNUMBER(SEARCH($AB$9,Dienstplan!$DV$25:$EY$36)))))</f>
        <v/>
      </c>
      <c r="J171" s="472">
        <f>SUMPRODUCT((ISNUMBER(SEARCH($Y10,Dienstplan!$B$25:$B$36))*(ISNUMBER(SEARCH($AB$10,Dienstplan!$DV$25:$EY$36)))))</f>
        <v/>
      </c>
      <c r="K171" s="472">
        <f>SUMPRODUCT((ISNUMBER(SEARCH($Y10,Dienstplan!$B$25:$B$36))*(ISNUMBER(SEARCH($AB$11,Dienstplan!$DV$25:$EY$36)))))-$Q171</f>
        <v/>
      </c>
      <c r="L171" s="472">
        <f>SUMPRODUCT((ISNUMBER(SEARCH($Y10,Dienstplan!$B$25:$B$36))*(ISNUMBER(SEARCH($AB$12,Dienstplan!$DV$25:$EY$36)))))</f>
        <v/>
      </c>
      <c r="M171" s="472">
        <f>SUMPRODUCT((ISNUMBER(SEARCH($Y10,Dienstplan!$B$25:$B$36))*(ISNUMBER(SEARCH($AB$13,Dienstplan!$DV$25:$EY$36)))))</f>
        <v/>
      </c>
      <c r="N171" s="472">
        <f>SUMPRODUCT((ISNUMBER(SEARCH($Y10,Dienstplan!$B$25:$B$36))*(ISNUMBER(SEARCH($AB$14,Dienstplan!$DV$25:$EY$36)))))</f>
        <v/>
      </c>
      <c r="O171" s="472">
        <f>SUMPRODUCT((ISNUMBER(SEARCH($Y10,Dienstplan!$B$25:$B$36))*(ISNUMBER(SEARCH($AB$15,Dienstplan!$DV$25:$EY$36)))))</f>
        <v/>
      </c>
      <c r="P171" s="472">
        <f>SUMPRODUCT((ISNUMBER(SEARCH($Y10,Dienstplan!$B$25:$B$36))*(ISNUMBER(SEARCH($AB$16,Dienstplan!$DV$25:$EY$36)))))</f>
        <v/>
      </c>
      <c r="Q171" s="472">
        <f>SUMPRODUCT((ISNUMBER(SEARCH($Y10,Dienstplan!$B$25:$B$36))*(ISNUMBER(SEARCH($AB$17,Dienstplan!$DV$25:$EY$36)))))</f>
        <v/>
      </c>
      <c r="R171" s="472">
        <f>SUMPRODUCT((ISNUMBER(SEARCH($Y10,Dienstplan!$B$25:$B$36))*(ISNUMBER(SEARCH($AB$18,Dienstplan!$DV$25:$EY$36)))))</f>
        <v/>
      </c>
      <c r="S171" s="472">
        <f>SUMPRODUCT((ISNUMBER(SEARCH($Y10,Dienstplan!$B$25:$B$36))*(ISNUMBER(SEARCH($AB$19,Dienstplan!$DV$25:$EY$36)))))</f>
        <v/>
      </c>
      <c r="T171" s="472">
        <f>SUM($F$162*$Z10)</f>
        <v/>
      </c>
      <c r="U171" s="472">
        <f>SUM($C171*Frueh_1+$D171*Spaet_1+$E171*Nacht_1+$F171*Normal_1+$I171*Sonderd_1-$J171*Krem_E+$K171*Krem_E+$L171*EH_Kurs+$M171*Koor_taet+$N171*Sekre_1+$O171*Krem_E+$R171*Krem_E+$P171*Krem_E+$Q171*Krem_E+G171*Krem_E+H171*Krem_E)</f>
        <v/>
      </c>
      <c r="V171" s="472">
        <f>SUM($U171-$T171)</f>
        <v/>
      </c>
      <c r="W171" s="472">
        <f>V171+W155</f>
        <v/>
      </c>
      <c r="X171" s="472" t="n"/>
      <c r="Y171" s="472" t="n"/>
      <c r="Z171" s="472" t="n"/>
      <c r="AA171" s="472" t="n"/>
      <c r="AB171" s="472" t="n"/>
      <c r="AC171" s="472" t="n"/>
      <c r="AD171" s="472" t="n"/>
      <c r="AE171" s="472" t="n"/>
      <c r="AF171" s="472" t="n"/>
      <c r="AG171" s="472" t="n"/>
      <c r="AH171" s="472" t="n"/>
      <c r="AI171" s="472" t="n"/>
      <c r="AJ171" s="472" t="n"/>
    </row>
    <row r="172">
      <c r="A172" s="472" t="n"/>
      <c r="B172" s="471">
        <f>B12</f>
        <v/>
      </c>
      <c r="C172" s="472">
        <f>SUMPRODUCT((ISNUMBER(SEARCH($Y11,Dienstplan!$B$25:$B$36))*(ISNUMBER(SEARCH($AB$3,Dienstplan!$DV$25:$EY$36)))))-D172</f>
        <v/>
      </c>
      <c r="D172" s="472">
        <f>SUMPRODUCT((ISNUMBER(SEARCH($Y11,Dienstplan!$B$25:$B$36))*(ISNUMBER(SEARCH($AB$4,Dienstplan!$DV$25:$EY$36)))))</f>
        <v/>
      </c>
      <c r="E172" s="472">
        <f>SUMPRODUCT((ISNUMBER(SEARCH($Y11,Dienstplan!$B$25:$B$36))*(ISNUMBER(SEARCH($AB$5,Dienstplan!$DV$25:$EY$36)))))</f>
        <v/>
      </c>
      <c r="F172" s="472">
        <f>SUMPRODUCT((ISNUMBER(SEARCH($Y11,Dienstplan!$B$25:$B$36))*(ISNUMBER(SEARCH($AB$6,Dienstplan!$DV$25:$EY$36)))))</f>
        <v/>
      </c>
      <c r="G172" s="472">
        <f>SUMPRODUCT((ISNUMBER(SEARCH($Y11,Dienstplan!$B$25:$B$36))*(ISNUMBER(SEARCH($AB$7,Dienstplan!$DV$25:$EY$36)))))-H172</f>
        <v/>
      </c>
      <c r="H172" s="472">
        <f>SUMPRODUCT((ISNUMBER(SEARCH($Y11,Dienstplan!$B$25:$B$36))*(ISNUMBER(SEARCH($AB$8,Dienstplan!$DV$25:$EY$36)))))</f>
        <v/>
      </c>
      <c r="I172" s="472">
        <f>SUMPRODUCT((ISNUMBER(SEARCH($Y11,Dienstplan!$B$25:$B$36))*(ISNUMBER(SEARCH($AB$9,Dienstplan!$DV$25:$EY$36)))))</f>
        <v/>
      </c>
      <c r="J172" s="472">
        <f>SUMPRODUCT((ISNUMBER(SEARCH($Y11,Dienstplan!$B$25:$B$36))*(ISNUMBER(SEARCH($AB$10,Dienstplan!$DV$25:$EY$36)))))</f>
        <v/>
      </c>
      <c r="K172" s="472">
        <f>SUMPRODUCT((ISNUMBER(SEARCH($Y11,Dienstplan!$B$25:$B$36))*(ISNUMBER(SEARCH($AB$11,Dienstplan!$DV$25:$EY$36)))))-$Q172</f>
        <v/>
      </c>
      <c r="L172" s="472">
        <f>SUMPRODUCT((ISNUMBER(SEARCH($Y11,Dienstplan!$B$25:$B$36))*(ISNUMBER(SEARCH($AB$12,Dienstplan!$DV$25:$EY$36)))))</f>
        <v/>
      </c>
      <c r="M172" s="472">
        <f>SUMPRODUCT((ISNUMBER(SEARCH($Y11,Dienstplan!$B$25:$B$36))*(ISNUMBER(SEARCH($AB$13,Dienstplan!$DV$25:$EY$36)))))</f>
        <v/>
      </c>
      <c r="N172" s="472">
        <f>SUMPRODUCT((ISNUMBER(SEARCH($Y11,Dienstplan!$B$25:$B$36))*(ISNUMBER(SEARCH($AB$14,Dienstplan!$DV$25:$EY$36)))))</f>
        <v/>
      </c>
      <c r="O172" s="472">
        <f>SUMPRODUCT((ISNUMBER(SEARCH($Y11,Dienstplan!$B$25:$B$36))*(ISNUMBER(SEARCH($AB$15,Dienstplan!$DV$25:$EY$36)))))</f>
        <v/>
      </c>
      <c r="P172" s="472">
        <f>SUMPRODUCT((ISNUMBER(SEARCH($Y11,Dienstplan!$B$25:$B$36))*(ISNUMBER(SEARCH($AB$16,Dienstplan!$DV$25:$EY$36)))))</f>
        <v/>
      </c>
      <c r="Q172" s="472">
        <f>SUMPRODUCT((ISNUMBER(SEARCH($Y11,Dienstplan!$B$25:$B$36))*(ISNUMBER(SEARCH($AB$17,Dienstplan!$DV$25:$EY$36)))))</f>
        <v/>
      </c>
      <c r="R172" s="472">
        <f>SUMPRODUCT((ISNUMBER(SEARCH($Y11,Dienstplan!$B$25:$B$36))*(ISNUMBER(SEARCH($AB$18,Dienstplan!$DV$25:$EY$36)))))</f>
        <v/>
      </c>
      <c r="S172" s="472">
        <f>SUMPRODUCT((ISNUMBER(SEARCH($Y11,Dienstplan!$B$25:$B$36))*(ISNUMBER(SEARCH($AB$19,Dienstplan!$DV$25:$EY$36)))))</f>
        <v/>
      </c>
      <c r="T172" s="472">
        <f>SUM($F$162*$Z11)</f>
        <v/>
      </c>
      <c r="U172" s="472">
        <f>SUM($C172*Frueh_1+$D172*Spaet_1+$E172*Nacht_1+$F172*Normal_1+$I172*Sonderd_1-$J172*Put_W+$K172*Put_W+$L172*EH_Kurs+$M172*Koor_taet+$N172*Sekre_1+$O172*Put_W+$R172*Put_W+$P172*Put_W+$Q172*Put_W+G172*Put_W+H172*Put_W)</f>
        <v/>
      </c>
      <c r="V172" s="472">
        <f>SUM($U172-$T172)</f>
        <v/>
      </c>
      <c r="W172" s="472">
        <f>V172+W156</f>
        <v/>
      </c>
      <c r="X172" s="472" t="n"/>
      <c r="Y172" s="472" t="n"/>
      <c r="Z172" s="472" t="n"/>
      <c r="AA172" s="472" t="n"/>
      <c r="AB172" s="472" t="n"/>
      <c r="AC172" s="472" t="n"/>
      <c r="AD172" s="472" t="n"/>
      <c r="AE172" s="472" t="n"/>
      <c r="AF172" s="472" t="n"/>
      <c r="AG172" s="472" t="n"/>
      <c r="AH172" s="472" t="n"/>
      <c r="AI172" s="472" t="n"/>
      <c r="AJ172" s="472" t="n"/>
    </row>
    <row r="173">
      <c r="A173" s="472" t="n"/>
      <c r="B173" s="471">
        <f>B13</f>
        <v/>
      </c>
      <c r="C173" s="472">
        <f>SUMPRODUCT((ISNUMBER(SEARCH($Y12,Dienstplan!$B$25:$B$36))*(ISNUMBER(SEARCH($AB$3,Dienstplan!$DV$25:$EY$36)))))-D173</f>
        <v/>
      </c>
      <c r="D173" s="472">
        <f>SUMPRODUCT((ISNUMBER(SEARCH($Y12,Dienstplan!$B$25:$B$36))*(ISNUMBER(SEARCH($AB$4,Dienstplan!$DV$25:$EY$36)))))</f>
        <v/>
      </c>
      <c r="E173" s="472">
        <f>SUMPRODUCT((ISNUMBER(SEARCH($Y12,Dienstplan!$B$25:$B$36))*(ISNUMBER(SEARCH($AB$5,Dienstplan!$DV$25:$EY$36)))))</f>
        <v/>
      </c>
      <c r="F173" s="472">
        <f>SUMPRODUCT((ISNUMBER(SEARCH($Y12,Dienstplan!$B$25:$B$36))*(ISNUMBER(SEARCH($AB$6,Dienstplan!$DV$25:$EY$36)))))</f>
        <v/>
      </c>
      <c r="G173" s="472">
        <f>SUMPRODUCT((ISNUMBER(SEARCH($Y12,Dienstplan!$B$25:$B$36))*(ISNUMBER(SEARCH($AB$7,Dienstplan!$DV$25:$EY$36)))))-H173</f>
        <v/>
      </c>
      <c r="H173" s="472">
        <f>SUMPRODUCT((ISNUMBER(SEARCH($Y12,Dienstplan!$B$25:$B$36))*(ISNUMBER(SEARCH($AB$8,Dienstplan!$DV$25:$EY$36)))))</f>
        <v/>
      </c>
      <c r="I173" s="472">
        <f>SUMPRODUCT((ISNUMBER(SEARCH($Y12,Dienstplan!$B$25:$B$36))*(ISNUMBER(SEARCH($AB$9,Dienstplan!$DV$25:$EY$36)))))</f>
        <v/>
      </c>
      <c r="J173" s="472">
        <f>SUMPRODUCT((ISNUMBER(SEARCH($Y12,Dienstplan!$B$25:$B$36))*(ISNUMBER(SEARCH($AB$10,Dienstplan!$DV$25:$EY$36)))))</f>
        <v/>
      </c>
      <c r="K173" s="472">
        <f>SUMPRODUCT((ISNUMBER(SEARCH($Y12,Dienstplan!$B$25:$B$36))*(ISNUMBER(SEARCH($AB$11,Dienstplan!$DV$25:$EY$36)))))-$Q173</f>
        <v/>
      </c>
      <c r="L173" s="472">
        <f>SUMPRODUCT((ISNUMBER(SEARCH($Y12,Dienstplan!$B$25:$B$36))*(ISNUMBER(SEARCH($AB$12,Dienstplan!$DV$25:$EY$36)))))</f>
        <v/>
      </c>
      <c r="M173" s="472">
        <f>SUMPRODUCT((ISNUMBER(SEARCH($Y12,Dienstplan!$B$25:$B$36))*(ISNUMBER(SEARCH($AB$13,Dienstplan!$DV$25:$EY$36)))))</f>
        <v/>
      </c>
      <c r="N173" s="472">
        <f>SUMPRODUCT((ISNUMBER(SEARCH($Y12,Dienstplan!$B$25:$B$36))*(ISNUMBER(SEARCH($AB$14,Dienstplan!$DV$25:$EY$36)))))</f>
        <v/>
      </c>
      <c r="O173" s="472">
        <f>SUMPRODUCT((ISNUMBER(SEARCH($Y12,Dienstplan!$B$25:$B$36))*(ISNUMBER(SEARCH($AB$15,Dienstplan!$DV$25:$EY$36)))))</f>
        <v/>
      </c>
      <c r="P173" s="472">
        <f>SUMPRODUCT((ISNUMBER(SEARCH($Y12,Dienstplan!$B$25:$B$36))*(ISNUMBER(SEARCH($AB$16,Dienstplan!$DV$25:$EY$36)))))</f>
        <v/>
      </c>
      <c r="Q173" s="472">
        <f>SUMPRODUCT((ISNUMBER(SEARCH($Y12,Dienstplan!$B$25:$B$36))*(ISNUMBER(SEARCH($AB$17,Dienstplan!$DV$25:$EY$36)))))</f>
        <v/>
      </c>
      <c r="R173" s="472">
        <f>SUMPRODUCT((ISNUMBER(SEARCH($Y12,Dienstplan!$B$25:$B$36))*(ISNUMBER(SEARCH($AB$18,Dienstplan!$DV$25:$EY$36)))))</f>
        <v/>
      </c>
      <c r="S173" s="472">
        <f>SUMPRODUCT((ISNUMBER(SEARCH($Y12,Dienstplan!$B$25:$B$36))*(ISNUMBER(SEARCH($AB$19,Dienstplan!$DV$25:$EY$36)))))</f>
        <v/>
      </c>
      <c r="T173" s="472">
        <f>SUM($F$162*$Z12)</f>
        <v/>
      </c>
      <c r="U173" s="472">
        <f>SUM($C173*Frueh_1+$D173*Spaet_1+$E173*Nacht_1+$F173*Normal_1+$I173*Sonderd_1-$J173*Radi_L+$K173*Radi_L+$L173*EH_Kurs+$M173*Koor_taet+$N173*Sekre_1+$O173*Radi_L+$R173*Radi_L+$P173*Radi_L+$Q173*Radi_L+G173*Radi_L+H173*Radi_L)</f>
        <v/>
      </c>
      <c r="V173" s="472">
        <f>SUM($U173-$T173)</f>
        <v/>
      </c>
      <c r="W173" s="472">
        <f>V173+W157</f>
        <v/>
      </c>
      <c r="X173" s="472" t="n"/>
      <c r="Y173" s="472" t="n"/>
      <c r="Z173" s="472" t="n"/>
      <c r="AA173" s="472" t="n"/>
      <c r="AB173" s="472" t="n"/>
      <c r="AC173" s="472" t="n"/>
      <c r="AD173" s="472" t="n"/>
      <c r="AE173" s="472" t="n"/>
      <c r="AF173" s="472" t="n"/>
      <c r="AG173" s="472" t="n"/>
      <c r="AH173" s="472" t="n"/>
      <c r="AI173" s="472" t="n"/>
      <c r="AJ173" s="472" t="n"/>
    </row>
    <row r="174">
      <c r="A174" s="472" t="n"/>
      <c r="B174" s="471">
        <f>B14</f>
        <v/>
      </c>
      <c r="C174" s="472">
        <f>SUMPRODUCT((ISNUMBER(SEARCH($Y13,Dienstplan!$B$25:$B$36))*(ISNUMBER(SEARCH($AB$3,Dienstplan!$DV$25:$EY$36)))))-D174</f>
        <v/>
      </c>
      <c r="D174" s="472">
        <f>SUMPRODUCT((ISNUMBER(SEARCH($Y13,Dienstplan!$B$25:$B$36))*(ISNUMBER(SEARCH($AB$4,Dienstplan!$DV$25:$EY$36)))))</f>
        <v/>
      </c>
      <c r="E174" s="472">
        <f>SUMPRODUCT((ISNUMBER(SEARCH($Y13,Dienstplan!$B$25:$B$36))*(ISNUMBER(SEARCH($AB$5,Dienstplan!$DV$25:$EY$36)))))</f>
        <v/>
      </c>
      <c r="F174" s="472">
        <f>SUMPRODUCT((ISNUMBER(SEARCH($Y13,Dienstplan!$B$25:$B$36))*(ISNUMBER(SEARCH($AB$6,Dienstplan!$DV$25:$EY$36)))))</f>
        <v/>
      </c>
      <c r="G174" s="472">
        <f>SUMPRODUCT((ISNUMBER(SEARCH($Y13,Dienstplan!$B$25:$B$36))*(ISNUMBER(SEARCH($AB$7,Dienstplan!$DV$25:$EY$36)))))-H174</f>
        <v/>
      </c>
      <c r="H174" s="472">
        <f>SUMPRODUCT((ISNUMBER(SEARCH($Y13,Dienstplan!$B$25:$B$36))*(ISNUMBER(SEARCH($AB$8,Dienstplan!$DV$25:$EY$36)))))</f>
        <v/>
      </c>
      <c r="I174" s="472">
        <f>SUMPRODUCT((ISNUMBER(SEARCH($Y13,Dienstplan!$B$25:$B$36))*(ISNUMBER(SEARCH($AB$9,Dienstplan!$DV$25:$EY$36)))))</f>
        <v/>
      </c>
      <c r="J174" s="472">
        <f>SUMPRODUCT((ISNUMBER(SEARCH($Y13,Dienstplan!$B$25:$B$36))*(ISNUMBER(SEARCH($AB$10,Dienstplan!$DV$25:$EY$36)))))</f>
        <v/>
      </c>
      <c r="K174" s="472">
        <f>SUMPRODUCT((ISNUMBER(SEARCH($Y13,Dienstplan!$B$25:$B$36))*(ISNUMBER(SEARCH($AB$11,Dienstplan!$DV$25:$EY$36)))))-$Q174</f>
        <v/>
      </c>
      <c r="L174" s="472">
        <f>SUMPRODUCT((ISNUMBER(SEARCH($Y13,Dienstplan!$B$25:$B$36))*(ISNUMBER(SEARCH($AB$12,Dienstplan!$DV$25:$EY$36)))))</f>
        <v/>
      </c>
      <c r="M174" s="472">
        <f>SUMPRODUCT((ISNUMBER(SEARCH($Y13,Dienstplan!$B$25:$B$36))*(ISNUMBER(SEARCH($AB$13,Dienstplan!$DV$25:$EY$36)))))</f>
        <v/>
      </c>
      <c r="N174" s="472">
        <f>SUMPRODUCT((ISNUMBER(SEARCH($Y13,Dienstplan!$B$25:$B$36))*(ISNUMBER(SEARCH($AB$14,Dienstplan!$DV$25:$EY$36)))))</f>
        <v/>
      </c>
      <c r="O174" s="472">
        <f>SUMPRODUCT((ISNUMBER(SEARCH($Y13,Dienstplan!$B$25:$B$36))*(ISNUMBER(SEARCH($AB$15,Dienstplan!$DV$25:$EY$36)))))</f>
        <v/>
      </c>
      <c r="P174" s="472">
        <f>SUMPRODUCT((ISNUMBER(SEARCH($Y13,Dienstplan!$B$25:$B$36))*(ISNUMBER(SEARCH($AB$16,Dienstplan!$DV$25:$EY$36)))))</f>
        <v/>
      </c>
      <c r="Q174" s="472">
        <f>SUMPRODUCT((ISNUMBER(SEARCH($Y13,Dienstplan!$B$25:$B$36))*(ISNUMBER(SEARCH($AB$17,Dienstplan!$DV$25:$EY$36)))))</f>
        <v/>
      </c>
      <c r="R174" s="472">
        <f>SUMPRODUCT((ISNUMBER(SEARCH($Y13,Dienstplan!$B$25:$B$36))*(ISNUMBER(SEARCH($AB$18,Dienstplan!$DV$25:$EY$36)))))</f>
        <v/>
      </c>
      <c r="S174" s="472">
        <f>SUMPRODUCT((ISNUMBER(SEARCH($Y13,Dienstplan!$B$25:$B$36))*(ISNUMBER(SEARCH($AB$19,Dienstplan!$DV$25:$EY$36)))))</f>
        <v/>
      </c>
      <c r="T174" s="472">
        <f>SUM($F$162*$Z13)</f>
        <v/>
      </c>
      <c r="U174" s="472">
        <f>SUM($C174*Frueh_1+$D174*Spaet_1+$E174*Nacht_1+$F174*Normal_1+$I174*Sonderd_1-$J174*Fortenb+$K174*Fortenb+$L174*EH_Kurs+$M174*Koor_taet+$N174*Sekre_1+$O174*Fortenb+$R174*Fortenb+$P174*Fortenb+$Q174*Fortenb+G174*Fortenb+H174*Fortenb)</f>
        <v/>
      </c>
      <c r="V174" s="472">
        <f>SUM($U174-$T174)</f>
        <v/>
      </c>
      <c r="W174" s="472">
        <f>V174+W158</f>
        <v/>
      </c>
      <c r="X174" s="472" t="n"/>
      <c r="Y174" s="472" t="n"/>
      <c r="Z174" s="472" t="n"/>
      <c r="AA174" s="472" t="n"/>
      <c r="AB174" s="472" t="n"/>
      <c r="AC174" s="472" t="n"/>
      <c r="AD174" s="472" t="n"/>
      <c r="AE174" s="472" t="n"/>
      <c r="AF174" s="472" t="n"/>
      <c r="AG174" s="472" t="n"/>
      <c r="AH174" s="472" t="n"/>
      <c r="AI174" s="472" t="n"/>
      <c r="AJ174" s="472" t="n"/>
    </row>
    <row r="175">
      <c r="A175" s="472" t="n"/>
      <c r="B175" s="471" t="n"/>
      <c r="C175" s="472" t="n"/>
      <c r="D175" s="472" t="n"/>
      <c r="E175" s="472" t="n"/>
      <c r="F175" s="472" t="n"/>
      <c r="G175" s="472" t="n"/>
      <c r="H175" s="472" t="n"/>
      <c r="I175" s="472" t="n"/>
      <c r="J175" s="472" t="n"/>
      <c r="K175" s="472" t="n"/>
      <c r="L175" s="472" t="n"/>
      <c r="M175" s="472" t="n"/>
      <c r="N175" s="472" t="n"/>
      <c r="O175" s="472" t="n"/>
      <c r="P175" s="472" t="n"/>
      <c r="Q175" s="472" t="n"/>
      <c r="R175" s="472" t="n"/>
      <c r="S175" s="472" t="n"/>
      <c r="T175" s="472" t="n"/>
      <c r="U175" s="472" t="n"/>
      <c r="V175" s="472" t="n"/>
      <c r="W175" s="472" t="n"/>
      <c r="X175" s="472" t="n"/>
      <c r="Y175" s="472" t="n"/>
      <c r="Z175" s="472" t="n"/>
      <c r="AA175" s="472" t="n"/>
      <c r="AB175" s="472" t="n"/>
      <c r="AC175" s="472" t="n"/>
      <c r="AD175" s="472" t="n"/>
      <c r="AE175" s="472" t="n"/>
      <c r="AF175" s="472" t="n"/>
      <c r="AG175" s="472" t="n"/>
      <c r="AH175" s="472" t="n"/>
      <c r="AI175" s="472" t="n"/>
      <c r="AJ175" s="472" t="n"/>
    </row>
    <row r="176">
      <c r="A176" s="483" t="n"/>
      <c r="B176" s="483" t="inlineStr">
        <is>
          <t>Summe</t>
        </is>
      </c>
      <c r="C176" s="483">
        <f>SUM(C164:C175)</f>
        <v/>
      </c>
      <c r="D176" s="483">
        <f>SUM(D164:D175)</f>
        <v/>
      </c>
      <c r="E176" s="483">
        <f>SUM(E164:E175)</f>
        <v/>
      </c>
      <c r="F176" s="483">
        <f>SUM(F164:F175)</f>
        <v/>
      </c>
      <c r="G176" s="483">
        <f>SUM(G164:G175)</f>
        <v/>
      </c>
      <c r="H176" s="483">
        <f>SUM(H164:H175)</f>
        <v/>
      </c>
      <c r="I176" s="483">
        <f>SUM(I164:I175)</f>
        <v/>
      </c>
      <c r="J176" s="483">
        <f>SUM(J164:J175)</f>
        <v/>
      </c>
      <c r="K176" s="483">
        <f>SUM(K164:K175)</f>
        <v/>
      </c>
      <c r="L176" s="483">
        <f>SUM(L164:L175)</f>
        <v/>
      </c>
      <c r="M176" s="483">
        <f>SUM(M164:M175)</f>
        <v/>
      </c>
      <c r="N176" s="483">
        <f>SUM(N164:N175)</f>
        <v/>
      </c>
      <c r="O176" s="483">
        <f>SUM(O164:O175)</f>
        <v/>
      </c>
      <c r="P176" s="483">
        <f>SUM(P164:P175)</f>
        <v/>
      </c>
      <c r="Q176" s="483">
        <f>SUM(Q164:Q175)</f>
        <v/>
      </c>
      <c r="R176" s="483">
        <f>SUM(R164:R175)</f>
        <v/>
      </c>
      <c r="S176" s="483">
        <f>SUM(S164:S175)</f>
        <v/>
      </c>
      <c r="T176" s="483">
        <f>SUM(T164:T172)</f>
        <v/>
      </c>
      <c r="U176" s="483">
        <f>SUM(U164:U172)</f>
        <v/>
      </c>
      <c r="V176" s="483" t="n"/>
      <c r="W176" s="483" t="n"/>
      <c r="X176" s="483" t="n"/>
      <c r="Y176" s="483" t="n"/>
      <c r="Z176" s="483" t="n"/>
      <c r="AA176" s="483" t="n"/>
      <c r="AB176" s="483" t="n"/>
      <c r="AC176" s="483" t="n"/>
      <c r="AD176" s="483" t="n"/>
      <c r="AE176" s="483" t="n"/>
      <c r="AF176" s="483" t="n"/>
      <c r="AG176" s="483" t="n"/>
      <c r="AH176" s="483" t="n"/>
      <c r="AI176" s="483" t="n"/>
      <c r="AJ176" s="483" t="n"/>
    </row>
    <row r="177">
      <c r="A177" s="11" t="n"/>
      <c r="B177" s="12" t="n"/>
      <c r="C177" s="1" t="n"/>
      <c r="D177" s="1" t="n"/>
      <c r="E177" s="1" t="n"/>
      <c r="F177" s="1" t="n"/>
      <c r="G177" s="1" t="n"/>
      <c r="H177" s="1" t="n"/>
      <c r="I177" s="1" t="n"/>
      <c r="J177" s="1" t="n"/>
      <c r="K177" s="1" t="n"/>
      <c r="L177" s="1" t="n"/>
      <c r="M177" s="1" t="n"/>
      <c r="N177" s="1" t="n"/>
      <c r="O177" s="1" t="n"/>
      <c r="P177" s="1" t="n"/>
      <c r="Q177" s="1" t="n"/>
      <c r="R177" s="1" t="n"/>
      <c r="S177" s="12" t="n"/>
      <c r="T177" s="1" t="n"/>
      <c r="U177" s="1" t="n"/>
      <c r="V177" s="12" t="n"/>
      <c r="W177" s="17" t="n"/>
    </row>
    <row r="178">
      <c r="A178" s="475" t="n"/>
      <c r="B178" s="476" t="inlineStr">
        <is>
          <t>Dezember</t>
        </is>
      </c>
      <c r="C178" s="475" t="n"/>
      <c r="D178" s="477" t="inlineStr">
        <is>
          <t>Arbeitstage</t>
        </is>
      </c>
      <c r="E178" s="475" t="n"/>
      <c r="F178" s="478" t="n">
        <v>19</v>
      </c>
      <c r="G178" s="479" t="n"/>
      <c r="H178" s="479" t="n"/>
      <c r="I178" s="477" t="inlineStr">
        <is>
          <t>Samstage</t>
        </is>
      </c>
      <c r="J178" s="475" t="n"/>
      <c r="K178" s="478" t="n">
        <v>5</v>
      </c>
      <c r="L178" s="475" t="n"/>
      <c r="M178" s="475" t="n"/>
      <c r="N178" s="475" t="n"/>
      <c r="O178" s="475" t="n"/>
      <c r="P178" s="475" t="n"/>
      <c r="Q178" s="475" t="n"/>
      <c r="R178" s="475" t="n"/>
      <c r="S178" s="475" t="n"/>
      <c r="T178" s="475" t="n"/>
      <c r="U178" s="475" t="n"/>
      <c r="V178" s="475" t="n"/>
      <c r="W178" s="475" t="n"/>
      <c r="X178" s="475" t="n"/>
      <c r="Y178" s="475" t="n"/>
      <c r="Z178" s="475" t="n"/>
      <c r="AA178" s="475" t="n"/>
      <c r="AB178" s="475" t="n"/>
      <c r="AC178" s="475" t="n"/>
      <c r="AD178" s="475" t="n"/>
      <c r="AE178" s="475" t="n"/>
      <c r="AF178" s="475" t="n"/>
      <c r="AG178" s="475" t="n"/>
      <c r="AH178" s="475" t="n"/>
      <c r="AI178" s="475" t="n"/>
      <c r="AJ178" s="475" t="n"/>
    </row>
    <row r="179">
      <c r="A179" s="480" t="n"/>
      <c r="B179" s="480" t="n"/>
      <c r="C179" s="480">
        <f>Jahr!C3</f>
        <v/>
      </c>
      <c r="D179" s="480">
        <f>Jahr!D3</f>
        <v/>
      </c>
      <c r="E179" s="480">
        <f>Jahr!E3</f>
        <v/>
      </c>
      <c r="F179" s="480">
        <f>Jahr!F3</f>
        <v/>
      </c>
      <c r="G179" s="480">
        <f>Jahr!G3</f>
        <v/>
      </c>
      <c r="H179" s="480">
        <f>Jahr!H3</f>
        <v/>
      </c>
      <c r="I179" s="480">
        <f>Jahr!I3</f>
        <v/>
      </c>
      <c r="J179" s="480">
        <f>Jahr!J3</f>
        <v/>
      </c>
      <c r="K179" s="480">
        <f>Jahr!K3</f>
        <v/>
      </c>
      <c r="L179" s="480">
        <f>Jahr!L3</f>
        <v/>
      </c>
      <c r="M179" s="480">
        <f>Jahr!M3</f>
        <v/>
      </c>
      <c r="N179" s="480">
        <f>Jahr!N3</f>
        <v/>
      </c>
      <c r="O179" s="480">
        <f>Jahr!O3</f>
        <v/>
      </c>
      <c r="P179" s="480">
        <f>Jahr!P3</f>
        <v/>
      </c>
      <c r="Q179" s="480">
        <f>Jahr!Q3</f>
        <v/>
      </c>
      <c r="R179" s="480">
        <f>Jahr!R3</f>
        <v/>
      </c>
      <c r="S179" s="480">
        <f>Jahr!S3</f>
        <v/>
      </c>
      <c r="T179" s="480" t="inlineStr">
        <is>
          <t>Soll AZ</t>
        </is>
      </c>
      <c r="U179" s="480" t="inlineStr">
        <is>
          <t>Ist AZ</t>
        </is>
      </c>
      <c r="V179" s="480" t="inlineStr">
        <is>
          <t>Differenz</t>
        </is>
      </c>
      <c r="W179" s="480" t="inlineStr">
        <is>
          <t>Gesamt</t>
        </is>
      </c>
      <c r="X179" s="480" t="n"/>
      <c r="Y179" s="480" t="n"/>
      <c r="Z179" s="480" t="n"/>
      <c r="AA179" s="480" t="n"/>
      <c r="AB179" s="480" t="n"/>
      <c r="AC179" s="480" t="n"/>
      <c r="AD179" s="480" t="n"/>
      <c r="AE179" s="480" t="n"/>
      <c r="AF179" s="480" t="n"/>
      <c r="AG179" s="480" t="n"/>
      <c r="AH179" s="480" t="n"/>
      <c r="AI179" s="480" t="n"/>
      <c r="AJ179" s="480" t="n"/>
    </row>
    <row r="180">
      <c r="A180" s="472" t="n"/>
      <c r="B180" s="471">
        <f>B4</f>
        <v/>
      </c>
      <c r="C180" s="472">
        <f>SUMPRODUCT((ISNUMBER(SEARCH($Y3,Dienstplan!$B$25:$B$36))*(ISNUMBER(SEARCH($AB$3,Dienstplan!$EZ$25:$GD$36)))))-D180</f>
        <v/>
      </c>
      <c r="D180" s="472">
        <f>SUMPRODUCT((ISNUMBER(SEARCH($Y3,Dienstplan!$B$25:$B$36))*(ISNUMBER(SEARCH($AB$4,Dienstplan!$EZ$25:$GD$36)))))</f>
        <v/>
      </c>
      <c r="E180" s="472">
        <f>SUMPRODUCT((ISNUMBER(SEARCH($Y3,Dienstplan!$B$25:$B$36))*(ISNUMBER(SEARCH($AB$5,Dienstplan!$EY$25:$GD$36)))))-2</f>
        <v/>
      </c>
      <c r="F180" s="472">
        <f>SUMPRODUCT((ISNUMBER(SEARCH($Y3,Dienstplan!$B$25:$B$36))*(ISNUMBER(SEARCH($AB$6,Dienstplan!$EZ$25:$GD$36)))))</f>
        <v/>
      </c>
      <c r="G180" s="472">
        <f>SUMPRODUCT((ISNUMBER(SEARCH($Y3,Dienstplan!$B$25:$B$36))*(ISNUMBER(SEARCH($AB$7,Dienstplan!$EZ$25:$GD$36)))))-H180</f>
        <v/>
      </c>
      <c r="H180" s="472">
        <f>SUMPRODUCT((ISNUMBER(SEARCH($Y3,Dienstplan!$B$25:$B$36))*(ISNUMBER(SEARCH($AB$8,Dienstplan!$EZ$25:$GD$36)))))</f>
        <v/>
      </c>
      <c r="I180" s="472">
        <f>SUMPRODUCT((ISNUMBER(SEARCH($Y3,Dienstplan!$B$25:$B$36))*(ISNUMBER(SEARCH($AB$9,Dienstplan!$EZ$25:$GD$36)))))</f>
        <v/>
      </c>
      <c r="J180" s="472">
        <f>SUMPRODUCT((ISNUMBER(SEARCH($Y3,Dienstplan!$B$25:$B$36))*(ISNUMBER(SEARCH($AB$10,Dienstplan!$EZ$25:$GD$36)))))</f>
        <v/>
      </c>
      <c r="K180" s="472">
        <f>SUMPRODUCT((ISNUMBER(SEARCH($Y3,Dienstplan!$B$25:$B$36))*(ISNUMBER(SEARCH($AB$11,Dienstplan!$EZ$25:$GD$36)))))-$Q180</f>
        <v/>
      </c>
      <c r="L180" s="472">
        <f>SUMPRODUCT((ISNUMBER(SEARCH($Y3,Dienstplan!$B$25:$B$36))*(ISNUMBER(SEARCH($AB$12,Dienstplan!$EZ$25:$GD$36)))))</f>
        <v/>
      </c>
      <c r="M180" s="472">
        <f>SUMPRODUCT((ISNUMBER(SEARCH($Y3,Dienstplan!$B$25:$B$36))*(ISNUMBER(SEARCH($AB$13,Dienstplan!$EZ$25:$GD$36)))))</f>
        <v/>
      </c>
      <c r="N180" s="472">
        <f>SUMPRODUCT((ISNUMBER(SEARCH($Y3,Dienstplan!$B$25:$B$36))*(ISNUMBER(SEARCH($AB$14,Dienstplan!$EZ$25:$GD$36)))))</f>
        <v/>
      </c>
      <c r="O180" s="472">
        <f>SUMPRODUCT((ISNUMBER(SEARCH($Y3,Dienstplan!$B$25:$B$36))*(ISNUMBER(SEARCH($AB$15,Dienstplan!$EZ$25:$GD$36)))))</f>
        <v/>
      </c>
      <c r="P180" s="472">
        <f>SUMPRODUCT((ISNUMBER(SEARCH($Y3,Dienstplan!$B$25:$B$36))*(ISNUMBER(SEARCH($AB$16,Dienstplan!$EZ$25:$GD$36)))))</f>
        <v/>
      </c>
      <c r="Q180" s="472">
        <f>SUMPRODUCT((ISNUMBER(SEARCH($Y3,Dienstplan!$B$25:$B$36))*(ISNUMBER(SEARCH($AB$17,Dienstplan!$EZ$25:$GD$36)))))</f>
        <v/>
      </c>
      <c r="R180" s="472">
        <f>SUMPRODUCT((ISNUMBER(SEARCH($Y3,Dienstplan!$B$25:$B$36))*(ISNUMBER(SEARCH($AB$18,Dienstplan!$EZ$25:$GD$36)))))</f>
        <v/>
      </c>
      <c r="S180" s="472">
        <f>SUMPRODUCT((ISNUMBER(SEARCH($Y3,Dienstplan!$B$25:$B$36))*(ISNUMBER(SEARCH($AB$19,Dienstplan!$EZ$25:$GD$36)))))</f>
        <v/>
      </c>
      <c r="T180" s="472">
        <f>SUM($F$178*$Z3)</f>
        <v/>
      </c>
      <c r="U180" s="472">
        <f>SUM($C180*Frueh_1+$D180*Spaet_1+$E180*Nacht_1+$F180*Normal_1+$I180*Sonderd_1-$J180*Velten+$K180*Velten+$L180*EH_Kurs+$M180*Koor_taet+$N180*Sekre_1+$O180*Velten+$R180*Velten+$P180*Velten+$Q180*Velten+G180*Velt_M+H180*Velt_M)</f>
        <v/>
      </c>
      <c r="V180" s="472">
        <f>SUM($U180-$T180)</f>
        <v/>
      </c>
      <c r="W180" s="472">
        <f>V180+W164</f>
        <v/>
      </c>
      <c r="X180" s="472" t="n"/>
      <c r="Y180" s="472" t="n"/>
      <c r="Z180" s="472" t="n"/>
      <c r="AA180" s="472" t="n"/>
      <c r="AB180" s="472" t="n"/>
      <c r="AC180" s="472" t="n"/>
      <c r="AD180" s="472" t="n"/>
      <c r="AE180" s="472" t="n"/>
      <c r="AF180" s="472" t="n"/>
      <c r="AG180" s="472" t="n"/>
      <c r="AH180" s="472" t="n"/>
      <c r="AI180" s="472" t="n"/>
      <c r="AJ180" s="472" t="n"/>
    </row>
    <row r="181">
      <c r="A181" s="472" t="n"/>
      <c r="B181" s="471">
        <f>B5</f>
        <v/>
      </c>
      <c r="C181" s="472">
        <f>SUMPRODUCT((ISNUMBER(SEARCH($Y4,Dienstplan!$B$25:$B$36))*(ISNUMBER(SEARCH($AB$3,Dienstplan!$EZ$25:$GD$36)))))-D181</f>
        <v/>
      </c>
      <c r="D181" s="472">
        <f>SUMPRODUCT((ISNUMBER(SEARCH($Y4,Dienstplan!$B$25:$B$36))*(ISNUMBER(SEARCH($AB$4,Dienstplan!$EZ$25:$GD$36)))))</f>
        <v/>
      </c>
      <c r="E181" s="472">
        <f>SUMPRODUCT((ISNUMBER(SEARCH($Y4,Dienstplan!$B$25:$B$36))*(ISNUMBER(SEARCH($AB$5,Dienstplan!$EY$25:$GD$36)))))</f>
        <v/>
      </c>
      <c r="F181" s="472">
        <f>SUMPRODUCT((ISNUMBER(SEARCH($Y4,Dienstplan!$B$25:$B$36))*(ISNUMBER(SEARCH($AB$6,Dienstplan!$EZ$25:$GD$36)))))</f>
        <v/>
      </c>
      <c r="G181" s="472">
        <f>SUMPRODUCT((ISNUMBER(SEARCH($Y4,Dienstplan!$B$25:$B$36))*(ISNUMBER(SEARCH($AB$7,Dienstplan!$EZ$25:$GD$36)))))-H181</f>
        <v/>
      </c>
      <c r="H181" s="472">
        <f>SUMPRODUCT((ISNUMBER(SEARCH($Y4,Dienstplan!$B$25:$B$36))*(ISNUMBER(SEARCH($AB$8,Dienstplan!$EZ$25:$GD$36)))))</f>
        <v/>
      </c>
      <c r="I181" s="472">
        <f>SUMPRODUCT((ISNUMBER(SEARCH($Y4,Dienstplan!$B$25:$B$36))*(ISNUMBER(SEARCH($AB$9,Dienstplan!$EZ$25:$GD$36)))))</f>
        <v/>
      </c>
      <c r="J181" s="472">
        <f>SUMPRODUCT((ISNUMBER(SEARCH($Y4,Dienstplan!$B$25:$B$36))*(ISNUMBER(SEARCH($AB$10,Dienstplan!$EZ$25:$GD$36)))))</f>
        <v/>
      </c>
      <c r="K181" s="472">
        <f>SUMPRODUCT((ISNUMBER(SEARCH($Y4,Dienstplan!$B$25:$B$36))*(ISNUMBER(SEARCH($AB$11,Dienstplan!$EZ$25:$GD$36)))))-$Q181</f>
        <v/>
      </c>
      <c r="L181" s="472">
        <f>SUMPRODUCT((ISNUMBER(SEARCH($Y4,Dienstplan!$B$25:$B$36))*(ISNUMBER(SEARCH($AB$12,Dienstplan!$EZ$25:$GD$36)))))</f>
        <v/>
      </c>
      <c r="M181" s="472">
        <f>SUMPRODUCT((ISNUMBER(SEARCH($Y4,Dienstplan!$B$25:$B$36))*(ISNUMBER(SEARCH($AB$13,Dienstplan!$EZ$25:$GD$36)))))</f>
        <v/>
      </c>
      <c r="N181" s="472">
        <f>SUMPRODUCT((ISNUMBER(SEARCH($Y4,Dienstplan!$B$25:$B$36))*(ISNUMBER(SEARCH($AB$14,Dienstplan!$EZ$25:$GD$36)))))</f>
        <v/>
      </c>
      <c r="O181" s="472">
        <f>SUMPRODUCT((ISNUMBER(SEARCH($Y4,Dienstplan!$B$25:$B$36))*(ISNUMBER(SEARCH($AB$15,Dienstplan!$EZ$25:$GD$36)))))</f>
        <v/>
      </c>
      <c r="P181" s="472">
        <f>SUMPRODUCT((ISNUMBER(SEARCH($Y4,Dienstplan!$B$25:$B$36))*(ISNUMBER(SEARCH($AB$16,Dienstplan!$EZ$25:$GD$36)))))</f>
        <v/>
      </c>
      <c r="Q181" s="472">
        <f>SUMPRODUCT((ISNUMBER(SEARCH($Y4,Dienstplan!$B$25:$B$36))*(ISNUMBER(SEARCH($AB$17,Dienstplan!$EZ$25:$GD$36)))))</f>
        <v/>
      </c>
      <c r="R181" s="472">
        <f>SUMPRODUCT((ISNUMBER(SEARCH($Y4,Dienstplan!$B$25:$B$36))*(ISNUMBER(SEARCH($AB$18,Dienstplan!$EZ$25:$GD$36)))))</f>
        <v/>
      </c>
      <c r="S181" s="472">
        <f>SUMPRODUCT((ISNUMBER(SEARCH($Y4,Dienstplan!$B$25:$B$36))*(ISNUMBER(SEARCH($AB$19,Dienstplan!$EZ$25:$GD$36)))))</f>
        <v/>
      </c>
      <c r="T181" s="472">
        <f>SUM($F$178*$Z4)</f>
        <v/>
      </c>
      <c r="U181" s="472">
        <f>SUM($C181*Frueh_1+$D181*Spaet_1+$E181*Nacht_1+$F181*Normal_1+$I181*Sonderd_1-$J181*Brue_H+$K181*Brue_H+$L181*EH_Kurs+$M181*Koor_taet+$N181*Sekre_1+$O181*Brue_H+$R181*Brue_H+$P181*Brue_H+$Q181*Brue_H+G181*Brue_H+H181*Brue_H)</f>
        <v/>
      </c>
      <c r="V181" s="472">
        <f>SUM($U181-$T181)</f>
        <v/>
      </c>
      <c r="W181" s="472">
        <f>V181+W165</f>
        <v/>
      </c>
      <c r="X181" s="472" t="n"/>
      <c r="Y181" s="472" t="n"/>
      <c r="Z181" s="472" t="n"/>
      <c r="AA181" s="472" t="n"/>
      <c r="AB181" s="472" t="n"/>
      <c r="AC181" s="472" t="n"/>
      <c r="AD181" s="472" t="n"/>
      <c r="AE181" s="472" t="n"/>
      <c r="AF181" s="472" t="n"/>
      <c r="AG181" s="472" t="n"/>
      <c r="AH181" s="472" t="n"/>
      <c r="AI181" s="472" t="n"/>
      <c r="AJ181" s="472" t="n"/>
    </row>
    <row r="182">
      <c r="A182" s="472" t="n"/>
      <c r="B182" s="471">
        <f>B6</f>
        <v/>
      </c>
      <c r="C182" s="472">
        <f>SUMPRODUCT((ISNUMBER(SEARCH($Y5,Dienstplan!$B$25:$B$36))*(ISNUMBER(SEARCH($AB$3,Dienstplan!$EZ$25:$GD$36)))))-D182</f>
        <v/>
      </c>
      <c r="D182" s="472">
        <f>SUMPRODUCT((ISNUMBER(SEARCH($Y5,Dienstplan!$B$25:$B$36))*(ISNUMBER(SEARCH($AB$4,Dienstplan!$EZ$25:$GD$36)))))</f>
        <v/>
      </c>
      <c r="E182" s="472">
        <f>SUMPRODUCT((ISNUMBER(SEARCH($Y5,Dienstplan!$B$25:$B$36))*(ISNUMBER(SEARCH($AB$5,Dienstplan!$EY$25:$GD$36)))))</f>
        <v/>
      </c>
      <c r="F182" s="472">
        <f>SUMPRODUCT((ISNUMBER(SEARCH($Y5,Dienstplan!$B$25:$B$36))*(ISNUMBER(SEARCH($AB$6,Dienstplan!$EZ$25:$GD$36)))))</f>
        <v/>
      </c>
      <c r="G182" s="472">
        <f>SUMPRODUCT((ISNUMBER(SEARCH($Y5,Dienstplan!$B$25:$B$36))*(ISNUMBER(SEARCH($AB$7,Dienstplan!$EZ$25:$GD$36)))))-H182</f>
        <v/>
      </c>
      <c r="H182" s="472">
        <f>SUMPRODUCT((ISNUMBER(SEARCH($Y5,Dienstplan!$B$25:$B$36))*(ISNUMBER(SEARCH($AB$8,Dienstplan!$EZ$25:$GD$36)))))</f>
        <v/>
      </c>
      <c r="I182" s="472">
        <f>SUMPRODUCT((ISNUMBER(SEARCH($Y5,Dienstplan!$B$25:$B$36))*(ISNUMBER(SEARCH($AB$9,Dienstplan!$EZ$25:$GD$36)))))</f>
        <v/>
      </c>
      <c r="J182" s="472">
        <f>SUMPRODUCT((ISNUMBER(SEARCH($Y5,Dienstplan!$B$25:$B$36))*(ISNUMBER(SEARCH($AB$10,Dienstplan!$EZ$25:$GD$36)))))</f>
        <v/>
      </c>
      <c r="K182" s="472">
        <f>SUMPRODUCT((ISNUMBER(SEARCH($Y5,Dienstplan!$B$25:$B$36))*(ISNUMBER(SEARCH($AB$11,Dienstplan!$EZ$25:$GD$36)))))-$Q182</f>
        <v/>
      </c>
      <c r="L182" s="472">
        <f>SUMPRODUCT((ISNUMBER(SEARCH($Y5,Dienstplan!$B$25:$B$36))*(ISNUMBER(SEARCH($AB$12,Dienstplan!$EZ$25:$GD$36)))))</f>
        <v/>
      </c>
      <c r="M182" s="472">
        <f>SUMPRODUCT((ISNUMBER(SEARCH($Y5,Dienstplan!$B$25:$B$36))*(ISNUMBER(SEARCH($AB$13,Dienstplan!$EZ$25:$GD$36)))))</f>
        <v/>
      </c>
      <c r="N182" s="472">
        <f>SUMPRODUCT((ISNUMBER(SEARCH($Y5,Dienstplan!$B$25:$B$36))*(ISNUMBER(SEARCH($AB$14,Dienstplan!$EZ$25:$GD$36)))))</f>
        <v/>
      </c>
      <c r="O182" s="472">
        <f>SUMPRODUCT((ISNUMBER(SEARCH($Y5,Dienstplan!$B$25:$B$36))*(ISNUMBER(SEARCH($AB$15,Dienstplan!$EZ$25:$GD$36)))))</f>
        <v/>
      </c>
      <c r="P182" s="472">
        <f>SUMPRODUCT((ISNUMBER(SEARCH($Y5,Dienstplan!$B$25:$B$36))*(ISNUMBER(SEARCH($AB$16,Dienstplan!$EZ$25:$GD$36)))))</f>
        <v/>
      </c>
      <c r="Q182" s="472">
        <f>SUMPRODUCT((ISNUMBER(SEARCH($Y5,Dienstplan!$B$25:$B$36))*(ISNUMBER(SEARCH($AB$17,Dienstplan!$EZ$25:$GD$36)))))</f>
        <v/>
      </c>
      <c r="R182" s="472">
        <f>SUMPRODUCT((ISNUMBER(SEARCH($Y5,Dienstplan!$B$25:$B$36))*(ISNUMBER(SEARCH($AB$18,Dienstplan!$EZ$25:$GD$36)))))</f>
        <v/>
      </c>
      <c r="S182" s="472">
        <f>SUMPRODUCT((ISNUMBER(SEARCH($Y5,Dienstplan!$B$25:$B$36))*(ISNUMBER(SEARCH($AB$19,Dienstplan!$EZ$25:$GD$36)))))</f>
        <v/>
      </c>
      <c r="T182" s="472">
        <f>SUM($F$178*$Z5)</f>
        <v/>
      </c>
      <c r="U182" s="472">
        <f>SUM($C182*Frueh_1+$D182*Spaet_1+$E182*Nacht_1+$F182*Normal_1+$I182*Sonderd_1-$J182*Rath_M+$K182*Rath_M+$L182*EH_Kurs+$M182*Koor_taet+$N182*Sekre_1+$O182*Rath_M+$R182*Rath_M+$P182*Rath_M+$Q182*Rath_M+G182*Rath_M+H182*Rath_M)</f>
        <v/>
      </c>
      <c r="V182" s="472">
        <f>SUM($U182-$T182)</f>
        <v/>
      </c>
      <c r="W182" s="472">
        <f>V182+W166</f>
        <v/>
      </c>
      <c r="X182" s="472" t="n"/>
      <c r="Y182" s="472" t="n"/>
      <c r="Z182" s="472" t="n"/>
      <c r="AA182" s="472" t="n"/>
      <c r="AB182" s="472" t="n"/>
      <c r="AC182" s="472" t="n"/>
      <c r="AD182" s="472" t="n"/>
      <c r="AE182" s="472" t="n"/>
      <c r="AF182" s="472" t="n"/>
      <c r="AG182" s="472" t="n"/>
      <c r="AH182" s="472" t="n"/>
      <c r="AI182" s="472" t="n"/>
      <c r="AJ182" s="472" t="n"/>
    </row>
    <row r="183">
      <c r="A183" s="472" t="n"/>
      <c r="B183" s="471">
        <f>B7</f>
        <v/>
      </c>
      <c r="C183" s="472">
        <f>SUMPRODUCT((ISNUMBER(SEARCH($Y6,Dienstplan!$B$25:$B$36))*(ISNUMBER(SEARCH($AB$3,Dienstplan!$EZ$25:$GD$36)))))-D183</f>
        <v/>
      </c>
      <c r="D183" s="472">
        <f>SUMPRODUCT((ISNUMBER(SEARCH($Y6,Dienstplan!$B$25:$B$36))*(ISNUMBER(SEARCH($AB$4,Dienstplan!$EZ$25:$GD$36)))))</f>
        <v/>
      </c>
      <c r="E183" s="472">
        <f>SUMPRODUCT((ISNUMBER(SEARCH($Y6,Dienstplan!$B$25:$B$36))*(ISNUMBER(SEARCH($AB$5,Dienstplan!$EY$25:$GD$36)))))</f>
        <v/>
      </c>
      <c r="F183" s="472">
        <f>SUMPRODUCT((ISNUMBER(SEARCH($Y6,Dienstplan!$B$25:$B$36))*(ISNUMBER(SEARCH($AB$6,Dienstplan!$EZ$25:$GD$36)))))</f>
        <v/>
      </c>
      <c r="G183" s="472">
        <f>SUMPRODUCT((ISNUMBER(SEARCH($Y6,Dienstplan!$B$25:$B$36))*(ISNUMBER(SEARCH($AB$7,Dienstplan!$EZ$25:$GD$36)))))-H183</f>
        <v/>
      </c>
      <c r="H183" s="472">
        <f>SUMPRODUCT((ISNUMBER(SEARCH($Y6,Dienstplan!$B$25:$B$36))*(ISNUMBER(SEARCH($AB$8,Dienstplan!$EZ$25:$GD$36)))))</f>
        <v/>
      </c>
      <c r="I183" s="472">
        <f>SUMPRODUCT((ISNUMBER(SEARCH($Y6,Dienstplan!$B$25:$B$36))*(ISNUMBER(SEARCH($AB$9,Dienstplan!$EZ$25:$GD$36)))))</f>
        <v/>
      </c>
      <c r="J183" s="472">
        <f>SUMPRODUCT((ISNUMBER(SEARCH($Y6,Dienstplan!$B$25:$B$36))*(ISNUMBER(SEARCH($AB$10,Dienstplan!$EZ$25:$GD$36)))))</f>
        <v/>
      </c>
      <c r="K183" s="472">
        <f>SUMPRODUCT((ISNUMBER(SEARCH($Y6,Dienstplan!$B$25:$B$36))*(ISNUMBER(SEARCH($AB$11,Dienstplan!$EZ$25:$GD$36)))))-$Q183</f>
        <v/>
      </c>
      <c r="L183" s="472">
        <f>SUMPRODUCT((ISNUMBER(SEARCH($Y6,Dienstplan!$B$25:$B$36))*(ISNUMBER(SEARCH($AB$12,Dienstplan!$EZ$25:$GD$36)))))</f>
        <v/>
      </c>
      <c r="M183" s="472">
        <f>SUMPRODUCT((ISNUMBER(SEARCH($Y6,Dienstplan!$B$25:$B$36))*(ISNUMBER(SEARCH($AB$13,Dienstplan!$EZ$25:$GD$36)))))</f>
        <v/>
      </c>
      <c r="N183" s="472">
        <f>SUMPRODUCT((ISNUMBER(SEARCH($Y6,Dienstplan!$B$25:$B$36))*(ISNUMBER(SEARCH($AB$14,Dienstplan!$EZ$25:$GD$36)))))</f>
        <v/>
      </c>
      <c r="O183" s="472">
        <f>SUMPRODUCT((ISNUMBER(SEARCH($Y6,Dienstplan!$B$25:$B$36))*(ISNUMBER(SEARCH($AB$15,Dienstplan!$EZ$25:$GD$36)))))</f>
        <v/>
      </c>
      <c r="P183" s="472">
        <f>SUMPRODUCT((ISNUMBER(SEARCH($Y6,Dienstplan!$B$25:$B$36))*(ISNUMBER(SEARCH($AB$16,Dienstplan!$EZ$25:$GD$36)))))</f>
        <v/>
      </c>
      <c r="Q183" s="472">
        <f>SUMPRODUCT((ISNUMBER(SEARCH($Y6,Dienstplan!$B$25:$B$36))*(ISNUMBER(SEARCH($AB$17,Dienstplan!$EZ$25:$GD$36)))))</f>
        <v/>
      </c>
      <c r="R183" s="472">
        <f>SUMPRODUCT((ISNUMBER(SEARCH($Y6,Dienstplan!$B$25:$B$36))*(ISNUMBER(SEARCH($AB$18,Dienstplan!$EZ$25:$GD$36)))))</f>
        <v/>
      </c>
      <c r="S183" s="472">
        <f>SUMPRODUCT((ISNUMBER(SEARCH($Y6,Dienstplan!$B$25:$B$36))*(ISNUMBER(SEARCH($AB$19,Dienstplan!$EZ$25:$GD$36)))))</f>
        <v/>
      </c>
      <c r="T183" s="472">
        <f>SUM($F$178*$Z6)</f>
        <v/>
      </c>
      <c r="U183" s="472">
        <f>SUM($C183*Frueh_1+$D183*Spaet_1+$E183*Nacht_1+$F183*Normal_1+$I183*Sonderd_1-$J183*Scho_K+$K183*Scho_K+$L183*EH_Kurs+$M183*Koor_taet+$N183*Sekre_1+$O183*Scho_K+$R183*Scho_K+$P183*Scho_K+$Q183*Scho_K*G183+Scho_K*H183+Scho_K)</f>
        <v/>
      </c>
      <c r="V183" s="472">
        <f>SUM($U183-$T183)</f>
        <v/>
      </c>
      <c r="W183" s="472">
        <f>V183+W167</f>
        <v/>
      </c>
      <c r="X183" s="472" t="n"/>
      <c r="Y183" s="472" t="n"/>
      <c r="Z183" s="472" t="n"/>
      <c r="AA183" s="472" t="n"/>
      <c r="AB183" s="472" t="n"/>
      <c r="AC183" s="472" t="n"/>
      <c r="AD183" s="472" t="n"/>
      <c r="AE183" s="472" t="n"/>
      <c r="AF183" s="472" t="n"/>
      <c r="AG183" s="472" t="n"/>
      <c r="AH183" s="472" t="n"/>
      <c r="AI183" s="472" t="n"/>
      <c r="AJ183" s="472" t="n"/>
    </row>
    <row r="184">
      <c r="A184" s="472" t="n"/>
      <c r="B184" s="471">
        <f>B8</f>
        <v/>
      </c>
      <c r="C184" s="472">
        <f>SUMPRODUCT((ISNUMBER(SEARCH($Y7,Dienstplan!$B$25:$B$36))*(ISNUMBER(SEARCH($AB$3,Dienstplan!$EZ$25:$GD$36)))))-D184</f>
        <v/>
      </c>
      <c r="D184" s="472">
        <f>SUMPRODUCT((ISNUMBER(SEARCH($Y7,Dienstplan!$B$25:$B$36))*(ISNUMBER(SEARCH($AB$4,Dienstplan!$EZ$25:$GD$36)))))</f>
        <v/>
      </c>
      <c r="E184" s="472">
        <f>SUMPRODUCT((ISNUMBER(SEARCH($Y7,Dienstplan!$B$25:$B$36))*(ISNUMBER(SEARCH($AB$5,Dienstplan!$EY$25:$GD$36)))))</f>
        <v/>
      </c>
      <c r="F184" s="472">
        <f>SUMPRODUCT((ISNUMBER(SEARCH($Y7,Dienstplan!$B$25:$B$36))*(ISNUMBER(SEARCH($AB$6,Dienstplan!$EZ$25:$GD$36)))))</f>
        <v/>
      </c>
      <c r="G184" s="472">
        <f>SUMPRODUCT((ISNUMBER(SEARCH($Y7,Dienstplan!$B$25:$B$36))*(ISNUMBER(SEARCH($AB$7,Dienstplan!$EZ$25:$GD$36)))))-H184</f>
        <v/>
      </c>
      <c r="H184" s="472">
        <f>SUMPRODUCT((ISNUMBER(SEARCH($Y7,Dienstplan!$B$25:$B$36))*(ISNUMBER(SEARCH($AB$8,Dienstplan!$EZ$25:$GD$36)))))</f>
        <v/>
      </c>
      <c r="I184" s="472">
        <f>SUMPRODUCT((ISNUMBER(SEARCH($Y7,Dienstplan!$B$25:$B$36))*(ISNUMBER(SEARCH($AB$9,Dienstplan!$EZ$25:$GD$36)))))</f>
        <v/>
      </c>
      <c r="J184" s="472">
        <f>SUMPRODUCT((ISNUMBER(SEARCH($Y7,Dienstplan!$B$25:$B$36))*(ISNUMBER(SEARCH($AB$10,Dienstplan!$EZ$25:$GD$36)))))</f>
        <v/>
      </c>
      <c r="K184" s="472">
        <f>SUMPRODUCT((ISNUMBER(SEARCH($Y7,Dienstplan!$B$25:$B$36))*(ISNUMBER(SEARCH($AB$11,Dienstplan!$EZ$25:$GD$36)))))-$Q184</f>
        <v/>
      </c>
      <c r="L184" s="472">
        <f>SUMPRODUCT((ISNUMBER(SEARCH($Y7,Dienstplan!$B$25:$B$36))*(ISNUMBER(SEARCH($AB$12,Dienstplan!$EZ$25:$GD$36)))))</f>
        <v/>
      </c>
      <c r="M184" s="472">
        <f>SUMPRODUCT((ISNUMBER(SEARCH($Y7,Dienstplan!$B$25:$B$36))*(ISNUMBER(SEARCH($AB$13,Dienstplan!$EZ$25:$GD$36)))))</f>
        <v/>
      </c>
      <c r="N184" s="472">
        <f>SUMPRODUCT((ISNUMBER(SEARCH($Y7,Dienstplan!$B$25:$B$36))*(ISNUMBER(SEARCH($AB$14,Dienstplan!$EZ$25:$GD$36)))))</f>
        <v/>
      </c>
      <c r="O184" s="472">
        <f>SUMPRODUCT((ISNUMBER(SEARCH($Y7,Dienstplan!$B$25:$B$36))*(ISNUMBER(SEARCH($AB$15,Dienstplan!$EZ$25:$GD$36)))))</f>
        <v/>
      </c>
      <c r="P184" s="472">
        <f>SUMPRODUCT((ISNUMBER(SEARCH($Y7,Dienstplan!$B$25:$B$36))*(ISNUMBER(SEARCH($AB$16,Dienstplan!$EZ$25:$GD$36)))))</f>
        <v/>
      </c>
      <c r="Q184" s="472">
        <f>SUMPRODUCT((ISNUMBER(SEARCH($Y7,Dienstplan!$B$25:$B$36))*(ISNUMBER(SEARCH($AB$17,Dienstplan!$EZ$25:$GD$36)))))</f>
        <v/>
      </c>
      <c r="R184" s="472">
        <f>SUMPRODUCT((ISNUMBER(SEARCH($Y7,Dienstplan!$B$25:$B$36))*(ISNUMBER(SEARCH($AB$18,Dienstplan!$EZ$25:$GD$36)))))</f>
        <v/>
      </c>
      <c r="S184" s="472">
        <f>SUMPRODUCT((ISNUMBER(SEARCH($Y7,Dienstplan!$B$25:$B$36))*(ISNUMBER(SEARCH($AB$19,Dienstplan!$EZ$25:$GD$36)))))</f>
        <v/>
      </c>
      <c r="T184" s="472">
        <f>SUM($F$178*$Z7)</f>
        <v/>
      </c>
      <c r="U184" s="472">
        <f>SUM($C184*Frueh_1+$D184*Spaet_1+$E184*Nacht_1+$F184*Normal_1+$I184*Sonderd_1-$J184*Krie_B+$K184*Krie_B+$L184*EH_Kurs+$M184*Koor_taet+$N184*Sekre_1+$O184*Krie_B+$R184*Krie_B+$P184*Krie_B+$Q184*Krie_B*G184+Krie_B*H184+Krie_B)</f>
        <v/>
      </c>
      <c r="V184" s="472">
        <f>SUM($U184-$T184)</f>
        <v/>
      </c>
      <c r="W184" s="472">
        <f>V184+W168</f>
        <v/>
      </c>
      <c r="X184" s="472" t="n"/>
      <c r="Y184" s="472" t="n"/>
      <c r="Z184" s="472" t="n"/>
      <c r="AA184" s="472" t="n"/>
      <c r="AB184" s="472" t="n"/>
      <c r="AC184" s="472" t="n"/>
      <c r="AD184" s="472" t="n"/>
      <c r="AE184" s="472" t="n"/>
      <c r="AF184" s="472" t="n"/>
      <c r="AG184" s="472" t="n"/>
      <c r="AH184" s="472" t="n"/>
      <c r="AI184" s="472" t="n"/>
      <c r="AJ184" s="472" t="n"/>
    </row>
    <row r="185">
      <c r="A185" s="472" t="n"/>
      <c r="B185" s="471">
        <f>B9</f>
        <v/>
      </c>
      <c r="C185" s="472">
        <f>SUMPRODUCT((ISNUMBER(SEARCH($Y8,Dienstplan!$B$25:$B$36))*(ISNUMBER(SEARCH($AB$3,Dienstplan!$EZ$25:$GD$36)))))-D185</f>
        <v/>
      </c>
      <c r="D185" s="472">
        <f>SUMPRODUCT((ISNUMBER(SEARCH($Y8,Dienstplan!$B$25:$B$36))*(ISNUMBER(SEARCH($AB$4,Dienstplan!$EZ$25:$GD$36)))))</f>
        <v/>
      </c>
      <c r="E185" s="472">
        <f>SUMPRODUCT((ISNUMBER(SEARCH($Y8,Dienstplan!$B$25:$B$36))*(ISNUMBER(SEARCH($AB$5,Dienstplan!$EY$25:$GD$36)))))</f>
        <v/>
      </c>
      <c r="F185" s="472">
        <f>SUMPRODUCT((ISNUMBER(SEARCH($Y8,Dienstplan!$B$25:$B$36))*(ISNUMBER(SEARCH($AB$6,Dienstplan!$EZ$25:$GD$36)))))</f>
        <v/>
      </c>
      <c r="G185" s="472">
        <f>SUMPRODUCT((ISNUMBER(SEARCH($Y8,Dienstplan!$B$25:$B$36))*(ISNUMBER(SEARCH($AB$7,Dienstplan!$EZ$25:$GD$36)))))-H185</f>
        <v/>
      </c>
      <c r="H185" s="472">
        <f>SUMPRODUCT((ISNUMBER(SEARCH($Y8,Dienstplan!$B$25:$B$36))*(ISNUMBER(SEARCH($AB$8,Dienstplan!$EZ$25:$GD$36)))))</f>
        <v/>
      </c>
      <c r="I185" s="472">
        <f>SUMPRODUCT((ISNUMBER(SEARCH($Y8,Dienstplan!$B$25:$B$36))*(ISNUMBER(SEARCH($AB$9,Dienstplan!$EZ$25:$GD$36)))))</f>
        <v/>
      </c>
      <c r="J185" s="472">
        <f>SUMPRODUCT((ISNUMBER(SEARCH($Y8,Dienstplan!$B$25:$B$36))*(ISNUMBER(SEARCH($AB$10,Dienstplan!$EZ$25:$GD$36)))))</f>
        <v/>
      </c>
      <c r="K185" s="472">
        <f>SUMPRODUCT((ISNUMBER(SEARCH($Y8,Dienstplan!$B$25:$B$36))*(ISNUMBER(SEARCH($AB$11,Dienstplan!$EZ$25:$GD$36)))))-$Q185</f>
        <v/>
      </c>
      <c r="L185" s="472">
        <f>SUMPRODUCT((ISNUMBER(SEARCH($Y8,Dienstplan!$B$25:$B$36))*(ISNUMBER(SEARCH($AB$12,Dienstplan!$EZ$25:$GD$36)))))</f>
        <v/>
      </c>
      <c r="M185" s="472">
        <f>SUMPRODUCT((ISNUMBER(SEARCH($Y8,Dienstplan!$B$25:$B$36))*(ISNUMBER(SEARCH($AB$13,Dienstplan!$EZ$25:$GD$36)))))</f>
        <v/>
      </c>
      <c r="N185" s="472">
        <f>SUMPRODUCT((ISNUMBER(SEARCH($Y8,Dienstplan!$B$25:$B$36))*(ISNUMBER(SEARCH($AB$14,Dienstplan!$EZ$25:$GD$36)))))</f>
        <v/>
      </c>
      <c r="O185" s="472">
        <f>SUMPRODUCT((ISNUMBER(SEARCH($Y8,Dienstplan!$B$25:$B$36))*(ISNUMBER(SEARCH($AB$15,Dienstplan!$EZ$25:$GD$36)))))</f>
        <v/>
      </c>
      <c r="P185" s="472">
        <f>SUMPRODUCT((ISNUMBER(SEARCH($Y8,Dienstplan!$B$25:$B$36))*(ISNUMBER(SEARCH($AB$16,Dienstplan!$EZ$25:$GD$36)))))</f>
        <v/>
      </c>
      <c r="Q185" s="472">
        <f>SUMPRODUCT((ISNUMBER(SEARCH($Y8,Dienstplan!$B$25:$B$36))*(ISNUMBER(SEARCH($AB$17,Dienstplan!$EZ$25:$GD$36)))))</f>
        <v/>
      </c>
      <c r="R185" s="472">
        <f>SUMPRODUCT((ISNUMBER(SEARCH($Y8,Dienstplan!$B$25:$B$36))*(ISNUMBER(SEARCH($AB$18,Dienstplan!$EZ$25:$GD$36)))))</f>
        <v/>
      </c>
      <c r="S185" s="472">
        <f>SUMPRODUCT((ISNUMBER(SEARCH($Y8,Dienstplan!$B$25:$B$36))*(ISNUMBER(SEARCH($AB$19,Dienstplan!$EZ$25:$GD$36)))))</f>
        <v/>
      </c>
      <c r="T185" s="472">
        <f>SUM($F$178*$Z8)</f>
        <v/>
      </c>
      <c r="U185" s="472">
        <f>SUM($C185*Frueh_1+$D185*Spaet_1+$E185*Nacht_1+$F185*Normal_1+$I185*Sonderd_1-$J185*Muster+$K185*Muster+$L185*EH_Kurs+$M185*Koor_taet+$N185*Sekre_1+$O185*Muster+$P185*Muster+$Q185*Muster+$R185*Muster+G185*Muster+H185*Muster)</f>
        <v/>
      </c>
      <c r="V185" s="472">
        <f>SUM($U185-$T185)</f>
        <v/>
      </c>
      <c r="W185" s="472">
        <f>V185+W169</f>
        <v/>
      </c>
      <c r="X185" s="472" t="n"/>
      <c r="Y185" s="472" t="n"/>
      <c r="Z185" s="472" t="n"/>
      <c r="AA185" s="472" t="n"/>
      <c r="AB185" s="472" t="n"/>
      <c r="AC185" s="472" t="n"/>
      <c r="AD185" s="472" t="n"/>
      <c r="AE185" s="472" t="n"/>
      <c r="AF185" s="472" t="n"/>
      <c r="AG185" s="472" t="n"/>
      <c r="AH185" s="472" t="n"/>
      <c r="AI185" s="472" t="n"/>
      <c r="AJ185" s="472" t="n"/>
    </row>
    <row r="186">
      <c r="A186" s="472" t="n"/>
      <c r="B186" s="471">
        <f>B10</f>
        <v/>
      </c>
      <c r="C186" s="472">
        <f>SUMPRODUCT((ISNUMBER(SEARCH($Y9,Dienstplan!$B$25:$B$36))*(ISNUMBER(SEARCH($AB$3,Dienstplan!$EZ$25:$GD$36)))))-D186</f>
        <v/>
      </c>
      <c r="D186" s="472">
        <f>SUMPRODUCT((ISNUMBER(SEARCH($Y9,Dienstplan!$B$25:$B$36))*(ISNUMBER(SEARCH($AB$4,Dienstplan!$EZ$25:$GD$36)))))</f>
        <v/>
      </c>
      <c r="E186" s="472">
        <f>SUMPRODUCT((ISNUMBER(SEARCH($Y9,Dienstplan!$B$25:$B$36))*(ISNUMBER(SEARCH($AB$5,Dienstplan!$EY$25:$GD$36)))))</f>
        <v/>
      </c>
      <c r="F186" s="472">
        <f>SUMPRODUCT((ISNUMBER(SEARCH($Y9,Dienstplan!$B$25:$B$36))*(ISNUMBER(SEARCH($AB$6,Dienstplan!$EZ$25:$GD$36)))))</f>
        <v/>
      </c>
      <c r="G186" s="472">
        <f>SUMPRODUCT((ISNUMBER(SEARCH($Y9,Dienstplan!$B$25:$B$36))*(ISNUMBER(SEARCH($AB$7,Dienstplan!$EZ$25:$GD$36)))))-H186</f>
        <v/>
      </c>
      <c r="H186" s="472">
        <f>SUMPRODUCT((ISNUMBER(SEARCH($Y9,Dienstplan!$B$25:$B$36))*(ISNUMBER(SEARCH($AB$8,Dienstplan!$EZ$25:$GD$36)))))</f>
        <v/>
      </c>
      <c r="I186" s="472">
        <f>SUMPRODUCT((ISNUMBER(SEARCH($Y9,Dienstplan!$B$25:$B$36))*(ISNUMBER(SEARCH($AB$9,Dienstplan!$EZ$25:$GD$36)))))</f>
        <v/>
      </c>
      <c r="J186" s="472">
        <f>SUMPRODUCT((ISNUMBER(SEARCH($Y9,Dienstplan!$B$25:$B$36))*(ISNUMBER(SEARCH($AB$10,Dienstplan!$EZ$25:$GD$36)))))</f>
        <v/>
      </c>
      <c r="K186" s="472">
        <f>SUMPRODUCT((ISNUMBER(SEARCH($Y9,Dienstplan!$B$25:$B$36))*(ISNUMBER(SEARCH($AB$11,Dienstplan!$EZ$25:$GD$36)))))-$Q186</f>
        <v/>
      </c>
      <c r="L186" s="472">
        <f>SUMPRODUCT((ISNUMBER(SEARCH($Y9,Dienstplan!$B$25:$B$36))*(ISNUMBER(SEARCH($AB$12,Dienstplan!$EZ$25:$GD$36)))))</f>
        <v/>
      </c>
      <c r="M186" s="472">
        <f>SUMPRODUCT((ISNUMBER(SEARCH($Y9,Dienstplan!$B$25:$B$36))*(ISNUMBER(SEARCH($AB$13,Dienstplan!$EZ$25:$GD$36)))))</f>
        <v/>
      </c>
      <c r="N186" s="472">
        <f>SUMPRODUCT((ISNUMBER(SEARCH($Y9,Dienstplan!$B$25:$B$36))*(ISNUMBER(SEARCH($AB$14,Dienstplan!$EZ$25:$GD$36)))))</f>
        <v/>
      </c>
      <c r="O186" s="472">
        <f>SUMPRODUCT((ISNUMBER(SEARCH($Y9,Dienstplan!$B$25:$B$36))*(ISNUMBER(SEARCH($AB$15,Dienstplan!$EZ$25:$GD$36)))))</f>
        <v/>
      </c>
      <c r="P186" s="472">
        <f>SUMPRODUCT((ISNUMBER(SEARCH($Y9,Dienstplan!$B$25:$B$36))*(ISNUMBER(SEARCH($AB$16,Dienstplan!$EZ$25:$GD$36)))))</f>
        <v/>
      </c>
      <c r="Q186" s="472">
        <f>SUMPRODUCT((ISNUMBER(SEARCH($Y9,Dienstplan!$B$25:$B$36))*(ISNUMBER(SEARCH($AB$17,Dienstplan!$EZ$25:$GD$36)))))</f>
        <v/>
      </c>
      <c r="R186" s="472">
        <f>SUMPRODUCT((ISNUMBER(SEARCH($Y9,Dienstplan!$B$25:$B$36))*(ISNUMBER(SEARCH($AB$18,Dienstplan!$EZ$25:$GD$36)))))</f>
        <v/>
      </c>
      <c r="S186" s="472">
        <f>SUMPRODUCT((ISNUMBER(SEARCH($Y9,Dienstplan!$B$25:$B$36))*(ISNUMBER(SEARCH($AB$19,Dienstplan!$EZ$25:$GD$36)))))</f>
        <v/>
      </c>
      <c r="T186" s="472">
        <f>SUM($F$178*$Z9)</f>
        <v/>
      </c>
      <c r="U186" s="472">
        <f>SUM($C186*Frueh_1+$D186*Spaet_1+$E186*Nacht_1+$F186*Normal_1+$I186*Sonderd_1-$J186*Muster+$K186*Muster+$L186*EH_Kurs+$M186*Koor_taet+$N186*Sekre_1+$O186*Muster+$P186*Muster+$Q186*Muster+$R186*Muster+G186*Muster+H186*Muster)</f>
        <v/>
      </c>
      <c r="V186" s="472">
        <f>SUM($U186-$T186)</f>
        <v/>
      </c>
      <c r="W186" s="472">
        <f>V186+W170</f>
        <v/>
      </c>
      <c r="X186" s="472" t="n"/>
      <c r="Y186" s="472" t="n"/>
      <c r="Z186" s="472" t="n"/>
      <c r="AA186" s="472" t="n"/>
      <c r="AB186" s="472" t="n"/>
      <c r="AC186" s="472" t="n"/>
      <c r="AD186" s="472" t="n"/>
      <c r="AE186" s="472" t="n"/>
      <c r="AF186" s="472" t="n"/>
      <c r="AG186" s="472" t="n"/>
      <c r="AH186" s="472" t="n"/>
      <c r="AI186" s="472" t="n"/>
      <c r="AJ186" s="472" t="n"/>
    </row>
    <row r="187">
      <c r="A187" s="472" t="n"/>
      <c r="B187" s="471">
        <f>B11</f>
        <v/>
      </c>
      <c r="C187" s="472">
        <f>SUMPRODUCT((ISNUMBER(SEARCH($Y10,Dienstplan!$B$25:$B$36))*(ISNUMBER(SEARCH($AB$3,Dienstplan!$EZ$25:$GD$36)))))-D187</f>
        <v/>
      </c>
      <c r="D187" s="472">
        <f>SUMPRODUCT((ISNUMBER(SEARCH($Y10,Dienstplan!$B$25:$B$36))*(ISNUMBER(SEARCH($AB$4,Dienstplan!$EZ$25:$GD$36)))))</f>
        <v/>
      </c>
      <c r="E187" s="472">
        <f>SUMPRODUCT((ISNUMBER(SEARCH($Y10,Dienstplan!$B$25:$B$36))*(ISNUMBER(SEARCH($AB$5,Dienstplan!$EY$25:$GD$36)))))</f>
        <v/>
      </c>
      <c r="F187" s="472">
        <f>SUMPRODUCT((ISNUMBER(SEARCH($Y10,Dienstplan!$B$25:$B$36))*(ISNUMBER(SEARCH($AB$6,Dienstplan!$EZ$25:$GD$36)))))</f>
        <v/>
      </c>
      <c r="G187" s="472">
        <f>SUMPRODUCT((ISNUMBER(SEARCH($Y10,Dienstplan!$B$25:$B$36))*(ISNUMBER(SEARCH($AB$7,Dienstplan!$EZ$25:$GD$36)))))-H187</f>
        <v/>
      </c>
      <c r="H187" s="472">
        <f>SUMPRODUCT((ISNUMBER(SEARCH($Y10,Dienstplan!$B$25:$B$36))*(ISNUMBER(SEARCH($AB$8,Dienstplan!$EZ$25:$GD$36)))))</f>
        <v/>
      </c>
      <c r="I187" s="472">
        <f>SUMPRODUCT((ISNUMBER(SEARCH($Y10,Dienstplan!$B$25:$B$36))*(ISNUMBER(SEARCH($AB$9,Dienstplan!$EZ$25:$GD$36)))))</f>
        <v/>
      </c>
      <c r="J187" s="472">
        <f>SUMPRODUCT((ISNUMBER(SEARCH($Y10,Dienstplan!$B$25:$B$36))*(ISNUMBER(SEARCH($AB$10,Dienstplan!$EZ$25:$GD$36)))))</f>
        <v/>
      </c>
      <c r="K187" s="472">
        <f>SUMPRODUCT((ISNUMBER(SEARCH($Y10,Dienstplan!$B$25:$B$36))*(ISNUMBER(SEARCH($AB$11,Dienstplan!$EZ$25:$GD$36)))))-$Q187</f>
        <v/>
      </c>
      <c r="L187" s="472">
        <f>SUMPRODUCT((ISNUMBER(SEARCH($Y10,Dienstplan!$B$25:$B$36))*(ISNUMBER(SEARCH($AB$12,Dienstplan!$EZ$25:$GD$36)))))</f>
        <v/>
      </c>
      <c r="M187" s="472">
        <f>SUMPRODUCT((ISNUMBER(SEARCH($Y10,Dienstplan!$B$25:$B$36))*(ISNUMBER(SEARCH($AB$13,Dienstplan!$EZ$25:$GD$36)))))</f>
        <v/>
      </c>
      <c r="N187" s="472">
        <f>SUMPRODUCT((ISNUMBER(SEARCH($Y10,Dienstplan!$B$25:$B$36))*(ISNUMBER(SEARCH($AB$14,Dienstplan!$EZ$25:$GD$36)))))</f>
        <v/>
      </c>
      <c r="O187" s="472">
        <f>SUMPRODUCT((ISNUMBER(SEARCH($Y10,Dienstplan!$B$25:$B$36))*(ISNUMBER(SEARCH($AB$15,Dienstplan!$EZ$25:$GD$36)))))</f>
        <v/>
      </c>
      <c r="P187" s="472">
        <f>SUMPRODUCT((ISNUMBER(SEARCH($Y10,Dienstplan!$B$25:$B$36))*(ISNUMBER(SEARCH($AB$16,Dienstplan!$EZ$25:$GD$36)))))</f>
        <v/>
      </c>
      <c r="Q187" s="472">
        <f>SUMPRODUCT((ISNUMBER(SEARCH($Y10,Dienstplan!$B$25:$B$36))*(ISNUMBER(SEARCH($AB$17,Dienstplan!$EZ$25:$GD$36)))))</f>
        <v/>
      </c>
      <c r="R187" s="472">
        <f>SUMPRODUCT((ISNUMBER(SEARCH($Y10,Dienstplan!$B$25:$B$36))*(ISNUMBER(SEARCH($AB$18,Dienstplan!$EZ$25:$GD$36)))))</f>
        <v/>
      </c>
      <c r="S187" s="472">
        <f>SUMPRODUCT((ISNUMBER(SEARCH($Y10,Dienstplan!$B$25:$B$36))*(ISNUMBER(SEARCH($AB$19,Dienstplan!$EZ$25:$GD$36)))))</f>
        <v/>
      </c>
      <c r="T187" s="472">
        <f>SUM($F$178*$Z10)</f>
        <v/>
      </c>
      <c r="U187" s="472">
        <f>SUM($C187*Frueh_1+$D187*Spaet_1+$E187*Nacht_1+$F187*Normal_1+$I187*Sonderd_1-$J187*Krem_E+$K187*Krem_E+$L187*EH_Kurs+$M187*Koor_taet+$N187*Sekre_1+$O187*Krem_E+$R187*Krem_E+$P187*Krem_E+$Q187*Krem_E+G187*Krem_E+H187*Krem_E)</f>
        <v/>
      </c>
      <c r="V187" s="472">
        <f>SUM($U187-$T187)</f>
        <v/>
      </c>
      <c r="W187" s="472">
        <f>V187+W171</f>
        <v/>
      </c>
      <c r="X187" s="472" t="n"/>
      <c r="Y187" s="472" t="n"/>
      <c r="Z187" s="472" t="n"/>
      <c r="AA187" s="472" t="n"/>
      <c r="AB187" s="472" t="n"/>
      <c r="AC187" s="472" t="n"/>
      <c r="AD187" s="472" t="n"/>
      <c r="AE187" s="472" t="n"/>
      <c r="AF187" s="472" t="n"/>
      <c r="AG187" s="472" t="n"/>
      <c r="AH187" s="472" t="n"/>
      <c r="AI187" s="472" t="n"/>
      <c r="AJ187" s="472" t="n"/>
    </row>
    <row r="188">
      <c r="A188" s="472" t="n"/>
      <c r="B188" s="471">
        <f>B12</f>
        <v/>
      </c>
      <c r="C188" s="472">
        <f>SUMPRODUCT((ISNUMBER(SEARCH($Y11,Dienstplan!$B$25:$B$36))*(ISNUMBER(SEARCH($AB$3,Dienstplan!$EZ$25:$GD$36)))))-D188</f>
        <v/>
      </c>
      <c r="D188" s="472">
        <f>SUMPRODUCT((ISNUMBER(SEARCH($Y11,Dienstplan!$B$25:$B$36))*(ISNUMBER(SEARCH($AB$4,Dienstplan!$EZ$25:$GD$36)))))</f>
        <v/>
      </c>
      <c r="E188" s="472">
        <f>SUMPRODUCT((ISNUMBER(SEARCH($Y11,Dienstplan!$B$25:$B$36))*(ISNUMBER(SEARCH($AB$5,Dienstplan!$EY$25:$GD$36)))))</f>
        <v/>
      </c>
      <c r="F188" s="472">
        <f>SUMPRODUCT((ISNUMBER(SEARCH($Y11,Dienstplan!$B$25:$B$36))*(ISNUMBER(SEARCH($AB$6,Dienstplan!$EZ$25:$GD$36)))))</f>
        <v/>
      </c>
      <c r="G188" s="472">
        <f>SUMPRODUCT((ISNUMBER(SEARCH($Y11,Dienstplan!$B$25:$B$36))*(ISNUMBER(SEARCH($AB$7,Dienstplan!$EZ$25:$GD$36)))))-H188</f>
        <v/>
      </c>
      <c r="H188" s="472">
        <f>SUMPRODUCT((ISNUMBER(SEARCH($Y11,Dienstplan!$B$25:$B$36))*(ISNUMBER(SEARCH($AB$8,Dienstplan!$EZ$25:$GD$36)))))</f>
        <v/>
      </c>
      <c r="I188" s="472">
        <f>SUMPRODUCT((ISNUMBER(SEARCH($Y11,Dienstplan!$B$25:$B$36))*(ISNUMBER(SEARCH($AB$9,Dienstplan!$EZ$25:$GD$36)))))</f>
        <v/>
      </c>
      <c r="J188" s="472">
        <f>SUMPRODUCT((ISNUMBER(SEARCH($Y11,Dienstplan!$B$25:$B$36))*(ISNUMBER(SEARCH($AB$10,Dienstplan!$EZ$25:$GD$36)))))</f>
        <v/>
      </c>
      <c r="K188" s="472">
        <f>SUMPRODUCT((ISNUMBER(SEARCH($Y11,Dienstplan!$B$25:$B$36))*(ISNUMBER(SEARCH($AB$11,Dienstplan!$EZ$25:$GD$36)))))-$Q188</f>
        <v/>
      </c>
      <c r="L188" s="472">
        <f>SUMPRODUCT((ISNUMBER(SEARCH($Y11,Dienstplan!$B$25:$B$36))*(ISNUMBER(SEARCH($AB$12,Dienstplan!$EZ$25:$GD$36)))))</f>
        <v/>
      </c>
      <c r="M188" s="472">
        <f>SUMPRODUCT((ISNUMBER(SEARCH($Y11,Dienstplan!$B$25:$B$36))*(ISNUMBER(SEARCH($AB$13,Dienstplan!$EZ$25:$GD$36)))))</f>
        <v/>
      </c>
      <c r="N188" s="472">
        <f>SUMPRODUCT((ISNUMBER(SEARCH($Y11,Dienstplan!$B$25:$B$36))*(ISNUMBER(SEARCH($AB$14,Dienstplan!$EZ$25:$GD$36)))))</f>
        <v/>
      </c>
      <c r="O188" s="472">
        <f>SUMPRODUCT((ISNUMBER(SEARCH($Y11,Dienstplan!$B$25:$B$36))*(ISNUMBER(SEARCH($AB$15,Dienstplan!$EZ$25:$GD$36)))))</f>
        <v/>
      </c>
      <c r="P188" s="472">
        <f>SUMPRODUCT((ISNUMBER(SEARCH($Y11,Dienstplan!$B$25:$B$36))*(ISNUMBER(SEARCH($AB$16,Dienstplan!$EZ$25:$GD$36)))))</f>
        <v/>
      </c>
      <c r="Q188" s="472">
        <f>SUMPRODUCT((ISNUMBER(SEARCH($Y11,Dienstplan!$B$25:$B$36))*(ISNUMBER(SEARCH($AB$17,Dienstplan!$EZ$25:$GD$36)))))</f>
        <v/>
      </c>
      <c r="R188" s="472">
        <f>SUMPRODUCT((ISNUMBER(SEARCH($Y11,Dienstplan!$B$25:$B$36))*(ISNUMBER(SEARCH($AB$18,Dienstplan!$EZ$25:$GD$36)))))</f>
        <v/>
      </c>
      <c r="S188" s="472">
        <f>SUMPRODUCT((ISNUMBER(SEARCH($Y11,Dienstplan!$B$25:$B$36))*(ISNUMBER(SEARCH($AB$19,Dienstplan!$EZ$25:$GD$36)))))</f>
        <v/>
      </c>
      <c r="T188" s="472">
        <f>SUM($F$178*$Z11)</f>
        <v/>
      </c>
      <c r="U188" s="472">
        <f>SUM($C188*Frueh_1+$D188*Spaet_1+$E188*Nacht_1+$F188*Normal_1+$I188*Sonderd_1-$J188*Put_W+$K188*Put_W+$L188*EH_Kurs+$M188*Koor_taet+$N188*Sekre_1+$O188*Put_W+$R188*Put_W+$P188*Put_W+$Q188*Put_W+G188*Put_W+H188*Put_W)</f>
        <v/>
      </c>
      <c r="V188" s="472">
        <f>SUM($U188-$T188)</f>
        <v/>
      </c>
      <c r="W188" s="472">
        <f>V188+W172</f>
        <v/>
      </c>
      <c r="X188" s="472" t="n"/>
      <c r="Y188" s="472" t="n"/>
      <c r="Z188" s="472" t="n"/>
      <c r="AA188" s="472" t="n"/>
      <c r="AB188" s="472" t="n"/>
      <c r="AC188" s="472" t="n"/>
      <c r="AD188" s="472" t="n"/>
      <c r="AE188" s="472" t="n"/>
      <c r="AF188" s="472" t="n"/>
      <c r="AG188" s="472" t="n"/>
      <c r="AH188" s="472" t="n"/>
      <c r="AI188" s="472" t="n"/>
      <c r="AJ188" s="472" t="n"/>
    </row>
    <row r="189">
      <c r="A189" s="472" t="n"/>
      <c r="B189" s="471">
        <f>B13</f>
        <v/>
      </c>
      <c r="C189" s="472">
        <f>SUMPRODUCT((ISNUMBER(SEARCH($Y12,Dienstplan!$B$25:$B$36))*(ISNUMBER(SEARCH($AB$3,Dienstplan!$EZ$25:$GD$36)))))-D189</f>
        <v/>
      </c>
      <c r="D189" s="472">
        <f>SUMPRODUCT((ISNUMBER(SEARCH($Y12,Dienstplan!$B$25:$B$36))*(ISNUMBER(SEARCH($AB$4,Dienstplan!$EZ$25:$GD$36)))))</f>
        <v/>
      </c>
      <c r="E189" s="472">
        <f>SUMPRODUCT((ISNUMBER(SEARCH($Y12,Dienstplan!$B$25:$B$36))*(ISNUMBER(SEARCH($AB$5,Dienstplan!$EY$25:$GD$36)))))</f>
        <v/>
      </c>
      <c r="F189" s="472">
        <f>SUMPRODUCT((ISNUMBER(SEARCH($Y12,Dienstplan!$B$25:$B$36))*(ISNUMBER(SEARCH($AB$6,Dienstplan!$EZ$25:$GD$36)))))</f>
        <v/>
      </c>
      <c r="G189" s="472">
        <f>SUMPRODUCT((ISNUMBER(SEARCH($Y12,Dienstplan!$B$25:$B$36))*(ISNUMBER(SEARCH($AB$7,Dienstplan!$EZ$25:$GD$36)))))-H189</f>
        <v/>
      </c>
      <c r="H189" s="472">
        <f>SUMPRODUCT((ISNUMBER(SEARCH($Y12,Dienstplan!$B$25:$B$36))*(ISNUMBER(SEARCH($AB$8,Dienstplan!$EZ$25:$GD$36)))))</f>
        <v/>
      </c>
      <c r="I189" s="472">
        <f>SUMPRODUCT((ISNUMBER(SEARCH($Y12,Dienstplan!$B$25:$B$36))*(ISNUMBER(SEARCH($AB$9,Dienstplan!$EZ$25:$GD$36)))))</f>
        <v/>
      </c>
      <c r="J189" s="472">
        <f>SUMPRODUCT((ISNUMBER(SEARCH($Y12,Dienstplan!$B$25:$B$36))*(ISNUMBER(SEARCH($AB$10,Dienstplan!$EZ$25:$GD$36)))))</f>
        <v/>
      </c>
      <c r="K189" s="472">
        <f>SUMPRODUCT((ISNUMBER(SEARCH($Y12,Dienstplan!$B$25:$B$36))*(ISNUMBER(SEARCH($AB$11,Dienstplan!$EZ$25:$GD$36)))))-$Q189</f>
        <v/>
      </c>
      <c r="L189" s="472">
        <f>SUMPRODUCT((ISNUMBER(SEARCH($Y12,Dienstplan!$B$25:$B$36))*(ISNUMBER(SEARCH($AB$12,Dienstplan!$EZ$25:$GD$36)))))</f>
        <v/>
      </c>
      <c r="M189" s="472">
        <f>SUMPRODUCT((ISNUMBER(SEARCH($Y12,Dienstplan!$B$25:$B$36))*(ISNUMBER(SEARCH($AB$13,Dienstplan!$EZ$25:$GD$36)))))</f>
        <v/>
      </c>
      <c r="N189" s="472">
        <f>SUMPRODUCT((ISNUMBER(SEARCH($Y12,Dienstplan!$B$25:$B$36))*(ISNUMBER(SEARCH($AB$14,Dienstplan!$EZ$25:$GD$36)))))</f>
        <v/>
      </c>
      <c r="O189" s="472">
        <f>SUMPRODUCT((ISNUMBER(SEARCH($Y12,Dienstplan!$B$25:$B$36))*(ISNUMBER(SEARCH($AB$15,Dienstplan!$EZ$25:$GD$36)))))</f>
        <v/>
      </c>
      <c r="P189" s="472">
        <f>SUMPRODUCT((ISNUMBER(SEARCH($Y12,Dienstplan!$B$25:$B$36))*(ISNUMBER(SEARCH($AB$16,Dienstplan!$EZ$25:$GD$36)))))</f>
        <v/>
      </c>
      <c r="Q189" s="472">
        <f>SUMPRODUCT((ISNUMBER(SEARCH($Y12,Dienstplan!$B$25:$B$36))*(ISNUMBER(SEARCH($AB$17,Dienstplan!$EZ$25:$GD$36)))))</f>
        <v/>
      </c>
      <c r="R189" s="472">
        <f>SUMPRODUCT((ISNUMBER(SEARCH($Y12,Dienstplan!$B$25:$B$36))*(ISNUMBER(SEARCH($AB$18,Dienstplan!$EZ$25:$GD$36)))))</f>
        <v/>
      </c>
      <c r="S189" s="472">
        <f>SUMPRODUCT((ISNUMBER(SEARCH($Y12,Dienstplan!$B$25:$B$36))*(ISNUMBER(SEARCH($AB$19,Dienstplan!$EZ$25:$GD$36)))))</f>
        <v/>
      </c>
      <c r="T189" s="472">
        <f>SUM($F$178*$Z12)</f>
        <v/>
      </c>
      <c r="U189" s="472">
        <f>SUM($C189*Frueh_1+$D189*Spaet_1+$E189*Nacht_1+$F189*Normal_1+$I189*Sonderd_1-$J189*Radi_L+$K189*Radi_L+$L189*EH_Kurs+$M189*Koor_taet+$N189*Sekre_1+$O189*Radi_L+$R189*Radi_L+$P189*Radi_L+$Q189*Radi_L+G189*Radi_L+H189*Radi_L)</f>
        <v/>
      </c>
      <c r="V189" s="472">
        <f>SUM($U189-$T189)</f>
        <v/>
      </c>
      <c r="W189" s="472">
        <f>V189+W173</f>
        <v/>
      </c>
      <c r="X189" s="472" t="n"/>
      <c r="Y189" s="472" t="n"/>
      <c r="Z189" s="472" t="n"/>
      <c r="AA189" s="472" t="n"/>
      <c r="AB189" s="472" t="n"/>
      <c r="AC189" s="472" t="n"/>
      <c r="AD189" s="472" t="n"/>
      <c r="AE189" s="472" t="n"/>
      <c r="AF189" s="472" t="n"/>
      <c r="AG189" s="472" t="n"/>
      <c r="AH189" s="472" t="n"/>
      <c r="AI189" s="472" t="n"/>
      <c r="AJ189" s="472" t="n"/>
    </row>
    <row r="190">
      <c r="A190" s="472" t="n"/>
      <c r="B190" s="471">
        <f>B14</f>
        <v/>
      </c>
      <c r="C190" s="472">
        <f>SUMPRODUCT((ISNUMBER(SEARCH($Y13,Dienstplan!$B$25:$B$36))*(ISNUMBER(SEARCH($AB$3,Dienstplan!$EZ$25:$GD$36)))))-D190</f>
        <v/>
      </c>
      <c r="D190" s="472">
        <f>SUMPRODUCT((ISNUMBER(SEARCH($Y13,Dienstplan!$B$25:$B$36))*(ISNUMBER(SEARCH($AB$4,Dienstplan!$EZ$25:$GD$36)))))</f>
        <v/>
      </c>
      <c r="E190" s="472">
        <f>SUMPRODUCT((ISNUMBER(SEARCH($Y13,Dienstplan!$B$25:$B$36))*(ISNUMBER(SEARCH($AB$5,Dienstplan!$EY$25:$GD$36)))))</f>
        <v/>
      </c>
      <c r="F190" s="472">
        <f>SUMPRODUCT((ISNUMBER(SEARCH($Y13,Dienstplan!$B$25:$B$36))*(ISNUMBER(SEARCH($AB$6,Dienstplan!$EZ$25:$GD$36)))))</f>
        <v/>
      </c>
      <c r="G190" s="472">
        <f>SUMPRODUCT((ISNUMBER(SEARCH($Y13,Dienstplan!$B$25:$B$36))*(ISNUMBER(SEARCH($AB$7,Dienstplan!$EZ$25:$GD$36)))))-H190</f>
        <v/>
      </c>
      <c r="H190" s="472">
        <f>SUMPRODUCT((ISNUMBER(SEARCH($Y13,Dienstplan!$B$25:$B$36))*(ISNUMBER(SEARCH($AB$8,Dienstplan!$EZ$25:$GD$36)))))</f>
        <v/>
      </c>
      <c r="I190" s="472">
        <f>SUMPRODUCT((ISNUMBER(SEARCH($Y13,Dienstplan!$B$25:$B$36))*(ISNUMBER(SEARCH($AB$9,Dienstplan!$EZ$25:$GD$36)))))</f>
        <v/>
      </c>
      <c r="J190" s="472">
        <f>SUMPRODUCT((ISNUMBER(SEARCH($Y13,Dienstplan!$B$25:$B$36))*(ISNUMBER(SEARCH($AB$10,Dienstplan!$EZ$25:$GD$36)))))</f>
        <v/>
      </c>
      <c r="K190" s="472">
        <f>SUMPRODUCT((ISNUMBER(SEARCH($Y13,Dienstplan!$B$25:$B$36))*(ISNUMBER(SEARCH($AB$11,Dienstplan!$EZ$25:$GD$36)))))-$Q190</f>
        <v/>
      </c>
      <c r="L190" s="472">
        <f>SUMPRODUCT((ISNUMBER(SEARCH($Y13,Dienstplan!$B$25:$B$36))*(ISNUMBER(SEARCH($AB$12,Dienstplan!$EZ$25:$GD$36)))))</f>
        <v/>
      </c>
      <c r="M190" s="472">
        <f>SUMPRODUCT((ISNUMBER(SEARCH($Y13,Dienstplan!$B$25:$B$36))*(ISNUMBER(SEARCH($AB$13,Dienstplan!$EZ$25:$GD$36)))))</f>
        <v/>
      </c>
      <c r="N190" s="472">
        <f>SUMPRODUCT((ISNUMBER(SEARCH($Y13,Dienstplan!$B$25:$B$36))*(ISNUMBER(SEARCH($AB$14,Dienstplan!$EZ$25:$GD$36)))))</f>
        <v/>
      </c>
      <c r="O190" s="472">
        <f>SUMPRODUCT((ISNUMBER(SEARCH($Y13,Dienstplan!$B$25:$B$36))*(ISNUMBER(SEARCH($AB$15,Dienstplan!$EZ$25:$GD$36)))))</f>
        <v/>
      </c>
      <c r="P190" s="472">
        <f>SUMPRODUCT((ISNUMBER(SEARCH($Y13,Dienstplan!$B$25:$B$36))*(ISNUMBER(SEARCH($AB$16,Dienstplan!$EZ$25:$GD$36)))))</f>
        <v/>
      </c>
      <c r="Q190" s="472">
        <f>SUMPRODUCT((ISNUMBER(SEARCH($Y13,Dienstplan!$B$25:$B$36))*(ISNUMBER(SEARCH($AB$17,Dienstplan!$EZ$25:$GD$36)))))</f>
        <v/>
      </c>
      <c r="R190" s="472">
        <f>SUMPRODUCT((ISNUMBER(SEARCH($Y13,Dienstplan!$B$25:$B$36))*(ISNUMBER(SEARCH($AB$18,Dienstplan!$EZ$25:$GD$36)))))</f>
        <v/>
      </c>
      <c r="S190" s="472">
        <f>SUMPRODUCT((ISNUMBER(SEARCH($Y13,Dienstplan!$B$25:$B$36))*(ISNUMBER(SEARCH($AB$19,Dienstplan!$EZ$25:$GD$36)))))</f>
        <v/>
      </c>
      <c r="T190" s="472">
        <f>SUM($F$178*$Z13)</f>
        <v/>
      </c>
      <c r="U190" s="472">
        <f>SUM($C190*Frueh_1+$D190*Spaet_1+$E190*Nacht_1+$F190*Normal_1+$I190*Sonderd_1-$J190*Fortenb+$K190*Fortenb+$L190*EH_Kurs+$M190*Koor_taet+$N190*Sekre_1+$O190*Fortenb+$R190*Fortenb+$P190*Fortenb+$Q190*Fortenb+G190*Fortenb+H190*Fortenb)</f>
        <v/>
      </c>
      <c r="V190" s="472">
        <f>SUM($U190-$T190)</f>
        <v/>
      </c>
      <c r="W190" s="472">
        <f>V190+W174</f>
        <v/>
      </c>
      <c r="X190" s="472" t="n"/>
      <c r="Y190" s="472" t="n"/>
      <c r="Z190" s="472" t="n"/>
      <c r="AA190" s="472" t="n"/>
      <c r="AB190" s="472" t="n"/>
      <c r="AC190" s="472" t="n"/>
      <c r="AD190" s="472" t="n"/>
      <c r="AE190" s="472" t="n"/>
      <c r="AF190" s="472" t="n"/>
      <c r="AG190" s="472" t="n"/>
      <c r="AH190" s="472" t="n"/>
      <c r="AI190" s="472" t="n"/>
      <c r="AJ190" s="472" t="n"/>
    </row>
    <row r="191">
      <c r="A191" s="472" t="n"/>
      <c r="B191" s="471" t="n"/>
      <c r="C191" s="472" t="n"/>
      <c r="D191" s="472" t="n"/>
      <c r="E191" s="472" t="n"/>
      <c r="F191" s="472" t="n"/>
      <c r="G191" s="472" t="n"/>
      <c r="H191" s="472" t="n"/>
      <c r="I191" s="472" t="n"/>
      <c r="J191" s="472" t="n"/>
      <c r="K191" s="472" t="n"/>
      <c r="L191" s="472" t="n"/>
      <c r="M191" s="472" t="n"/>
      <c r="N191" s="472" t="n"/>
      <c r="O191" s="472" t="n"/>
      <c r="P191" s="472" t="n"/>
      <c r="Q191" s="472" t="n"/>
      <c r="R191" s="472" t="n"/>
      <c r="S191" s="472" t="n"/>
      <c r="T191" s="472" t="n"/>
      <c r="U191" s="472" t="n"/>
      <c r="V191" s="472" t="n"/>
      <c r="W191" s="472" t="n"/>
      <c r="X191" s="472" t="n"/>
      <c r="Y191" s="472" t="n"/>
      <c r="Z191" s="472" t="n"/>
      <c r="AA191" s="472" t="n"/>
      <c r="AB191" s="472" t="n"/>
      <c r="AC191" s="472" t="n"/>
      <c r="AD191" s="472" t="n"/>
      <c r="AE191" s="472" t="n"/>
      <c r="AF191" s="472" t="n"/>
      <c r="AG191" s="472" t="n"/>
      <c r="AH191" s="472" t="n"/>
      <c r="AI191" s="472" t="n"/>
      <c r="AJ191" s="472" t="n"/>
    </row>
    <row r="192">
      <c r="A192" s="483" t="n"/>
      <c r="B192" s="483" t="inlineStr">
        <is>
          <t>Summe</t>
        </is>
      </c>
      <c r="C192" s="483">
        <f>SUM(C180:C191)</f>
        <v/>
      </c>
      <c r="D192" s="483">
        <f>SUM(D180:D191)</f>
        <v/>
      </c>
      <c r="E192" s="483">
        <f>SUM(E180:E191)</f>
        <v/>
      </c>
      <c r="F192" s="483">
        <f>SUM(F180:F191)</f>
        <v/>
      </c>
      <c r="G192" s="483">
        <f>SUM(G180:G191)</f>
        <v/>
      </c>
      <c r="H192" s="483">
        <f>SUM(H180:H191)</f>
        <v/>
      </c>
      <c r="I192" s="483">
        <f>SUM(I180:I191)</f>
        <v/>
      </c>
      <c r="J192" s="483">
        <f>SUM(J180:J191)</f>
        <v/>
      </c>
      <c r="K192" s="483">
        <f>SUM(K180:K191)</f>
        <v/>
      </c>
      <c r="L192" s="483">
        <f>SUM(L180:L191)</f>
        <v/>
      </c>
      <c r="M192" s="483">
        <f>SUM(M180:M191)</f>
        <v/>
      </c>
      <c r="N192" s="483">
        <f>SUM(N180:N191)</f>
        <v/>
      </c>
      <c r="O192" s="483">
        <f>SUM(O180:O191)</f>
        <v/>
      </c>
      <c r="P192" s="483">
        <f>SUM(P180:P191)</f>
        <v/>
      </c>
      <c r="Q192" s="483">
        <f>SUM(Q180:Q191)</f>
        <v/>
      </c>
      <c r="R192" s="483">
        <f>SUM(R180:R191)</f>
        <v/>
      </c>
      <c r="S192" s="483">
        <f>SUM(S180:S191)</f>
        <v/>
      </c>
      <c r="T192" s="483">
        <f>SUM(T180:T188)</f>
        <v/>
      </c>
      <c r="U192" s="483">
        <f>SUM(U180:U188)</f>
        <v/>
      </c>
      <c r="V192" s="483" t="n"/>
      <c r="W192" s="483" t="n"/>
      <c r="X192" s="483" t="n"/>
      <c r="Y192" s="483" t="n"/>
      <c r="Z192" s="483" t="n"/>
      <c r="AA192" s="483" t="n"/>
      <c r="AB192" s="483" t="n"/>
      <c r="AC192" s="483" t="n"/>
      <c r="AD192" s="483" t="n"/>
      <c r="AE192" s="483" t="n"/>
      <c r="AF192" s="483" t="n"/>
      <c r="AG192" s="483" t="n"/>
      <c r="AH192" s="483" t="n"/>
      <c r="AI192" s="483" t="n"/>
      <c r="AJ192" s="483" t="n"/>
    </row>
    <row r="193">
      <c r="A193" s="11" t="n"/>
      <c r="B193" s="12" t="n"/>
      <c r="C193" s="1" t="n"/>
      <c r="D193" s="1" t="n"/>
      <c r="E193" s="1" t="n"/>
      <c r="F193" s="1" t="n"/>
      <c r="G193" s="1" t="n"/>
      <c r="H193" s="1" t="n"/>
      <c r="I193" s="1" t="n"/>
      <c r="J193" s="1" t="n"/>
      <c r="K193" s="1" t="n"/>
      <c r="L193" s="1" t="n"/>
      <c r="M193" s="1" t="n"/>
      <c r="N193" s="1" t="n"/>
      <c r="O193" s="1" t="n"/>
      <c r="P193" s="1" t="n"/>
      <c r="Q193" s="1" t="n"/>
      <c r="R193" s="1" t="n"/>
      <c r="S193" s="12" t="n"/>
      <c r="T193" s="1" t="n"/>
      <c r="U193" s="1" t="n"/>
      <c r="V193" s="12" t="n"/>
      <c r="W193" s="17" t="n"/>
    </row>
  </sheetData>
  <mergeCells count="33">
    <mergeCell ref="I178:J178"/>
    <mergeCell ref="D178:E178"/>
    <mergeCell ref="I34:J34"/>
    <mergeCell ref="D34:E34"/>
    <mergeCell ref="I2:J2"/>
    <mergeCell ref="Y24:Z24"/>
    <mergeCell ref="D2:E2"/>
    <mergeCell ref="AA24:AB24"/>
    <mergeCell ref="I146:J146"/>
    <mergeCell ref="I66:J66"/>
    <mergeCell ref="D66:E66"/>
    <mergeCell ref="I18:J18"/>
    <mergeCell ref="Y22:Z22"/>
    <mergeCell ref="I162:J162"/>
    <mergeCell ref="D162:E162"/>
    <mergeCell ref="I130:J130"/>
    <mergeCell ref="I114:J114"/>
    <mergeCell ref="Y25:Z25"/>
    <mergeCell ref="AA25:AB25"/>
    <mergeCell ref="Y21:AB21"/>
    <mergeCell ref="D146:E146"/>
    <mergeCell ref="I98:J98"/>
    <mergeCell ref="D18:E18"/>
    <mergeCell ref="D114:E114"/>
    <mergeCell ref="I82:J82"/>
    <mergeCell ref="D130:E130"/>
    <mergeCell ref="D82:E82"/>
    <mergeCell ref="D98:E98"/>
    <mergeCell ref="Y23:Z23"/>
    <mergeCell ref="I50:J50"/>
    <mergeCell ref="AA23:AB23"/>
    <mergeCell ref="D50:E50"/>
    <mergeCell ref="AA22:AB22"/>
  </mergeCells>
  <conditionalFormatting sqref="F16:H16 N16">
    <cfRule type="cellIs" priority="31" operator="lessThan" dxfId="1" stopIfTrue="1">
      <formula>$F$2</formula>
    </cfRule>
    <cfRule type="cellIs" priority="32" operator="equal" dxfId="2" stopIfTrue="1">
      <formula>$F$2</formula>
    </cfRule>
    <cfRule type="cellIs" priority="33" operator="greaterThan" dxfId="0" stopIfTrue="1">
      <formula>$F$2</formula>
    </cfRule>
  </conditionalFormatting>
  <conditionalFormatting sqref="F32:H32 N32">
    <cfRule type="cellIs" priority="34" operator="lessThan" dxfId="1" stopIfTrue="1">
      <formula>$F$18</formula>
    </cfRule>
    <cfRule type="cellIs" priority="35" operator="equal" dxfId="2" stopIfTrue="1">
      <formula>$F$18</formula>
    </cfRule>
    <cfRule type="cellIs" priority="36" operator="greaterThan" dxfId="0" stopIfTrue="1">
      <formula>$F$18</formula>
    </cfRule>
  </conditionalFormatting>
  <conditionalFormatting sqref="F48:H48 N48">
    <cfRule type="cellIs" priority="37" operator="lessThan" dxfId="1" stopIfTrue="1">
      <formula>$F$34</formula>
    </cfRule>
    <cfRule type="cellIs" priority="38" operator="equal" dxfId="2" stopIfTrue="1">
      <formula>$F$34</formula>
    </cfRule>
    <cfRule type="cellIs" priority="39" operator="greaterThan" dxfId="0" stopIfTrue="1">
      <formula>$F$34</formula>
    </cfRule>
  </conditionalFormatting>
  <conditionalFormatting sqref="F64:H64 F80:H80 N80">
    <cfRule type="cellIs" priority="43" operator="lessThan" dxfId="1" stopIfTrue="1">
      <formula>$F$66</formula>
    </cfRule>
    <cfRule type="cellIs" priority="44" operator="equal" dxfId="2" stopIfTrue="1">
      <formula>$F$66</formula>
    </cfRule>
    <cfRule type="cellIs" priority="45" operator="greaterThan" dxfId="0" stopIfTrue="1">
      <formula>$F$66</formula>
    </cfRule>
  </conditionalFormatting>
  <conditionalFormatting sqref="F96:H96 N96">
    <cfRule type="cellIs" priority="46" operator="lessThan" dxfId="1" stopIfTrue="1">
      <formula>$F$82</formula>
    </cfRule>
    <cfRule type="cellIs" priority="47" operator="equal" dxfId="2" stopIfTrue="1">
      <formula>$F$82</formula>
    </cfRule>
    <cfRule type="cellIs" priority="48" operator="greaterThan" dxfId="0" stopIfTrue="1">
      <formula>$F$82</formula>
    </cfRule>
  </conditionalFormatting>
  <conditionalFormatting sqref="F112:H112 N112">
    <cfRule type="cellIs" priority="49" operator="lessThan" dxfId="1" stopIfTrue="1">
      <formula>$F$98</formula>
    </cfRule>
    <cfRule type="cellIs" priority="50" operator="equal" dxfId="2" stopIfTrue="1">
      <formula>$F$98</formula>
    </cfRule>
    <cfRule type="cellIs" priority="51" operator="greaterThan" dxfId="0" stopIfTrue="1">
      <formula>$F$98</formula>
    </cfRule>
  </conditionalFormatting>
  <conditionalFormatting sqref="F144:H144 N144">
    <cfRule type="cellIs" priority="55" operator="lessThan" dxfId="1" stopIfTrue="1">
      <formula>$F$130</formula>
    </cfRule>
    <cfRule type="cellIs" priority="56" operator="equal" dxfId="2" stopIfTrue="1">
      <formula>$F$130</formula>
    </cfRule>
    <cfRule type="cellIs" priority="57" operator="greaterThan" dxfId="0" stopIfTrue="1">
      <formula>$F$130</formula>
    </cfRule>
  </conditionalFormatting>
  <conditionalFormatting sqref="F160:H160 N160">
    <cfRule type="cellIs" priority="58" operator="lessThan" dxfId="1" stopIfTrue="1">
      <formula>$F$146</formula>
    </cfRule>
    <cfRule type="cellIs" priority="59" operator="equal" dxfId="2" stopIfTrue="1">
      <formula>$F$146</formula>
    </cfRule>
    <cfRule type="cellIs" priority="60" operator="greaterThan" dxfId="0" stopIfTrue="1">
      <formula>$F$146</formula>
    </cfRule>
  </conditionalFormatting>
  <conditionalFormatting sqref="F176:H176 N176">
    <cfRule type="cellIs" priority="61" operator="lessThan" dxfId="1" stopIfTrue="1">
      <formula>$F$162</formula>
    </cfRule>
    <cfRule type="cellIs" priority="62" operator="equal" dxfId="2" stopIfTrue="1">
      <formula>$F$162</formula>
    </cfRule>
    <cfRule type="cellIs" priority="63" operator="greaterThan" dxfId="0" stopIfTrue="1">
      <formula>$F$162</formula>
    </cfRule>
  </conditionalFormatting>
  <conditionalFormatting sqref="F192:H192 N192">
    <cfRule type="cellIs" priority="64" operator="lessThan" dxfId="1" stopIfTrue="1">
      <formula>$F$178</formula>
    </cfRule>
    <cfRule type="cellIs" priority="65" operator="equal" dxfId="2" stopIfTrue="1">
      <formula>$F$178</formula>
    </cfRule>
    <cfRule type="cellIs" priority="66" operator="greaterThan" dxfId="0" stopIfTrue="1">
      <formula>$F$178</formula>
    </cfRule>
  </conditionalFormatting>
  <conditionalFormatting sqref="C16:E16">
    <cfRule type="cellIs" priority="67" operator="lessThan" dxfId="1" stopIfTrue="1">
      <formula>$F$2+$K$2</formula>
    </cfRule>
    <cfRule type="cellIs" priority="68" operator="equal" dxfId="2" stopIfTrue="1">
      <formula>$F$2+$K$2</formula>
    </cfRule>
    <cfRule type="cellIs" priority="69" operator="greaterThan" dxfId="0" stopIfTrue="1">
      <formula>$F$2+$K$2</formula>
    </cfRule>
  </conditionalFormatting>
  <conditionalFormatting sqref="C32:E32">
    <cfRule type="cellIs" priority="70" operator="lessThan" dxfId="1" stopIfTrue="1">
      <formula>$F$18+$K$18</formula>
    </cfRule>
    <cfRule type="cellIs" priority="71" operator="equal" dxfId="2" stopIfTrue="1">
      <formula>$F$18+$K$18</formula>
    </cfRule>
    <cfRule type="cellIs" priority="72" operator="greaterThan" dxfId="0" stopIfTrue="1">
      <formula>$F$18+$K$18</formula>
    </cfRule>
  </conditionalFormatting>
  <conditionalFormatting sqref="C48:E48">
    <cfRule type="cellIs" priority="73" operator="lessThan" dxfId="1" stopIfTrue="1">
      <formula>$F$34+$K$34</formula>
    </cfRule>
    <cfRule type="cellIs" priority="74" operator="equal" dxfId="2" stopIfTrue="1">
      <formula>$F$34+$K$34</formula>
    </cfRule>
    <cfRule type="cellIs" priority="75" operator="greaterThan" dxfId="0" stopIfTrue="1">
      <formula>$F$34+$K$34</formula>
    </cfRule>
  </conditionalFormatting>
  <conditionalFormatting sqref="C80:E80">
    <cfRule type="cellIs" priority="79" operator="lessThan" dxfId="1" stopIfTrue="1">
      <formula>$F$66+$K$66</formula>
    </cfRule>
    <cfRule type="cellIs" priority="80" operator="equal" dxfId="2" stopIfTrue="1">
      <formula>$F$66+$K$66</formula>
    </cfRule>
    <cfRule type="cellIs" priority="81" operator="greaterThan" dxfId="0" stopIfTrue="1">
      <formula>$F$66+$K$66</formula>
    </cfRule>
  </conditionalFormatting>
  <conditionalFormatting sqref="C96:E96">
    <cfRule type="cellIs" priority="82" operator="lessThan" dxfId="1" stopIfTrue="1">
      <formula>$F$82+$K$82</formula>
    </cfRule>
    <cfRule type="cellIs" priority="83" operator="equal" dxfId="2" stopIfTrue="1">
      <formula>$F$82+$K$82</formula>
    </cfRule>
    <cfRule type="cellIs" priority="84" operator="greaterThan" dxfId="0" stopIfTrue="1">
      <formula>$F$82+$K$82</formula>
    </cfRule>
  </conditionalFormatting>
  <conditionalFormatting sqref="C112:E112">
    <cfRule type="cellIs" priority="85" operator="lessThan" dxfId="1" stopIfTrue="1">
      <formula>$F$98+$K$98</formula>
    </cfRule>
    <cfRule type="cellIs" priority="86" operator="equal" dxfId="2" stopIfTrue="1">
      <formula>$F$98+$K$98</formula>
    </cfRule>
    <cfRule type="cellIs" priority="87" operator="greaterThan" dxfId="0" stopIfTrue="1">
      <formula>$F$98+$K$98</formula>
    </cfRule>
  </conditionalFormatting>
  <conditionalFormatting sqref="C128:S128">
    <cfRule type="cellIs" priority="88" operator="lessThan" dxfId="1" stopIfTrue="1">
      <formula>$F$114+$K$114</formula>
    </cfRule>
    <cfRule type="cellIs" priority="89" operator="equal" dxfId="2" stopIfTrue="1">
      <formula>$F$114+$K$114</formula>
    </cfRule>
    <cfRule type="cellIs" priority="90" operator="greaterThan" dxfId="0" stopIfTrue="1">
      <formula>$F$114+$K$114</formula>
    </cfRule>
  </conditionalFormatting>
  <conditionalFormatting sqref="C144:E144">
    <cfRule type="cellIs" priority="91" operator="lessThan" dxfId="1" stopIfTrue="1">
      <formula>$F$130+$K$130</formula>
    </cfRule>
    <cfRule type="cellIs" priority="92" operator="equal" dxfId="2" stopIfTrue="1">
      <formula>$F$130+$K$130</formula>
    </cfRule>
    <cfRule type="cellIs" priority="93" operator="greaterThan" dxfId="0" stopIfTrue="1">
      <formula>$F$130+$K$130</formula>
    </cfRule>
  </conditionalFormatting>
  <conditionalFormatting sqref="C160:E160">
    <cfRule type="cellIs" priority="94" operator="lessThan" dxfId="1" stopIfTrue="1">
      <formula>$F$146+$K$146</formula>
    </cfRule>
    <cfRule type="cellIs" priority="95" operator="equal" dxfId="2" stopIfTrue="1">
      <formula>$F$146+$K$146</formula>
    </cfRule>
    <cfRule type="cellIs" priority="96" operator="greaterThan" dxfId="0" stopIfTrue="1">
      <formula>$F$146+$K$146</formula>
    </cfRule>
  </conditionalFormatting>
  <conditionalFormatting sqref="C176:E176">
    <cfRule type="cellIs" priority="97" operator="lessThan" dxfId="1" stopIfTrue="1">
      <formula>$F$162+$K$162</formula>
    </cfRule>
    <cfRule type="cellIs" priority="98" operator="equal" dxfId="2" stopIfTrue="1">
      <formula>$F$162+$K$162</formula>
    </cfRule>
    <cfRule type="cellIs" priority="99" operator="greaterThan" dxfId="0" stopIfTrue="1">
      <formula>$F$162+$K$162</formula>
    </cfRule>
  </conditionalFormatting>
  <conditionalFormatting sqref="C192:E192">
    <cfRule type="cellIs" priority="100" operator="lessThan" dxfId="1" stopIfTrue="1">
      <formula>$F$178+$K$178</formula>
    </cfRule>
    <cfRule type="cellIs" priority="101" operator="equal" dxfId="2" stopIfTrue="1">
      <formula>$F$178+$K$178</formula>
    </cfRule>
    <cfRule type="cellIs" priority="102" operator="greaterThan" dxfId="0" stopIfTrue="1">
      <formula>$F$178+$K$178</formula>
    </cfRule>
  </conditionalFormatting>
  <conditionalFormatting sqref="N64">
    <cfRule type="cellIs" priority="1" operator="lessThan" dxfId="1" stopIfTrue="1">
      <formula>$F$66</formula>
    </cfRule>
    <cfRule type="cellIs" priority="2" operator="equal" dxfId="2" stopIfTrue="1">
      <formula>$F$66</formula>
    </cfRule>
    <cfRule type="cellIs" priority="3" operator="greaterThan" dxfId="0" stopIfTrue="1">
      <formula>$F$66</formula>
    </cfRule>
  </conditionalFormatting>
  <conditionalFormatting sqref="C64:E64">
    <cfRule type="cellIs" priority="4" operator="lessThan" dxfId="1" stopIfTrue="1">
      <formula>$F$66+$K$66</formula>
    </cfRule>
    <cfRule type="cellIs" priority="5" operator="equal" dxfId="2" stopIfTrue="1">
      <formula>$F$66+$K$66</formula>
    </cfRule>
    <cfRule type="cellIs" priority="6" operator="greaterThan" dxfId="0" stopIfTrue="1">
      <formula>$F$66+$K$66</formula>
    </cfRule>
  </conditionalFormatting>
  <conditionalFormatting sqref="U4:U5 U20 U36 U52 U68 U84 U100 U116 U132 U148 U164 U180">
    <cfRule type="cellIs" priority="1363" operator="between" dxfId="2" stopIfTrue="1">
      <formula>$T4-$Z$3</formula>
      <formula>$T4+$Z$3</formula>
    </cfRule>
    <cfRule type="cellIs" priority="1364" operator="greaterThan" dxfId="1" stopIfTrue="1">
      <formula>$T4+$Z$3</formula>
    </cfRule>
    <cfRule type="cellIs" priority="1365" operator="lessThan" dxfId="0" stopIfTrue="1">
      <formula>$T4-$Z$3</formula>
    </cfRule>
  </conditionalFormatting>
  <conditionalFormatting sqref="U21 U37 U53 U69 U85 U101 U117 U133 U149 U165 U181">
    <cfRule type="cellIs" priority="1399" operator="between" dxfId="2" stopIfTrue="1">
      <formula>$T21-$Z$4</formula>
      <formula>$T21+$Z$4</formula>
    </cfRule>
    <cfRule type="cellIs" priority="1400" operator="greaterThan" dxfId="1" stopIfTrue="1">
      <formula>$T21+$Z$4</formula>
    </cfRule>
    <cfRule type="cellIs" priority="1401" operator="lessThan" dxfId="0" stopIfTrue="1">
      <formula>$T21-$Z$4</formula>
    </cfRule>
  </conditionalFormatting>
  <conditionalFormatting sqref="U6 U22 U38 U54 U70 U86 U102 U118 U134 U150 U166 U182">
    <cfRule type="cellIs" priority="1432" operator="between" dxfId="2" stopIfTrue="1">
      <formula>$T6-$Z$5</formula>
      <formula>$T6+$Z$5</formula>
    </cfRule>
    <cfRule type="cellIs" priority="1433" operator="greaterThan" dxfId="1" stopIfTrue="1">
      <formula>$T6+$Z$5</formula>
    </cfRule>
    <cfRule type="cellIs" priority="1434" operator="lessThan" dxfId="0" stopIfTrue="1">
      <formula>$T6-$Z$5</formula>
    </cfRule>
  </conditionalFormatting>
  <conditionalFormatting sqref="U7 U23 U39 U55 U71 U87 U103 U119 U135 U151 U167 U183">
    <cfRule type="cellIs" priority="1468" operator="between" dxfId="2" stopIfTrue="1">
      <formula>$T7-$Z$6</formula>
      <formula>$T7+$Z$6</formula>
    </cfRule>
    <cfRule type="cellIs" priority="1469" operator="greaterThan" dxfId="1" stopIfTrue="1">
      <formula>$T7+$Z$6</formula>
    </cfRule>
    <cfRule type="cellIs" priority="1470" operator="lessThan" dxfId="0" stopIfTrue="1">
      <formula>$T7-$Z$6</formula>
    </cfRule>
  </conditionalFormatting>
  <conditionalFormatting sqref="U8 U24 U40 U56 U72 U88 U104 U120 U136 U152 U168 U184">
    <cfRule type="cellIs" priority="1504" operator="between" dxfId="2" stopIfTrue="1">
      <formula>$T8-$Z$7</formula>
      <formula>$T8+$Z$7</formula>
    </cfRule>
    <cfRule type="cellIs" priority="1505" operator="greaterThan" dxfId="1" stopIfTrue="1">
      <formula>$T8+$Z$7</formula>
    </cfRule>
    <cfRule type="cellIs" priority="1506" operator="lessThan" dxfId="0" stopIfTrue="1">
      <formula>$T8-$Z$7</formula>
    </cfRule>
  </conditionalFormatting>
  <conditionalFormatting sqref="U9:U10 U25:U26 U41:U42 U57:U58 U73:U74 U89:U90 U105:U106 U121:U122 U137:U138 U153:U154 U169:U170 U185:U186">
    <cfRule type="cellIs" priority="1540" operator="between" dxfId="2" stopIfTrue="1">
      <formula>$T9-$Z$8</formula>
      <formula>$T9+$Z$8</formula>
    </cfRule>
    <cfRule type="cellIs" priority="1541" operator="greaterThan" dxfId="1" stopIfTrue="1">
      <formula>$T9+$Z$8</formula>
    </cfRule>
    <cfRule type="cellIs" priority="1542" operator="lessThan" dxfId="0" stopIfTrue="1">
      <formula>$T9-$Z$8</formula>
    </cfRule>
  </conditionalFormatting>
  <conditionalFormatting sqref="U11:U12 U27:U28 U43:U44 U59:U60 U75:U76 U91:U92 U107:U108 U123:U124 U139:U140 U155:U156 U171:U172 U187:U188">
    <cfRule type="cellIs" priority="1612" operator="between" dxfId="2" stopIfTrue="1">
      <formula>$T11-$Z$10</formula>
      <formula>$T11+$Z$10</formula>
    </cfRule>
    <cfRule type="cellIs" priority="1613" operator="greaterThan" dxfId="1" stopIfTrue="1">
      <formula>$T11+$Z$10</formula>
    </cfRule>
    <cfRule type="cellIs" priority="1614" operator="lessThan" dxfId="0" stopIfTrue="1">
      <formula>$T11-$Z$10</formula>
    </cfRule>
  </conditionalFormatting>
  <conditionalFormatting sqref="U13:U15 U29:U31 U45:U47 U61:U63 U77:U79 U93:U95 U109:U111 U125:U127 U141:U143 U157:U159 U173:U175 U189:U191">
    <cfRule type="cellIs" priority="1852" operator="between" dxfId="2" stopIfTrue="1">
      <formula>$T13-$Z$11</formula>
      <formula>$T13+$Z$11</formula>
    </cfRule>
    <cfRule type="cellIs" priority="1853" operator="greaterThan" dxfId="1" stopIfTrue="1">
      <formula>$T13+$Z$11</formula>
    </cfRule>
    <cfRule type="cellIs" priority="1854" operator="lessThan" dxfId="0" stopIfTrue="1">
      <formula>$T13-$Z$11</formula>
    </cfRule>
  </conditionalFormatting>
  <printOptions horizontalCentered="1" gridLines="1"/>
  <pageMargins left="0.7874015748031497" right="0.7874015748031497" top="0.984251968503937" bottom="0.984251968503937" header="0.5118110236220472" footer="0.5118110236220472"/>
  <pageSetup orientation="landscape" paperSize="9" scale="88"/>
  <headerFooter alignWithMargins="0">
    <oddHeader>&amp;L&amp;C&amp;R</oddHeader>
    <oddFooter>&amp;LDaimler AG_x000a_Werksärztlicher Dienst Rastatt_x000a_PER/HSW_x000a_&amp;CErstellt am:07.10.2010_x000a_von: Manfred Velten_x000a__x000a_&amp;RVerantwortlich:_x000a_Dr.Frei_x000a__x000a_Druckdatum: &amp;D</oddFooter>
    <evenHeader/>
    <evenFooter/>
    <firstHeader/>
    <firstFooter/>
  </headerFooter>
  <rowBreaks count="3" manualBreakCount="3">
    <brk id="48" min="1" max="20" man="1"/>
    <brk id="96" min="1" max="20" man="1"/>
    <brk id="144" min="1" max="20" man="1"/>
  </rowBreak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Velten, Manfred (054)</dc:creator>
  <dcterms:created xsi:type="dcterms:W3CDTF">2007-11-23T12:51:49Z</dcterms:created>
  <dcterms:modified xsi:type="dcterms:W3CDTF">2026-02-18T16:24:41Z</dcterms:modified>
  <cp:lastModifiedBy>Putschler, Walter (054)</cp:lastModifiedBy>
  <cp:lastPrinted>2023-01-25T08:12:43Z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0x010100F6A16B626BCA58429A46BEA2C289D1B0</vt:lpwstr>
  </property>
  <property name="MSIP_Label_924dbb1d-991d-4bbd-aad5-33bac1d8ffaf_ActionId" fmtid="{D5CDD505-2E9C-101B-9397-08002B2CF9AE}" pid="3">
    <vt:lpwstr>095ad5d1-5064-464b-af4c-ffb854d6bcc8</vt:lpwstr>
  </property>
  <property name="MSIP_Label_924dbb1d-991d-4bbd-aad5-33bac1d8ffaf_ContentBits" fmtid="{D5CDD505-2E9C-101B-9397-08002B2CF9AE}" pid="4">
    <vt:lpwstr>0</vt:lpwstr>
  </property>
  <property name="MSIP_Label_924dbb1d-991d-4bbd-aad5-33bac1d8ffaf_Enabled" fmtid="{D5CDD505-2E9C-101B-9397-08002B2CF9AE}" pid="5">
    <vt:lpwstr>true</vt:lpwstr>
  </property>
  <property name="MSIP_Label_924dbb1d-991d-4bbd-aad5-33bac1d8ffaf_Method" fmtid="{D5CDD505-2E9C-101B-9397-08002B2CF9AE}" pid="6">
    <vt:lpwstr>Privileged</vt:lpwstr>
  </property>
  <property name="MSIP_Label_924dbb1d-991d-4bbd-aad5-33bac1d8ffaf_Name" fmtid="{D5CDD505-2E9C-101B-9397-08002B2CF9AE}" pid="7">
    <vt:lpwstr>924dbb1d-991d-4bbd-aad5-33bac1d8ffaf</vt:lpwstr>
  </property>
  <property name="MSIP_Label_924dbb1d-991d-4bbd-aad5-33bac1d8ffaf_SetDate" fmtid="{D5CDD505-2E9C-101B-9397-08002B2CF9AE}" pid="8">
    <vt:lpwstr>2024-01-23T07:33:41Z</vt:lpwstr>
  </property>
  <property name="MSIP_Label_924dbb1d-991d-4bbd-aad5-33bac1d8ffaf_SiteId" fmtid="{D5CDD505-2E9C-101B-9397-08002B2CF9AE}" pid="9">
    <vt:lpwstr>9652d7c2-1ccf-4940-8151-4a92bd474ed0</vt:lpwstr>
  </property>
</Properties>
</file>